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LvM_Refed_TAGkinetics/"/>
    </mc:Choice>
  </mc:AlternateContent>
  <xr:revisionPtr revIDLastSave="0" documentId="13_ncr:1_{8DF7A619-0765-AE49-A569-1327E985AC99}" xr6:coauthVersionLast="47" xr6:coauthVersionMax="47" xr10:uidLastSave="{00000000-0000-0000-0000-000000000000}"/>
  <bookViews>
    <workbookView xWindow="0" yWindow="0" windowWidth="38400" windowHeight="21600" xr2:uid="{5E0D7404-E754-4442-97F6-BA3E5E250F0E}"/>
  </bookViews>
  <sheets>
    <sheet name="LvM" sheetId="37" r:id="rId1"/>
    <sheet name="tracing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2" i="37" l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3" i="37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2" i="12" l="1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tc={6CD8572F-0E73-F54C-8883-4A307070DBEF}</author>
  </authors>
  <commentList>
    <comment ref="E1" authorId="0" shapeId="0" xr:uid="{6CD8572F-0E73-F54C-8883-4A307070DB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Mark important reactions used in flux calculation. Read in R script. Don't modify. </t>
      </text>
    </comment>
  </commentList>
</comments>
</file>

<file path=xl/sharedStrings.xml><?xml version="1.0" encoding="utf-8"?>
<sst xmlns="http://schemas.openxmlformats.org/spreadsheetml/2006/main" count="241" uniqueCount="162">
  <si>
    <t>enzyme</t>
  </si>
  <si>
    <t>reactions</t>
  </si>
  <si>
    <t>transitions</t>
  </si>
  <si>
    <t>abc -&gt; abc</t>
  </si>
  <si>
    <t>abc -&gt; bc + a</t>
  </si>
  <si>
    <t>abcd + ef -&gt; dcbfea</t>
  </si>
  <si>
    <t>abcdef -&gt; abcde + f</t>
  </si>
  <si>
    <t>abcde -&gt; abcde</t>
  </si>
  <si>
    <t>abcde -&gt; bcde + a</t>
  </si>
  <si>
    <t>abcd -&gt; abcd</t>
  </si>
  <si>
    <t>abcd + efgh -&gt; efgh + dcba</t>
  </si>
  <si>
    <t xml:space="preserve"> abcd -&gt; abc + d</t>
  </si>
  <si>
    <t>catalyst</t>
  </si>
  <si>
    <t>abc + d -&gt; abcd</t>
  </si>
  <si>
    <t>abc + def -&gt; fedabc</t>
  </si>
  <si>
    <t>abcdef -&gt; abcdef</t>
  </si>
  <si>
    <t>ab -&gt; ab</t>
  </si>
  <si>
    <t>DHAP.M -&gt; GAP.M</t>
  </si>
  <si>
    <t>abcdef -&gt; def + cba</t>
  </si>
  <si>
    <t>tracer</t>
  </si>
  <si>
    <t>13CGlc</t>
  </si>
  <si>
    <t>13CGlycerol</t>
  </si>
  <si>
    <t>13CLac</t>
  </si>
  <si>
    <t>13CGln</t>
  </si>
  <si>
    <t>a -&gt; a</t>
  </si>
  <si>
    <t>Glycerol.Blood -&gt; sink</t>
  </si>
  <si>
    <t>Glc.Blood -&gt; GAP.M + DHAP.M</t>
  </si>
  <si>
    <t>protein -&gt; Gln.Blood</t>
  </si>
  <si>
    <t>Gln.Blood -&gt; sink</t>
  </si>
  <si>
    <t>Glc.Blood -&gt; sink</t>
  </si>
  <si>
    <t>protein -&gt; Ala.Blood</t>
  </si>
  <si>
    <t>Ala.Blood -&gt; sink</t>
  </si>
  <si>
    <t>13CAla</t>
  </si>
  <si>
    <t>OAA.Lv + AcCoA.Lv -&gt; Cit.Lv</t>
  </si>
  <si>
    <t>Gln.Blood -&gt; aKG.Lv</t>
  </si>
  <si>
    <t>PEP.Lv -&gt; GAP.Lv</t>
  </si>
  <si>
    <t>GAP.Lv -&gt; DHAP.Lv</t>
  </si>
  <si>
    <t>DHAP.Lv -&gt; GAP.Lv</t>
  </si>
  <si>
    <t>Glycerol.Blood -&gt; DHAP.Lv</t>
  </si>
  <si>
    <t>GAP.Lv + DHAP.Lv -&gt; Glc.Lv</t>
  </si>
  <si>
    <t>Glc.Lv -&gt; Glc.Blood</t>
  </si>
  <si>
    <t>aKG.Lv -&gt; Gln.Blood</t>
  </si>
  <si>
    <t>OAA.M + AcCoA.M -&gt; Cit.M</t>
  </si>
  <si>
    <t>Gln.Blood -&gt; aKG.M</t>
  </si>
  <si>
    <t>Suc.Lv -&gt; Mal.Lv</t>
  </si>
  <si>
    <t>Mal.Lv -&gt; OAA.Lv</t>
  </si>
  <si>
    <t>OAA.Lv -&gt;Mal.Lv</t>
  </si>
  <si>
    <t>Mal.Lv -&gt; Suc.Lv</t>
  </si>
  <si>
    <t>srcAcCoA -&gt; AcCoA.Lv</t>
  </si>
  <si>
    <t>Liver TCA</t>
  </si>
  <si>
    <t>muscle glycolysis</t>
  </si>
  <si>
    <t>Suc.Lv + Suc2.Lv -&gt; Suc.Lv + Suc2.Lv</t>
  </si>
  <si>
    <t>Suc.M -&gt; Mal.M</t>
  </si>
  <si>
    <t>Mal.M -&gt; OAA.M</t>
  </si>
  <si>
    <t>OAA.M -&gt; Mal.M</t>
  </si>
  <si>
    <t>Mal.M -&gt; Suc.M</t>
  </si>
  <si>
    <t>Exhale</t>
  </si>
  <si>
    <t>scramble</t>
  </si>
  <si>
    <t>Suc.M + Suc2.M -&gt; Suc.M + Suc2.M</t>
  </si>
  <si>
    <t>Glycogen.Lv -&gt; Glc.Lv</t>
  </si>
  <si>
    <t>TAG-FA cycle</t>
  </si>
  <si>
    <t>Lino.Blood -&gt; sink</t>
  </si>
  <si>
    <t>Lino.Blood -&gt; AcCoA.Lv</t>
  </si>
  <si>
    <t>Lino.Blood -&gt; AcCoA.M</t>
  </si>
  <si>
    <t>srcAcCoA -&gt; AcCoA.M</t>
  </si>
  <si>
    <t>13CLino</t>
  </si>
  <si>
    <t>abcd -&gt; abc + d</t>
  </si>
  <si>
    <t>glutaminolysis</t>
  </si>
  <si>
    <t>glutamine production</t>
  </si>
  <si>
    <t>AcCoA.Lv -&gt; AcCoA2.Lv</t>
  </si>
  <si>
    <t>ab + cd -&gt; abcd</t>
  </si>
  <si>
    <t>aKG.M -&gt; Gln.Blood</t>
  </si>
  <si>
    <t>AcCoA.Lv + AcCoA2.Lv -&gt; AACoA.Lv</t>
  </si>
  <si>
    <t>AACoA.Lv + AcCoA.Lv -&gt; HMGCoA.Lv</t>
  </si>
  <si>
    <t>abcd + ef -&gt; febcda</t>
  </si>
  <si>
    <t>abcdef -&gt; abcf + de</t>
  </si>
  <si>
    <t>HMGCoA.Lv -&gt; AcAct.Lv + AcCoA.Lv</t>
  </si>
  <si>
    <t>AcAct.Lv -&gt; HB.Blood</t>
  </si>
  <si>
    <t>keto Ox</t>
  </si>
  <si>
    <t>HB.Blood -&gt; AcAct.Lv</t>
  </si>
  <si>
    <t>HB.Blood -&gt; AcAct.M</t>
  </si>
  <si>
    <t>ketogenesis Lv</t>
  </si>
  <si>
    <t>AcAct.Lv -&gt; AACoA.Lv</t>
  </si>
  <si>
    <t>AACoA.Lv -&gt; AcCoA.Lv + AcCoA3.Lv</t>
  </si>
  <si>
    <t>abcd -&gt; ab + cd</t>
  </si>
  <si>
    <t>AcCoA3.Lv -&gt; AcCoA.Lv</t>
  </si>
  <si>
    <t>AcAct.M -&gt; AACoA.M</t>
  </si>
  <si>
    <t>AcCoA3.M -&gt; AcCoA.M</t>
  </si>
  <si>
    <t>13CHB</t>
  </si>
  <si>
    <r>
      <t>Cit.Lv -&gt; aKG.Lv +</t>
    </r>
    <r>
      <rPr>
        <sz val="12"/>
        <color rgb="FF00B0F0"/>
        <rFont val="Aptos Narrow (Body)"/>
      </rPr>
      <t xml:space="preserve"> CO2.Blood</t>
    </r>
  </si>
  <si>
    <r>
      <t xml:space="preserve">aKG.Lv -&gt; Suc.Lv + </t>
    </r>
    <r>
      <rPr>
        <sz val="12"/>
        <color rgb="FF00B0F0"/>
        <rFont val="Aptos Narrow (Body)"/>
      </rPr>
      <t>CO2.Blood</t>
    </r>
  </si>
  <si>
    <r>
      <t>OAA.Lv -&gt; PEP.Lv +</t>
    </r>
    <r>
      <rPr>
        <sz val="12"/>
        <color rgb="FF00B0F0"/>
        <rFont val="Aptos Narrow (Body)"/>
      </rPr>
      <t xml:space="preserve"> CO2.Blood</t>
    </r>
  </si>
  <si>
    <r>
      <t>Cit.M -&gt; aKG.M +</t>
    </r>
    <r>
      <rPr>
        <sz val="12"/>
        <color rgb="FF00B0F0"/>
        <rFont val="Aptos Narrow (Body)"/>
      </rPr>
      <t xml:space="preserve"> CO2.Blood</t>
    </r>
  </si>
  <si>
    <r>
      <t>aKG.M -&gt; Suc.M +</t>
    </r>
    <r>
      <rPr>
        <sz val="12"/>
        <color rgb="FF00B0F0"/>
        <rFont val="Aptos Narrow (Body)"/>
      </rPr>
      <t xml:space="preserve"> CO2.Blood</t>
    </r>
  </si>
  <si>
    <r>
      <rPr>
        <sz val="12"/>
        <color rgb="FF00B0F0"/>
        <rFont val="Aptos Narrow (Body)"/>
      </rPr>
      <t>CO2.Blood</t>
    </r>
    <r>
      <rPr>
        <sz val="12"/>
        <color theme="1"/>
        <rFont val="Aptos Narrow"/>
        <scheme val="minor"/>
      </rPr>
      <t xml:space="preserve"> -&gt; sink</t>
    </r>
  </si>
  <si>
    <t>GAP.M -&gt; PEP.M</t>
  </si>
  <si>
    <t>AACoA.M -&gt; AcCoA.M + AcCoA3.M</t>
  </si>
  <si>
    <t>Muscle TCA</t>
  </si>
  <si>
    <t>Lv</t>
  </si>
  <si>
    <t>M</t>
  </si>
  <si>
    <t>Alanine metabolism</t>
  </si>
  <si>
    <t xml:space="preserve">Liver pyruvate cycle / Gluconeogenesis / glycogenolysis </t>
  </si>
  <si>
    <r>
      <t xml:space="preserve">Ala.Blood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</si>
  <si>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 xml:space="preserve"> Pyr.Lvc</t>
    </r>
    <r>
      <rPr>
        <sz val="12"/>
        <color theme="1"/>
        <rFont val="Aptos Narrow"/>
        <scheme val="minor"/>
      </rPr>
      <t xml:space="preserve"> -&gt; Ala.Blood</t>
    </r>
  </si>
  <si>
    <r>
      <t xml:space="preserve">Lac.Blood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</si>
  <si>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Pyr.Lvm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</si>
  <si>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-&gt; AcCoA.Lv + CO2.Blood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</si>
  <si>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+ CO2.Blood -&gt; OAA.Lv</t>
    </r>
  </si>
  <si>
    <r>
      <t xml:space="preserve">Mal.Lv -&gt; </t>
    </r>
    <r>
      <rPr>
        <sz val="12"/>
        <color theme="5"/>
        <rFont val="Aptos Narrow (Body)"/>
      </rPr>
      <t>Pyr.Lvm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</si>
  <si>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Lac.Blood</t>
    </r>
  </si>
  <si>
    <r>
      <t xml:space="preserve">PEP.M -&gt; </t>
    </r>
    <r>
      <rPr>
        <sz val="12"/>
        <color rgb="FF00B050"/>
        <rFont val="Aptos Narrow (Body)"/>
      </rPr>
      <t>Pyr.Mc</t>
    </r>
  </si>
  <si>
    <r>
      <t>Glycogen.M -&gt;</t>
    </r>
    <r>
      <rPr>
        <sz val="12"/>
        <color rgb="FF00B050"/>
        <rFont val="Aptos Narrow (Body)"/>
      </rPr>
      <t xml:space="preserve"> Pyr.Mc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</si>
  <si>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Lac.Blood</t>
    </r>
  </si>
  <si>
    <r>
      <t>Lac.Blood -&gt;</t>
    </r>
    <r>
      <rPr>
        <sz val="12"/>
        <color rgb="FF00B050"/>
        <rFont val="Aptos Narrow (Body)"/>
      </rPr>
      <t xml:space="preserve"> 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</si>
  <si>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-&gt; AcCoA.M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</si>
  <si>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Pyr.Mm</t>
    </r>
  </si>
  <si>
    <r>
      <t xml:space="preserve">Mal.M -&gt; </t>
    </r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</si>
  <si>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Ala.Blood</t>
    </r>
  </si>
  <si>
    <r>
      <t xml:space="preserve">Ala.Blood -&gt; </t>
    </r>
    <r>
      <rPr>
        <sz val="12"/>
        <color rgb="FF00B050"/>
        <rFont val="Aptos Narrow (Body)"/>
      </rPr>
      <t>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</si>
  <si>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 -&gt; OAA.M</t>
    </r>
  </si>
  <si>
    <t>HB.Blood -&gt; sink</t>
  </si>
  <si>
    <t>PDH</t>
  </si>
  <si>
    <t>CS</t>
  </si>
  <si>
    <t>ME</t>
  </si>
  <si>
    <t>PC</t>
  </si>
  <si>
    <t>GLS</t>
  </si>
  <si>
    <t>PEPCK</t>
  </si>
  <si>
    <t>Marker</t>
  </si>
  <si>
    <t>others</t>
  </si>
  <si>
    <t>NEFA-Lino</t>
  </si>
  <si>
    <r>
      <t xml:space="preserve">PEP.Lv -&gt; </t>
    </r>
    <r>
      <rPr>
        <sz val="12"/>
        <color rgb="FF00B050"/>
        <rFont val="Aptos Narrow (Body)"/>
      </rPr>
      <t>Pyr.Lvc</t>
    </r>
  </si>
  <si>
    <t>TAGLino.Lv -&gt; AcCoA.Lv</t>
  </si>
  <si>
    <t>TAGLino is treatd as a "substrate", and Lino.Blood-&gt;TAGLino should not be included in the network</t>
  </si>
  <si>
    <r>
      <t>13C</t>
    </r>
    <r>
      <rPr>
        <sz val="12"/>
        <color theme="1"/>
        <rFont val="Aptos Narrow"/>
        <family val="2"/>
        <scheme val="minor"/>
      </rPr>
      <t>Glycerol -&gt; Glycerol.Blood</t>
    </r>
  </si>
  <si>
    <r>
      <t>13C</t>
    </r>
    <r>
      <rPr>
        <sz val="12"/>
        <color theme="1"/>
        <rFont val="Aptos Narrow"/>
        <family val="2"/>
        <scheme val="minor"/>
      </rPr>
      <t>Lac -&gt; Lac.Blood</t>
    </r>
  </si>
  <si>
    <r>
      <t>13C</t>
    </r>
    <r>
      <rPr>
        <sz val="12"/>
        <color theme="1"/>
        <rFont val="Aptos Narrow"/>
        <family val="2"/>
        <scheme val="minor"/>
      </rPr>
      <t>Ala -&gt; Ala.Blood</t>
    </r>
  </si>
  <si>
    <r>
      <t>13C</t>
    </r>
    <r>
      <rPr>
        <sz val="12"/>
        <color theme="1"/>
        <rFont val="Aptos Narrow"/>
        <family val="2"/>
        <scheme val="minor"/>
      </rPr>
      <t>Gln -&gt; Gln.Blood</t>
    </r>
  </si>
  <si>
    <r>
      <t>13C</t>
    </r>
    <r>
      <rPr>
        <sz val="12"/>
        <color theme="1"/>
        <rFont val="Aptos Narrow"/>
        <family val="2"/>
        <scheme val="minor"/>
      </rPr>
      <t>Lino -&gt; Lino.Blood</t>
    </r>
  </si>
  <si>
    <r>
      <t>13C</t>
    </r>
    <r>
      <rPr>
        <sz val="12"/>
        <color theme="1"/>
        <rFont val="Aptos Narrow"/>
        <family val="2"/>
        <scheme val="minor"/>
      </rPr>
      <t>HB -&gt; HB.Blood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</si>
  <si>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Glc -&gt; Glc.Blood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</si>
  <si>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sz val="12"/>
        <color rgb="FF00B0F0"/>
        <rFont val="Aptos Narrow"/>
        <family val="2"/>
        <scheme val="minor"/>
      </rPr>
      <t>A</t>
    </r>
    <r>
      <rPr>
        <sz val="12"/>
        <color theme="1"/>
        <rFont val="Aptos Narrow"/>
        <family val="2"/>
        <scheme val="minor"/>
      </rPr>
      <t xml:space="preserve"> -&gt; AcCoA.Lv</t>
    </r>
  </si>
  <si>
    <r>
      <t>13CLinoKin</t>
    </r>
    <r>
      <rPr>
        <sz val="12"/>
        <color rgb="FF00B0F0"/>
        <rFont val="Aptos Narrow"/>
        <family val="2"/>
        <scheme val="minor"/>
      </rPr>
      <t>A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</si>
  <si>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sz val="12"/>
        <color rgb="FF00B0F0"/>
        <rFont val="Aptos Narrow"/>
        <family val="2"/>
        <scheme val="minor"/>
      </rPr>
      <t>B</t>
    </r>
    <r>
      <rPr>
        <sz val="12"/>
        <color theme="1"/>
        <rFont val="Aptos Narrow"/>
        <family val="2"/>
        <scheme val="minor"/>
      </rPr>
      <t xml:space="preserve"> -&gt; AcCoA.Lv</t>
    </r>
  </si>
  <si>
    <r>
      <t>13CLinoKin</t>
    </r>
    <r>
      <rPr>
        <sz val="12"/>
        <color rgb="FF00B0F0"/>
        <rFont val="Aptos Narrow"/>
        <family val="2"/>
        <scheme val="minor"/>
      </rPr>
      <t>B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</si>
  <si>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sz val="12"/>
        <color rgb="FF00B0F0"/>
        <rFont val="Aptos Narrow"/>
        <family val="2"/>
        <scheme val="minor"/>
      </rPr>
      <t>C</t>
    </r>
    <r>
      <rPr>
        <sz val="12"/>
        <color theme="1"/>
        <rFont val="Aptos Narrow"/>
        <family val="2"/>
        <scheme val="minor"/>
      </rPr>
      <t xml:space="preserve"> -&gt; AcCoA.Lv</t>
    </r>
  </si>
  <si>
    <r>
      <t>13CLinoKin</t>
    </r>
    <r>
      <rPr>
        <sz val="12"/>
        <color rgb="FF00B0F0"/>
        <rFont val="Aptos Narrow"/>
        <family val="2"/>
        <scheme val="minor"/>
      </rPr>
      <t>C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</si>
  <si>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sz val="12"/>
        <color rgb="FF00B0F0"/>
        <rFont val="Aptos Narrow"/>
        <family val="2"/>
        <scheme val="minor"/>
      </rPr>
      <t>D</t>
    </r>
    <r>
      <rPr>
        <sz val="12"/>
        <color theme="1"/>
        <rFont val="Aptos Narrow"/>
        <family val="2"/>
        <scheme val="minor"/>
      </rPr>
      <t xml:space="preserve"> -&gt; AcCoA.Lv</t>
    </r>
  </si>
  <si>
    <r>
      <t>13CLinoKin</t>
    </r>
    <r>
      <rPr>
        <sz val="12"/>
        <color rgb="FF00B0F0"/>
        <rFont val="Aptos Narrow"/>
        <family val="2"/>
        <scheme val="minor"/>
      </rPr>
      <t>D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</si>
  <si>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sz val="12"/>
        <color rgb="FF00B0F0"/>
        <rFont val="Aptos Narrow"/>
        <family val="2"/>
        <scheme val="minor"/>
      </rPr>
      <t>E</t>
    </r>
    <r>
      <rPr>
        <sz val="12"/>
        <color theme="1"/>
        <rFont val="Aptos Narrow"/>
        <family val="2"/>
        <scheme val="minor"/>
      </rPr>
      <t>-&gt; AcCoA.Lv</t>
    </r>
  </si>
  <si>
    <r>
      <t>13CLinoKin</t>
    </r>
    <r>
      <rPr>
        <sz val="12"/>
        <color rgb="FF00B0F0"/>
        <rFont val="Aptos Narrow"/>
        <family val="2"/>
        <scheme val="minor"/>
      </rPr>
      <t>E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</si>
  <si>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sz val="12"/>
        <color rgb="FF00B0F0"/>
        <rFont val="Aptos Narrow"/>
        <family val="2"/>
        <scheme val="minor"/>
      </rPr>
      <t>F</t>
    </r>
    <r>
      <rPr>
        <sz val="12"/>
        <color theme="1"/>
        <rFont val="Aptos Narrow"/>
        <family val="2"/>
        <scheme val="minor"/>
      </rPr>
      <t xml:space="preserve"> -&gt; AcCoA.Lv</t>
    </r>
  </si>
  <si>
    <r>
      <t>13CLinoKin</t>
    </r>
    <r>
      <rPr>
        <sz val="12"/>
        <color rgb="FF00B0F0"/>
        <rFont val="Aptos Narrow"/>
        <family val="2"/>
        <scheme val="minor"/>
      </rPr>
      <t>F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</si>
  <si>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sz val="12"/>
        <color rgb="FF00B0F0"/>
        <rFont val="Aptos Narrow"/>
        <family val="2"/>
        <scheme val="minor"/>
      </rPr>
      <t>G</t>
    </r>
    <r>
      <rPr>
        <sz val="12"/>
        <color theme="1"/>
        <rFont val="Aptos Narrow"/>
        <family val="2"/>
        <scheme val="minor"/>
      </rPr>
      <t xml:space="preserve"> -&gt; AcCoA.Lv</t>
    </r>
  </si>
  <si>
    <r>
      <t>13CLinoKin</t>
    </r>
    <r>
      <rPr>
        <sz val="12"/>
        <color rgb="FF00B0F0"/>
        <rFont val="Aptos Narrow"/>
        <family val="2"/>
        <scheme val="minor"/>
      </rPr>
      <t>G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</si>
  <si>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sz val="12"/>
        <color rgb="FF00B0F0"/>
        <rFont val="Aptos Narrow"/>
        <family val="2"/>
        <scheme val="minor"/>
      </rPr>
      <t>H</t>
    </r>
    <r>
      <rPr>
        <sz val="12"/>
        <color theme="1"/>
        <rFont val="Aptos Narrow"/>
        <family val="2"/>
        <scheme val="minor"/>
      </rPr>
      <t xml:space="preserve"> -&gt; AcCoA.Lv</t>
    </r>
  </si>
  <si>
    <r>
      <t>13CLinoKin</t>
    </r>
    <r>
      <rPr>
        <sz val="12"/>
        <color rgb="FF00B0F0"/>
        <rFont val="Aptos Narrow"/>
        <family val="2"/>
        <scheme val="minor"/>
      </rPr>
      <t>H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</si>
  <si>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sz val="12"/>
        <color rgb="FF00B0F0"/>
        <rFont val="Aptos Narrow"/>
        <family val="2"/>
        <scheme val="minor"/>
      </rPr>
      <t>I</t>
    </r>
    <r>
      <rPr>
        <sz val="12"/>
        <color theme="1"/>
        <rFont val="Aptos Narrow"/>
        <family val="2"/>
        <scheme val="minor"/>
      </rPr>
      <t xml:space="preserve"> -&gt; AcCoA.Lv</t>
    </r>
  </si>
  <si>
    <r>
      <t>13CLinoKin</t>
    </r>
    <r>
      <rPr>
        <sz val="12"/>
        <color rgb="FF00B0F0"/>
        <rFont val="Aptos Narrow"/>
        <family val="2"/>
        <scheme val="minor"/>
      </rPr>
      <t>I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</si>
  <si>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sz val="12"/>
        <color rgb="FF00B0F0"/>
        <rFont val="Aptos Narrow"/>
        <family val="2"/>
        <scheme val="minor"/>
      </rPr>
      <t xml:space="preserve">J </t>
    </r>
    <r>
      <rPr>
        <sz val="12"/>
        <color theme="1"/>
        <rFont val="Aptos Narrow"/>
        <family val="2"/>
        <scheme val="minor"/>
      </rPr>
      <t>-&gt; AcCoA.Lv</t>
    </r>
  </si>
  <si>
    <r>
      <t>13CLinoKin</t>
    </r>
    <r>
      <rPr>
        <sz val="12"/>
        <color rgb="FF00B0F0"/>
        <rFont val="Aptos Narrow"/>
        <family val="2"/>
        <scheme val="minor"/>
      </rPr>
      <t>J</t>
    </r>
  </si>
  <si>
    <t>TAGgly.W -&gt; Glycerol.Blood</t>
  </si>
  <si>
    <t>TAGLino.W -&gt; Lino.Blood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</si>
</sst>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 (Body)"/>
    </font>
    <font>
      <b/>
      <sz val="12"/>
      <color theme="0" tint="-0.499984740745262"/>
      <name val="Aptos Narrow"/>
      <scheme val="minor"/>
    </font>
    <font>
      <sz val="12"/>
      <color theme="0" tint="-0.499984740745262"/>
      <name val="Aptos Narrow"/>
      <scheme val="minor"/>
    </font>
    <font>
      <sz val="12"/>
      <color rgb="FF00B0F0"/>
      <name val="Aptos Narrow (Body)"/>
    </font>
    <font>
      <sz val="12"/>
      <color rgb="FF00B050"/>
      <name val="Aptos Narrow (Body)"/>
    </font>
    <font>
      <sz val="12"/>
      <color theme="5"/>
      <name val="Aptos Narrow (Body)"/>
    </font>
    <font>
      <b/>
      <sz val="12"/>
      <color rgb="FF7030A0"/>
      <name val="Aptos Narrow"/>
      <scheme val="minor"/>
    </font>
    <font>
      <sz val="12"/>
      <color theme="1" tint="0.49998474074526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B0F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0" xfId="0" applyFont="1"/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2" fillId="0" borderId="9" xfId="0" applyFont="1" applyBorder="1"/>
    <xf numFmtId="0" fontId="2" fillId="0" borderId="5" xfId="0" applyFont="1" applyBorder="1"/>
    <xf numFmtId="0" fontId="2" fillId="0" borderId="2" xfId="0" applyFont="1" applyBorder="1"/>
    <xf numFmtId="0" fontId="4" fillId="0" borderId="8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/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/>
    <xf numFmtId="0" fontId="1" fillId="0" borderId="0" xfId="0" applyFont="1" applyAlignment="1">
      <alignment horizontal="left"/>
    </xf>
    <xf numFmtId="0" fontId="10" fillId="3" borderId="0" xfId="0" applyFont="1" applyFill="1" applyAlignment="1">
      <alignment horizontal="left"/>
    </xf>
    <xf numFmtId="0" fontId="2" fillId="0" borderId="13" xfId="0" applyFont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2" fillId="0" borderId="0" xfId="0" applyFont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an, Bo" id="{4BBF70E9-EE5C-0E41-92FA-C1A90F3DFBFC}" userId="S::bo_yuan@hsph.harvard.edu::41d2fd6e-1db7-4851-8b22-9e19671fc0e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2-22T14:12:13.87" personId="{4BBF70E9-EE5C-0E41-92FA-C1A90F3DFBFC}" id="{6CD8572F-0E73-F54C-8883-4A307070DBEF}">
    <text xml:space="preserve">Mark important reactions used in flux calculation. Read in R script. Don't modify.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A141-2CCB-574F-8A5D-811344C87C12}">
  <dimension ref="A1:E80"/>
  <sheetViews>
    <sheetView tabSelected="1" zoomScale="255" zoomScaleNormal="244" workbookViewId="0">
      <selection activeCell="B2" sqref="B2"/>
    </sheetView>
  </sheetViews>
  <sheetFormatPr baseColWidth="10" defaultColWidth="11" defaultRowHeight="16" x14ac:dyDescent="0.2"/>
  <cols>
    <col min="1" max="1" width="7.5" bestFit="1" customWidth="1"/>
    <col min="2" max="2" width="30.6640625" bestFit="1" customWidth="1"/>
    <col min="3" max="3" width="21.83203125" bestFit="1" customWidth="1"/>
    <col min="4" max="4" width="18.5" bestFit="1" customWidth="1"/>
    <col min="5" max="5" width="22.6640625" bestFit="1" customWidth="1"/>
  </cols>
  <sheetData>
    <row r="1" spans="1:5" ht="17" thickBot="1" x14ac:dyDescent="0.25">
      <c r="A1" s="18" t="s">
        <v>0</v>
      </c>
      <c r="B1" s="7" t="s">
        <v>1</v>
      </c>
      <c r="C1" s="7" t="s">
        <v>2</v>
      </c>
      <c r="D1" s="29" t="s">
        <v>12</v>
      </c>
      <c r="E1" s="40" t="s">
        <v>127</v>
      </c>
    </row>
    <row r="2" spans="1:5" x14ac:dyDescent="0.2">
      <c r="A2" s="19">
        <v>1</v>
      </c>
      <c r="B2" s="1" t="s">
        <v>160</v>
      </c>
      <c r="C2" s="12" t="s">
        <v>3</v>
      </c>
      <c r="D2" s="25" t="s">
        <v>60</v>
      </c>
      <c r="E2" s="5"/>
    </row>
    <row r="3" spans="1:5" ht="17" thickBot="1" x14ac:dyDescent="0.25">
      <c r="A3" s="20">
        <f>A2+1</f>
        <v>2</v>
      </c>
      <c r="B3" s="3" t="s">
        <v>25</v>
      </c>
      <c r="C3" s="13" t="s">
        <v>3</v>
      </c>
      <c r="D3" s="26"/>
      <c r="E3" s="5"/>
    </row>
    <row r="4" spans="1:5" x14ac:dyDescent="0.2">
      <c r="A4" s="20">
        <f t="shared" ref="A4:A67" si="0">A3+1</f>
        <v>3</v>
      </c>
      <c r="B4" s="2" t="s">
        <v>161</v>
      </c>
      <c r="C4" s="2" t="s">
        <v>16</v>
      </c>
      <c r="D4" s="26"/>
      <c r="E4" s="5"/>
    </row>
    <row r="5" spans="1:5" ht="17" thickBot="1" x14ac:dyDescent="0.25">
      <c r="A5" s="20">
        <f t="shared" si="0"/>
        <v>4</v>
      </c>
      <c r="B5" s="2" t="s">
        <v>61</v>
      </c>
      <c r="C5" s="2" t="s">
        <v>16</v>
      </c>
      <c r="D5" s="27"/>
      <c r="E5" s="5"/>
    </row>
    <row r="6" spans="1:5" x14ac:dyDescent="0.2">
      <c r="A6" s="20">
        <f t="shared" si="0"/>
        <v>5</v>
      </c>
      <c r="B6" s="9" t="s">
        <v>104</v>
      </c>
      <c r="C6" s="12" t="s">
        <v>3</v>
      </c>
      <c r="D6" s="51" t="s">
        <v>49</v>
      </c>
      <c r="E6" s="5"/>
    </row>
    <row r="7" spans="1:5" x14ac:dyDescent="0.2">
      <c r="A7" s="20">
        <f t="shared" si="0"/>
        <v>6</v>
      </c>
      <c r="B7" s="11" t="s">
        <v>109</v>
      </c>
      <c r="C7" s="17" t="s">
        <v>3</v>
      </c>
      <c r="D7" s="52"/>
      <c r="E7" s="5"/>
    </row>
    <row r="8" spans="1:5" x14ac:dyDescent="0.2">
      <c r="A8" s="20">
        <f t="shared" si="0"/>
        <v>7</v>
      </c>
      <c r="B8" s="11" t="s">
        <v>105</v>
      </c>
      <c r="C8" s="17" t="s">
        <v>3</v>
      </c>
      <c r="D8" s="52"/>
      <c r="E8" s="5"/>
    </row>
    <row r="9" spans="1:5" x14ac:dyDescent="0.2">
      <c r="A9" s="20">
        <f t="shared" si="0"/>
        <v>8</v>
      </c>
      <c r="B9" s="11" t="s">
        <v>106</v>
      </c>
      <c r="C9" s="17" t="s">
        <v>4</v>
      </c>
      <c r="D9" s="52"/>
      <c r="E9" s="41" t="s">
        <v>121</v>
      </c>
    </row>
    <row r="10" spans="1:5" x14ac:dyDescent="0.2">
      <c r="A10" s="20">
        <f t="shared" si="0"/>
        <v>9</v>
      </c>
      <c r="B10" s="11" t="s">
        <v>48</v>
      </c>
      <c r="C10" s="17" t="s">
        <v>16</v>
      </c>
      <c r="D10" s="52"/>
      <c r="E10" s="5" t="s">
        <v>128</v>
      </c>
    </row>
    <row r="11" spans="1:5" x14ac:dyDescent="0.2">
      <c r="A11" s="20">
        <f t="shared" si="0"/>
        <v>10</v>
      </c>
      <c r="B11" s="11" t="s">
        <v>62</v>
      </c>
      <c r="C11" s="17" t="s">
        <v>16</v>
      </c>
      <c r="D11" s="52"/>
      <c r="E11" s="5" t="s">
        <v>129</v>
      </c>
    </row>
    <row r="12" spans="1:5" x14ac:dyDescent="0.2">
      <c r="A12" s="20">
        <f t="shared" si="0"/>
        <v>11</v>
      </c>
      <c r="B12" s="43" t="s">
        <v>131</v>
      </c>
      <c r="C12" s="44" t="s">
        <v>16</v>
      </c>
      <c r="D12" s="52"/>
      <c r="E12" s="45" t="s">
        <v>132</v>
      </c>
    </row>
    <row r="13" spans="1:5" x14ac:dyDescent="0.2">
      <c r="A13" s="20">
        <f t="shared" si="0"/>
        <v>12</v>
      </c>
      <c r="B13" s="11" t="s">
        <v>33</v>
      </c>
      <c r="C13" s="17" t="s">
        <v>5</v>
      </c>
      <c r="D13" s="52"/>
      <c r="E13" s="41" t="s">
        <v>122</v>
      </c>
    </row>
    <row r="14" spans="1:5" x14ac:dyDescent="0.2">
      <c r="A14" s="20">
        <f t="shared" si="0"/>
        <v>13</v>
      </c>
      <c r="B14" s="11" t="s">
        <v>89</v>
      </c>
      <c r="C14" s="17" t="s">
        <v>6</v>
      </c>
      <c r="D14" s="52"/>
      <c r="E14" s="5"/>
    </row>
    <row r="15" spans="1:5" x14ac:dyDescent="0.2">
      <c r="A15" s="20">
        <f t="shared" si="0"/>
        <v>14</v>
      </c>
      <c r="B15" s="11" t="s">
        <v>90</v>
      </c>
      <c r="C15" s="17" t="s">
        <v>8</v>
      </c>
      <c r="D15" s="52"/>
      <c r="E15" s="5"/>
    </row>
    <row r="16" spans="1:5" x14ac:dyDescent="0.2">
      <c r="A16" s="20">
        <f t="shared" si="0"/>
        <v>15</v>
      </c>
      <c r="B16" s="11" t="s">
        <v>44</v>
      </c>
      <c r="C16" s="17" t="s">
        <v>9</v>
      </c>
      <c r="D16" s="52"/>
      <c r="E16" s="5"/>
    </row>
    <row r="17" spans="1:5" x14ac:dyDescent="0.2">
      <c r="A17" s="20">
        <f t="shared" si="0"/>
        <v>16</v>
      </c>
      <c r="B17" s="11" t="s">
        <v>45</v>
      </c>
      <c r="C17" s="17" t="s">
        <v>9</v>
      </c>
      <c r="D17" s="52"/>
      <c r="E17" s="5"/>
    </row>
    <row r="18" spans="1:5" x14ac:dyDescent="0.2">
      <c r="A18" s="20">
        <f t="shared" si="0"/>
        <v>17</v>
      </c>
      <c r="B18" s="11" t="s">
        <v>46</v>
      </c>
      <c r="C18" s="17" t="s">
        <v>9</v>
      </c>
      <c r="D18" s="52"/>
      <c r="E18" s="5"/>
    </row>
    <row r="19" spans="1:5" x14ac:dyDescent="0.2">
      <c r="A19" s="20">
        <f t="shared" si="0"/>
        <v>18</v>
      </c>
      <c r="B19" s="11" t="s">
        <v>47</v>
      </c>
      <c r="C19" s="17" t="s">
        <v>9</v>
      </c>
      <c r="D19" s="52"/>
      <c r="E19" s="5"/>
    </row>
    <row r="20" spans="1:5" ht="17" thickBot="1" x14ac:dyDescent="0.25">
      <c r="A20" s="20">
        <f t="shared" si="0"/>
        <v>19</v>
      </c>
      <c r="B20" s="31" t="s">
        <v>108</v>
      </c>
      <c r="C20" s="32" t="s">
        <v>66</v>
      </c>
      <c r="D20" s="53"/>
      <c r="E20" s="41" t="s">
        <v>123</v>
      </c>
    </row>
    <row r="21" spans="1:5" ht="17" x14ac:dyDescent="0.2">
      <c r="A21" s="20">
        <f t="shared" si="0"/>
        <v>20</v>
      </c>
      <c r="B21" s="4" t="s">
        <v>107</v>
      </c>
      <c r="C21" s="2" t="s">
        <v>13</v>
      </c>
      <c r="D21" s="54" t="s">
        <v>101</v>
      </c>
      <c r="E21" s="41" t="s">
        <v>124</v>
      </c>
    </row>
    <row r="22" spans="1:5" ht="17" x14ac:dyDescent="0.2">
      <c r="A22" s="20">
        <f t="shared" si="0"/>
        <v>21</v>
      </c>
      <c r="B22" s="4" t="s">
        <v>91</v>
      </c>
      <c r="C22" s="2" t="s">
        <v>11</v>
      </c>
      <c r="D22" s="55"/>
      <c r="E22" s="41" t="s">
        <v>126</v>
      </c>
    </row>
    <row r="23" spans="1:5" x14ac:dyDescent="0.2">
      <c r="A23" s="20">
        <f t="shared" si="0"/>
        <v>22</v>
      </c>
      <c r="B23" s="2" t="s">
        <v>35</v>
      </c>
      <c r="C23" s="2" t="s">
        <v>3</v>
      </c>
      <c r="D23" s="55"/>
      <c r="E23" s="5"/>
    </row>
    <row r="24" spans="1:5" x14ac:dyDescent="0.2">
      <c r="A24" s="20">
        <f t="shared" si="0"/>
        <v>23</v>
      </c>
      <c r="B24" s="2" t="s">
        <v>130</v>
      </c>
      <c r="C24" s="2" t="s">
        <v>3</v>
      </c>
      <c r="D24" s="55"/>
      <c r="E24" s="5"/>
    </row>
    <row r="25" spans="1:5" x14ac:dyDescent="0.2">
      <c r="A25" s="20">
        <f t="shared" si="0"/>
        <v>24</v>
      </c>
      <c r="B25" s="2" t="s">
        <v>36</v>
      </c>
      <c r="C25" s="2" t="s">
        <v>3</v>
      </c>
      <c r="D25" s="55"/>
      <c r="E25" s="5"/>
    </row>
    <row r="26" spans="1:5" x14ac:dyDescent="0.2">
      <c r="A26" s="20">
        <f t="shared" si="0"/>
        <v>25</v>
      </c>
      <c r="B26" s="2" t="s">
        <v>38</v>
      </c>
      <c r="C26" s="2" t="s">
        <v>3</v>
      </c>
      <c r="D26" s="55"/>
      <c r="E26" s="5"/>
    </row>
    <row r="27" spans="1:5" x14ac:dyDescent="0.2">
      <c r="A27" s="20">
        <f t="shared" si="0"/>
        <v>26</v>
      </c>
      <c r="B27" s="2" t="s">
        <v>37</v>
      </c>
      <c r="C27" s="2" t="s">
        <v>3</v>
      </c>
      <c r="D27" s="55"/>
      <c r="E27" s="5"/>
    </row>
    <row r="28" spans="1:5" x14ac:dyDescent="0.2">
      <c r="A28" s="20">
        <f t="shared" si="0"/>
        <v>27</v>
      </c>
      <c r="B28" s="2" t="s">
        <v>39</v>
      </c>
      <c r="C28" s="2" t="s">
        <v>14</v>
      </c>
      <c r="D28" s="55"/>
      <c r="E28" s="5"/>
    </row>
    <row r="29" spans="1:5" x14ac:dyDescent="0.2">
      <c r="A29" s="20">
        <f t="shared" si="0"/>
        <v>28</v>
      </c>
      <c r="B29" s="2" t="s">
        <v>59</v>
      </c>
      <c r="C29" s="2" t="s">
        <v>15</v>
      </c>
      <c r="D29" s="55"/>
      <c r="E29" s="5"/>
    </row>
    <row r="30" spans="1:5" ht="17" thickBot="1" x14ac:dyDescent="0.25">
      <c r="A30" s="20">
        <f t="shared" si="0"/>
        <v>29</v>
      </c>
      <c r="B30" s="3" t="s">
        <v>40</v>
      </c>
      <c r="C30" s="3" t="s">
        <v>15</v>
      </c>
      <c r="D30" s="56"/>
      <c r="E30" s="5"/>
    </row>
    <row r="31" spans="1:5" x14ac:dyDescent="0.2">
      <c r="A31" s="20">
        <f t="shared" si="0"/>
        <v>30</v>
      </c>
      <c r="B31" s="9" t="s">
        <v>29</v>
      </c>
      <c r="C31" s="12" t="s">
        <v>15</v>
      </c>
      <c r="D31" s="37" t="s">
        <v>50</v>
      </c>
      <c r="E31" s="5"/>
    </row>
    <row r="32" spans="1:5" x14ac:dyDescent="0.2">
      <c r="A32" s="20">
        <f t="shared" si="0"/>
        <v>31</v>
      </c>
      <c r="B32" s="11" t="s">
        <v>26</v>
      </c>
      <c r="C32" s="17" t="s">
        <v>18</v>
      </c>
      <c r="D32" s="33"/>
      <c r="E32" s="5"/>
    </row>
    <row r="33" spans="1:5" x14ac:dyDescent="0.2">
      <c r="A33" s="20">
        <f t="shared" si="0"/>
        <v>32</v>
      </c>
      <c r="B33" s="11" t="s">
        <v>17</v>
      </c>
      <c r="C33" s="17" t="s">
        <v>3</v>
      </c>
      <c r="D33" s="33"/>
      <c r="E33" s="5"/>
    </row>
    <row r="34" spans="1:5" x14ac:dyDescent="0.2">
      <c r="A34" s="20">
        <f t="shared" si="0"/>
        <v>33</v>
      </c>
      <c r="B34" s="11" t="s">
        <v>95</v>
      </c>
      <c r="C34" s="17" t="s">
        <v>3</v>
      </c>
      <c r="D34" s="33"/>
      <c r="E34" s="5"/>
    </row>
    <row r="35" spans="1:5" x14ac:dyDescent="0.2">
      <c r="A35" s="20">
        <f t="shared" si="0"/>
        <v>34</v>
      </c>
      <c r="B35" s="24" t="s">
        <v>110</v>
      </c>
      <c r="C35" s="17" t="s">
        <v>3</v>
      </c>
      <c r="D35" s="33"/>
      <c r="E35" s="5"/>
    </row>
    <row r="36" spans="1:5" x14ac:dyDescent="0.2">
      <c r="A36" s="20">
        <f t="shared" si="0"/>
        <v>35</v>
      </c>
      <c r="B36" s="11" t="s">
        <v>111</v>
      </c>
      <c r="C36" s="17" t="s">
        <v>3</v>
      </c>
      <c r="D36" s="33"/>
      <c r="E36" s="5"/>
    </row>
    <row r="37" spans="1:5" ht="17" thickBot="1" x14ac:dyDescent="0.25">
      <c r="A37" s="20">
        <f t="shared" si="0"/>
        <v>36</v>
      </c>
      <c r="B37" s="10" t="s">
        <v>112</v>
      </c>
      <c r="C37" s="13" t="s">
        <v>3</v>
      </c>
      <c r="D37" s="36"/>
      <c r="E37" s="5"/>
    </row>
    <row r="38" spans="1:5" x14ac:dyDescent="0.2">
      <c r="A38" s="20">
        <f t="shared" si="0"/>
        <v>37</v>
      </c>
      <c r="B38" s="9" t="s">
        <v>113</v>
      </c>
      <c r="C38" s="12" t="s">
        <v>3</v>
      </c>
      <c r="D38" s="57" t="s">
        <v>97</v>
      </c>
      <c r="E38" s="5"/>
    </row>
    <row r="39" spans="1:5" x14ac:dyDescent="0.2">
      <c r="A39" s="20">
        <f t="shared" si="0"/>
        <v>38</v>
      </c>
      <c r="B39" s="11" t="s">
        <v>115</v>
      </c>
      <c r="C39" s="17" t="s">
        <v>3</v>
      </c>
      <c r="D39" s="58"/>
      <c r="E39" s="5"/>
    </row>
    <row r="40" spans="1:5" ht="17" x14ac:dyDescent="0.2">
      <c r="A40" s="20">
        <f t="shared" si="0"/>
        <v>39</v>
      </c>
      <c r="B40" s="38" t="s">
        <v>119</v>
      </c>
      <c r="C40" s="17" t="s">
        <v>13</v>
      </c>
      <c r="D40" s="58"/>
      <c r="E40" s="5"/>
    </row>
    <row r="41" spans="1:5" x14ac:dyDescent="0.2">
      <c r="A41" s="20">
        <f t="shared" si="0"/>
        <v>40</v>
      </c>
      <c r="B41" s="11" t="s">
        <v>114</v>
      </c>
      <c r="C41" s="17" t="s">
        <v>4</v>
      </c>
      <c r="D41" s="58"/>
      <c r="E41" s="5"/>
    </row>
    <row r="42" spans="1:5" x14ac:dyDescent="0.2">
      <c r="A42" s="20">
        <f t="shared" si="0"/>
        <v>41</v>
      </c>
      <c r="B42" s="11" t="s">
        <v>64</v>
      </c>
      <c r="C42" s="17" t="s">
        <v>16</v>
      </c>
      <c r="D42" s="58"/>
      <c r="E42" s="5"/>
    </row>
    <row r="43" spans="1:5" x14ac:dyDescent="0.2">
      <c r="A43" s="20">
        <f t="shared" si="0"/>
        <v>42</v>
      </c>
      <c r="B43" s="11" t="s">
        <v>63</v>
      </c>
      <c r="C43" s="17" t="s">
        <v>16</v>
      </c>
      <c r="D43" s="58"/>
      <c r="E43" s="5"/>
    </row>
    <row r="44" spans="1:5" x14ac:dyDescent="0.2">
      <c r="A44" s="20">
        <f t="shared" si="0"/>
        <v>43</v>
      </c>
      <c r="B44" s="11" t="s">
        <v>42</v>
      </c>
      <c r="C44" s="17" t="s">
        <v>5</v>
      </c>
      <c r="D44" s="58"/>
      <c r="E44" s="5"/>
    </row>
    <row r="45" spans="1:5" x14ac:dyDescent="0.2">
      <c r="A45" s="20">
        <f t="shared" si="0"/>
        <v>44</v>
      </c>
      <c r="B45" s="11" t="s">
        <v>92</v>
      </c>
      <c r="C45" s="17" t="s">
        <v>6</v>
      </c>
      <c r="D45" s="58"/>
      <c r="E45" s="5"/>
    </row>
    <row r="46" spans="1:5" x14ac:dyDescent="0.2">
      <c r="A46" s="20">
        <f t="shared" si="0"/>
        <v>45</v>
      </c>
      <c r="B46" s="11" t="s">
        <v>93</v>
      </c>
      <c r="C46" s="17" t="s">
        <v>8</v>
      </c>
      <c r="D46" s="58"/>
      <c r="E46" s="5"/>
    </row>
    <row r="47" spans="1:5" x14ac:dyDescent="0.2">
      <c r="A47" s="20">
        <f t="shared" si="0"/>
        <v>46</v>
      </c>
      <c r="B47" s="11" t="s">
        <v>52</v>
      </c>
      <c r="C47" s="17" t="s">
        <v>9</v>
      </c>
      <c r="D47" s="58"/>
      <c r="E47" s="5"/>
    </row>
    <row r="48" spans="1:5" x14ac:dyDescent="0.2">
      <c r="A48" s="20">
        <f t="shared" si="0"/>
        <v>47</v>
      </c>
      <c r="B48" s="11" t="s">
        <v>53</v>
      </c>
      <c r="C48" s="17" t="s">
        <v>9</v>
      </c>
      <c r="D48" s="58"/>
      <c r="E48" s="5"/>
    </row>
    <row r="49" spans="1:5" x14ac:dyDescent="0.2">
      <c r="A49" s="20">
        <f t="shared" si="0"/>
        <v>48</v>
      </c>
      <c r="B49" s="11" t="s">
        <v>54</v>
      </c>
      <c r="C49" s="17" t="s">
        <v>9</v>
      </c>
      <c r="D49" s="58"/>
      <c r="E49" s="5"/>
    </row>
    <row r="50" spans="1:5" x14ac:dyDescent="0.2">
      <c r="A50" s="20">
        <f t="shared" si="0"/>
        <v>49</v>
      </c>
      <c r="B50" s="11" t="s">
        <v>55</v>
      </c>
      <c r="C50" s="17" t="s">
        <v>9</v>
      </c>
      <c r="D50" s="58"/>
      <c r="E50" s="5"/>
    </row>
    <row r="51" spans="1:5" ht="17" thickBot="1" x14ac:dyDescent="0.25">
      <c r="A51" s="20">
        <f t="shared" si="0"/>
        <v>50</v>
      </c>
      <c r="B51" s="10" t="s">
        <v>116</v>
      </c>
      <c r="C51" s="13" t="s">
        <v>66</v>
      </c>
      <c r="D51" s="59"/>
      <c r="E51" s="5"/>
    </row>
    <row r="52" spans="1:5" x14ac:dyDescent="0.2">
      <c r="A52" s="20">
        <f t="shared" si="0"/>
        <v>51</v>
      </c>
      <c r="B52" s="11" t="s">
        <v>30</v>
      </c>
      <c r="C52" s="2" t="s">
        <v>3</v>
      </c>
      <c r="D52" s="51" t="s">
        <v>100</v>
      </c>
      <c r="E52" s="5"/>
    </row>
    <row r="53" spans="1:5" x14ac:dyDescent="0.2">
      <c r="A53" s="20">
        <f t="shared" si="0"/>
        <v>52</v>
      </c>
      <c r="B53" s="11" t="s">
        <v>31</v>
      </c>
      <c r="C53" s="2" t="s">
        <v>3</v>
      </c>
      <c r="D53" s="52"/>
      <c r="E53" s="6"/>
    </row>
    <row r="54" spans="1:5" x14ac:dyDescent="0.2">
      <c r="A54" s="20">
        <f t="shared" si="0"/>
        <v>53</v>
      </c>
      <c r="B54" s="11" t="s">
        <v>103</v>
      </c>
      <c r="C54" s="2" t="s">
        <v>3</v>
      </c>
      <c r="D54" s="52"/>
      <c r="E54" s="5"/>
    </row>
    <row r="55" spans="1:5" x14ac:dyDescent="0.2">
      <c r="A55" s="20">
        <f t="shared" si="0"/>
        <v>54</v>
      </c>
      <c r="B55" s="11" t="s">
        <v>117</v>
      </c>
      <c r="C55" s="2" t="s">
        <v>3</v>
      </c>
      <c r="D55" s="52"/>
      <c r="E55" s="5"/>
    </row>
    <row r="56" spans="1:5" x14ac:dyDescent="0.2">
      <c r="A56" s="20">
        <f t="shared" si="0"/>
        <v>55</v>
      </c>
      <c r="B56" s="11" t="s">
        <v>102</v>
      </c>
      <c r="C56" s="2" t="s">
        <v>3</v>
      </c>
      <c r="D56" s="52"/>
      <c r="E56" s="5"/>
    </row>
    <row r="57" spans="1:5" x14ac:dyDescent="0.2">
      <c r="A57" s="20">
        <f t="shared" si="0"/>
        <v>56</v>
      </c>
      <c r="B57" s="11" t="s">
        <v>118</v>
      </c>
      <c r="C57" s="2" t="s">
        <v>3</v>
      </c>
      <c r="D57" s="52"/>
      <c r="E57" s="5"/>
    </row>
    <row r="58" spans="1:5" x14ac:dyDescent="0.2">
      <c r="A58" s="20">
        <f t="shared" si="0"/>
        <v>57</v>
      </c>
      <c r="B58" s="2" t="s">
        <v>27</v>
      </c>
      <c r="C58" s="17" t="s">
        <v>7</v>
      </c>
      <c r="D58" s="52" t="s">
        <v>68</v>
      </c>
      <c r="E58" s="5"/>
    </row>
    <row r="59" spans="1:5" x14ac:dyDescent="0.2">
      <c r="A59" s="20">
        <f t="shared" si="0"/>
        <v>58</v>
      </c>
      <c r="B59" s="2" t="s">
        <v>28</v>
      </c>
      <c r="C59" s="17" t="s">
        <v>7</v>
      </c>
      <c r="D59" s="52"/>
      <c r="E59" s="5"/>
    </row>
    <row r="60" spans="1:5" x14ac:dyDescent="0.2">
      <c r="A60" s="20">
        <f t="shared" si="0"/>
        <v>59</v>
      </c>
      <c r="B60" s="2" t="s">
        <v>41</v>
      </c>
      <c r="C60" s="17" t="s">
        <v>7</v>
      </c>
      <c r="D60" s="52"/>
      <c r="E60" s="5"/>
    </row>
    <row r="61" spans="1:5" ht="17" thickBot="1" x14ac:dyDescent="0.25">
      <c r="A61" s="20">
        <f t="shared" si="0"/>
        <v>60</v>
      </c>
      <c r="B61" s="2" t="s">
        <v>71</v>
      </c>
      <c r="C61" s="17" t="s">
        <v>7</v>
      </c>
      <c r="D61" s="52"/>
      <c r="E61" s="5"/>
    </row>
    <row r="62" spans="1:5" x14ac:dyDescent="0.2">
      <c r="A62" s="20">
        <f t="shared" si="0"/>
        <v>61</v>
      </c>
      <c r="B62" s="9" t="s">
        <v>34</v>
      </c>
      <c r="C62" s="12" t="s">
        <v>7</v>
      </c>
      <c r="D62" s="34" t="s">
        <v>67</v>
      </c>
      <c r="E62" s="41" t="s">
        <v>125</v>
      </c>
    </row>
    <row r="63" spans="1:5" ht="17" thickBot="1" x14ac:dyDescent="0.25">
      <c r="A63" s="20">
        <f t="shared" si="0"/>
        <v>62</v>
      </c>
      <c r="B63" s="11" t="s">
        <v>43</v>
      </c>
      <c r="C63" s="17" t="s">
        <v>7</v>
      </c>
      <c r="D63" s="35"/>
      <c r="E63" s="5"/>
    </row>
    <row r="64" spans="1:5" x14ac:dyDescent="0.2">
      <c r="A64" s="20">
        <f t="shared" si="0"/>
        <v>63</v>
      </c>
      <c r="B64" s="11" t="s">
        <v>69</v>
      </c>
      <c r="C64" s="17" t="s">
        <v>16</v>
      </c>
      <c r="D64" s="51" t="s">
        <v>81</v>
      </c>
      <c r="E64" s="5"/>
    </row>
    <row r="65" spans="1:5" x14ac:dyDescent="0.2">
      <c r="A65" s="20">
        <f t="shared" si="0"/>
        <v>64</v>
      </c>
      <c r="B65" s="11" t="s">
        <v>72</v>
      </c>
      <c r="C65" s="17" t="s">
        <v>70</v>
      </c>
      <c r="D65" s="52"/>
      <c r="E65" s="5"/>
    </row>
    <row r="66" spans="1:5" x14ac:dyDescent="0.2">
      <c r="A66" s="20">
        <f t="shared" si="0"/>
        <v>65</v>
      </c>
      <c r="B66" s="11" t="s">
        <v>73</v>
      </c>
      <c r="C66" s="21" t="s">
        <v>74</v>
      </c>
      <c r="D66" s="52"/>
      <c r="E66" s="5"/>
    </row>
    <row r="67" spans="1:5" x14ac:dyDescent="0.2">
      <c r="A67" s="20">
        <f t="shared" si="0"/>
        <v>66</v>
      </c>
      <c r="B67" s="16" t="s">
        <v>76</v>
      </c>
      <c r="C67" s="21" t="s">
        <v>75</v>
      </c>
      <c r="D67" s="52"/>
      <c r="E67" s="5"/>
    </row>
    <row r="68" spans="1:5" x14ac:dyDescent="0.2">
      <c r="A68" s="20">
        <f t="shared" ref="A68:A80" si="1">A67+1</f>
        <v>67</v>
      </c>
      <c r="B68" s="16" t="s">
        <v>77</v>
      </c>
      <c r="C68" s="21" t="s">
        <v>9</v>
      </c>
      <c r="D68" s="52"/>
      <c r="E68" s="5"/>
    </row>
    <row r="69" spans="1:5" ht="17" thickBot="1" x14ac:dyDescent="0.25">
      <c r="A69" s="20">
        <f t="shared" si="1"/>
        <v>68</v>
      </c>
      <c r="B69" s="16" t="s">
        <v>120</v>
      </c>
      <c r="C69" s="21" t="s">
        <v>9</v>
      </c>
      <c r="D69" s="53"/>
      <c r="E69" s="5"/>
    </row>
    <row r="70" spans="1:5" x14ac:dyDescent="0.2">
      <c r="A70" s="20">
        <f t="shared" si="1"/>
        <v>69</v>
      </c>
      <c r="B70" s="23" t="s">
        <v>79</v>
      </c>
      <c r="C70" s="28" t="s">
        <v>9</v>
      </c>
      <c r="D70" s="51" t="s">
        <v>78</v>
      </c>
      <c r="E70" s="5"/>
    </row>
    <row r="71" spans="1:5" ht="17" thickBot="1" x14ac:dyDescent="0.25">
      <c r="A71" s="20">
        <f t="shared" si="1"/>
        <v>70</v>
      </c>
      <c r="B71" s="22" t="s">
        <v>80</v>
      </c>
      <c r="C71" s="39" t="s">
        <v>9</v>
      </c>
      <c r="D71" s="53"/>
      <c r="E71" s="5"/>
    </row>
    <row r="72" spans="1:5" x14ac:dyDescent="0.2">
      <c r="A72" s="20">
        <f t="shared" si="1"/>
        <v>71</v>
      </c>
      <c r="B72" s="16" t="s">
        <v>82</v>
      </c>
      <c r="C72" s="8" t="s">
        <v>9</v>
      </c>
      <c r="D72" s="52" t="s">
        <v>98</v>
      </c>
    </row>
    <row r="73" spans="1:5" x14ac:dyDescent="0.2">
      <c r="A73" s="20">
        <f t="shared" si="1"/>
        <v>72</v>
      </c>
      <c r="B73" s="16" t="s">
        <v>83</v>
      </c>
      <c r="C73" s="8" t="s">
        <v>84</v>
      </c>
      <c r="D73" s="52"/>
    </row>
    <row r="74" spans="1:5" ht="17" thickBot="1" x14ac:dyDescent="0.25">
      <c r="A74" s="20">
        <f t="shared" si="1"/>
        <v>73</v>
      </c>
      <c r="B74" s="16" t="s">
        <v>85</v>
      </c>
      <c r="C74" s="8" t="s">
        <v>16</v>
      </c>
      <c r="D74" s="53"/>
    </row>
    <row r="75" spans="1:5" x14ac:dyDescent="0.2">
      <c r="A75" s="20">
        <f t="shared" si="1"/>
        <v>74</v>
      </c>
      <c r="B75" s="23" t="s">
        <v>86</v>
      </c>
      <c r="C75" s="15" t="s">
        <v>9</v>
      </c>
      <c r="D75" s="51" t="s">
        <v>99</v>
      </c>
    </row>
    <row r="76" spans="1:5" x14ac:dyDescent="0.2">
      <c r="A76" s="20">
        <f t="shared" si="1"/>
        <v>75</v>
      </c>
      <c r="B76" s="16" t="s">
        <v>96</v>
      </c>
      <c r="C76" s="8" t="s">
        <v>84</v>
      </c>
      <c r="D76" s="52"/>
    </row>
    <row r="77" spans="1:5" ht="17" thickBot="1" x14ac:dyDescent="0.25">
      <c r="A77" s="20">
        <f t="shared" si="1"/>
        <v>76</v>
      </c>
      <c r="B77" s="22" t="s">
        <v>87</v>
      </c>
      <c r="C77" s="14" t="s">
        <v>16</v>
      </c>
      <c r="D77" s="53"/>
    </row>
    <row r="78" spans="1:5" ht="17" thickBot="1" x14ac:dyDescent="0.25">
      <c r="A78" s="20">
        <f t="shared" si="1"/>
        <v>77</v>
      </c>
      <c r="B78" s="42" t="s">
        <v>94</v>
      </c>
      <c r="C78" s="42" t="s">
        <v>24</v>
      </c>
      <c r="D78" s="30" t="s">
        <v>56</v>
      </c>
      <c r="E78" s="5"/>
    </row>
    <row r="79" spans="1:5" x14ac:dyDescent="0.2">
      <c r="A79" s="20">
        <f t="shared" si="1"/>
        <v>78</v>
      </c>
      <c r="B79" s="9" t="s">
        <v>51</v>
      </c>
      <c r="C79" s="12" t="s">
        <v>10</v>
      </c>
      <c r="D79" s="51" t="s">
        <v>57</v>
      </c>
    </row>
    <row r="80" spans="1:5" x14ac:dyDescent="0.2">
      <c r="A80" s="20">
        <f t="shared" si="1"/>
        <v>79</v>
      </c>
      <c r="B80" s="11" t="s">
        <v>58</v>
      </c>
      <c r="C80" s="17" t="s">
        <v>10</v>
      </c>
      <c r="D80" s="52"/>
    </row>
  </sheetData>
  <mergeCells count="10">
    <mergeCell ref="D79:D80"/>
    <mergeCell ref="D6:D20"/>
    <mergeCell ref="D72:D74"/>
    <mergeCell ref="D75:D77"/>
    <mergeCell ref="D70:D71"/>
    <mergeCell ref="D21:D30"/>
    <mergeCell ref="D52:D57"/>
    <mergeCell ref="D58:D61"/>
    <mergeCell ref="D64:D69"/>
    <mergeCell ref="D38:D51"/>
  </mergeCell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8287-079C-D041-8E27-642CD2612D07}">
  <dimension ref="A1:D18"/>
  <sheetViews>
    <sheetView zoomScale="207" workbookViewId="0">
      <selection sqref="A1:XFD1"/>
    </sheetView>
  </sheetViews>
  <sheetFormatPr baseColWidth="10" defaultColWidth="3.33203125" defaultRowHeight="16" x14ac:dyDescent="0.2"/>
  <cols>
    <col min="1" max="1" width="7.33203125" bestFit="1" customWidth="1"/>
    <col min="2" max="2" width="26" bestFit="1" customWidth="1"/>
    <col min="3" max="3" width="14.5" bestFit="1" customWidth="1"/>
    <col min="4" max="4" width="13.33203125" bestFit="1" customWidth="1"/>
  </cols>
  <sheetData>
    <row r="1" spans="1:4" s="50" customFormat="1" x14ac:dyDescent="0.2">
      <c r="A1" s="46" t="s">
        <v>0</v>
      </c>
      <c r="B1" s="46" t="s">
        <v>1</v>
      </c>
      <c r="C1" s="46" t="s">
        <v>2</v>
      </c>
      <c r="D1" s="46" t="s">
        <v>19</v>
      </c>
    </row>
    <row r="2" spans="1:4" x14ac:dyDescent="0.2">
      <c r="A2" s="47">
        <f>COUNT(LvM!A1:A167) + 1</f>
        <v>80</v>
      </c>
      <c r="B2" s="47" t="s">
        <v>139</v>
      </c>
      <c r="C2" s="47" t="s">
        <v>15</v>
      </c>
      <c r="D2" s="47" t="s">
        <v>20</v>
      </c>
    </row>
    <row r="3" spans="1:4" x14ac:dyDescent="0.2">
      <c r="A3" s="5">
        <f>A2</f>
        <v>80</v>
      </c>
      <c r="B3" s="6" t="s">
        <v>133</v>
      </c>
      <c r="C3" s="5" t="s">
        <v>3</v>
      </c>
      <c r="D3" s="5" t="s">
        <v>21</v>
      </c>
    </row>
    <row r="4" spans="1:4" x14ac:dyDescent="0.2">
      <c r="A4" s="5">
        <f t="shared" ref="A4:A18" si="0">A3</f>
        <v>80</v>
      </c>
      <c r="B4" s="6" t="s">
        <v>134</v>
      </c>
      <c r="C4" s="5" t="s">
        <v>3</v>
      </c>
      <c r="D4" s="5" t="s">
        <v>22</v>
      </c>
    </row>
    <row r="5" spans="1:4" x14ac:dyDescent="0.2">
      <c r="A5" s="5">
        <f t="shared" si="0"/>
        <v>80</v>
      </c>
      <c r="B5" s="6" t="s">
        <v>135</v>
      </c>
      <c r="C5" s="5" t="s">
        <v>3</v>
      </c>
      <c r="D5" s="5" t="s">
        <v>32</v>
      </c>
    </row>
    <row r="6" spans="1:4" x14ac:dyDescent="0.2">
      <c r="A6" s="5">
        <f t="shared" si="0"/>
        <v>80</v>
      </c>
      <c r="B6" s="6" t="s">
        <v>136</v>
      </c>
      <c r="C6" s="5" t="s">
        <v>7</v>
      </c>
      <c r="D6" s="5" t="s">
        <v>23</v>
      </c>
    </row>
    <row r="7" spans="1:4" x14ac:dyDescent="0.2">
      <c r="A7" s="5">
        <f t="shared" si="0"/>
        <v>80</v>
      </c>
      <c r="B7" s="6" t="s">
        <v>137</v>
      </c>
      <c r="C7" s="5" t="s">
        <v>16</v>
      </c>
      <c r="D7" s="5" t="s">
        <v>65</v>
      </c>
    </row>
    <row r="8" spans="1:4" ht="17" thickBot="1" x14ac:dyDescent="0.25">
      <c r="A8" s="5">
        <f t="shared" si="0"/>
        <v>80</v>
      </c>
      <c r="B8" s="48" t="s">
        <v>138</v>
      </c>
      <c r="C8" s="49" t="s">
        <v>7</v>
      </c>
      <c r="D8" s="49" t="s">
        <v>88</v>
      </c>
    </row>
    <row r="9" spans="1:4" x14ac:dyDescent="0.2">
      <c r="A9" s="5">
        <f t="shared" si="0"/>
        <v>80</v>
      </c>
      <c r="B9" t="s">
        <v>140</v>
      </c>
      <c r="C9" t="s">
        <v>16</v>
      </c>
      <c r="D9" t="s">
        <v>141</v>
      </c>
    </row>
    <row r="10" spans="1:4" x14ac:dyDescent="0.2">
      <c r="A10" s="5">
        <f t="shared" si="0"/>
        <v>80</v>
      </c>
      <c r="B10" t="s">
        <v>142</v>
      </c>
      <c r="C10" t="s">
        <v>16</v>
      </c>
      <c r="D10" t="s">
        <v>143</v>
      </c>
    </row>
    <row r="11" spans="1:4" x14ac:dyDescent="0.2">
      <c r="A11" s="5">
        <f t="shared" si="0"/>
        <v>80</v>
      </c>
      <c r="B11" t="s">
        <v>144</v>
      </c>
      <c r="C11" t="s">
        <v>16</v>
      </c>
      <c r="D11" t="s">
        <v>145</v>
      </c>
    </row>
    <row r="12" spans="1:4" x14ac:dyDescent="0.2">
      <c r="A12" s="5">
        <f t="shared" si="0"/>
        <v>80</v>
      </c>
      <c r="B12" t="s">
        <v>146</v>
      </c>
      <c r="C12" t="s">
        <v>16</v>
      </c>
      <c r="D12" t="s">
        <v>147</v>
      </c>
    </row>
    <row r="13" spans="1:4" x14ac:dyDescent="0.2">
      <c r="A13" s="5">
        <f t="shared" si="0"/>
        <v>80</v>
      </c>
      <c r="B13" t="s">
        <v>148</v>
      </c>
      <c r="C13" t="s">
        <v>16</v>
      </c>
      <c r="D13" t="s">
        <v>149</v>
      </c>
    </row>
    <row r="14" spans="1:4" x14ac:dyDescent="0.2">
      <c r="A14" s="5">
        <f t="shared" si="0"/>
        <v>80</v>
      </c>
      <c r="B14" t="s">
        <v>150</v>
      </c>
      <c r="C14" t="s">
        <v>16</v>
      </c>
      <c r="D14" t="s">
        <v>151</v>
      </c>
    </row>
    <row r="15" spans="1:4" x14ac:dyDescent="0.2">
      <c r="A15" s="5">
        <f t="shared" si="0"/>
        <v>80</v>
      </c>
      <c r="B15" t="s">
        <v>152</v>
      </c>
      <c r="C15" t="s">
        <v>16</v>
      </c>
      <c r="D15" t="s">
        <v>153</v>
      </c>
    </row>
    <row r="16" spans="1:4" x14ac:dyDescent="0.2">
      <c r="A16" s="5">
        <f t="shared" si="0"/>
        <v>80</v>
      </c>
      <c r="B16" t="s">
        <v>154</v>
      </c>
      <c r="C16" t="s">
        <v>16</v>
      </c>
      <c r="D16" t="s">
        <v>155</v>
      </c>
    </row>
    <row r="17" spans="1:4" x14ac:dyDescent="0.2">
      <c r="A17" s="5">
        <f t="shared" si="0"/>
        <v>80</v>
      </c>
      <c r="B17" t="s">
        <v>156</v>
      </c>
      <c r="C17" t="s">
        <v>16</v>
      </c>
      <c r="D17" t="s">
        <v>157</v>
      </c>
    </row>
    <row r="18" spans="1:4" x14ac:dyDescent="0.2">
      <c r="A18" s="5">
        <f t="shared" si="0"/>
        <v>80</v>
      </c>
      <c r="B18" t="s">
        <v>158</v>
      </c>
      <c r="C18" t="s">
        <v>16</v>
      </c>
      <c r="D18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LvM</vt:lpstr>
      <vt:lpstr>tracing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2024-09-21T18:50:52Z</dcterms:created>
  <dcterms:modified xsi:type="dcterms:W3CDTF">2026-07-15T23:56:19Z</dcterms:modified>
</cp:coreProperties>
</file>