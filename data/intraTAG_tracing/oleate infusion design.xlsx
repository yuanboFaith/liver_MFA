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intraTAG_tracing/"/>
    </mc:Choice>
  </mc:AlternateContent>
  <xr:revisionPtr revIDLastSave="0" documentId="13_ncr:1_{13C70560-8D4C-6A49-AA8D-E281F9E17622}" xr6:coauthVersionLast="47" xr6:coauthVersionMax="47" xr10:uidLastSave="{00000000-0000-0000-0000-000000000000}"/>
  <bookViews>
    <workbookView xWindow="-5660" yWindow="-21600" windowWidth="38400" windowHeight="21600" xr2:uid="{96C9FAFA-A4AF-7E43-9B91-AC6520DB7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D17" i="1"/>
  <c r="A5" i="1"/>
  <c r="C17" i="1" s="1"/>
  <c r="A3" i="1"/>
  <c r="B18" i="1"/>
  <c r="D13" i="1"/>
  <c r="D14" i="1"/>
  <c r="D15" i="1"/>
  <c r="D16" i="1"/>
  <c r="D12" i="1"/>
  <c r="C13" i="1"/>
  <c r="C14" i="1"/>
  <c r="C15" i="1"/>
  <c r="C16" i="1" l="1"/>
  <c r="C12" i="1"/>
  <c r="C18" i="1"/>
</calcChain>
</file>

<file path=xl/sharedStrings.xml><?xml version="1.0" encoding="utf-8"?>
<sst xmlns="http://schemas.openxmlformats.org/spreadsheetml/2006/main" count="11" uniqueCount="11">
  <si>
    <t>h</t>
  </si>
  <si>
    <t>mg tracer/h/animal required</t>
  </si>
  <si>
    <t>mg required</t>
  </si>
  <si>
    <t>rep</t>
  </si>
  <si>
    <t>volume (mL)</t>
  </si>
  <si>
    <t>flow uL/min/animal</t>
  </si>
  <si>
    <t>flow uL/min/g BW</t>
  </si>
  <si>
    <t>mM=nmol/uL</t>
  </si>
  <si>
    <t>Oleate MW</t>
  </si>
  <si>
    <t>mmol KOH required to neutralize 100 mg tracer</t>
  </si>
  <si>
    <t>mL 0.1 M KOH requried to neutralize 10 mg 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</si>
</sst>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336D-E7AA-1342-9FD9-1CD7DB1A9765}">
  <dimension ref="A1:D18"/>
  <sheetViews>
    <sheetView tabSelected="1" zoomScale="256" workbookViewId="0">
      <selection activeCell="D7" sqref="D7"/>
    </sheetView>
  </sheetViews>
  <sheetFormatPr baseColWidth="10" defaultRowHeight="16" x14ac:dyDescent="0.2"/>
  <cols>
    <col min="1" max="1" width="7" customWidth="1"/>
    <col min="2" max="2" width="6.33203125" customWidth="1"/>
  </cols>
  <sheetData>
    <row r="1" spans="1:4" x14ac:dyDescent="0.2">
      <c r="A1">
        <v>30</v>
      </c>
      <c r="B1" t="s">
        <v>7</v>
      </c>
    </row>
    <row r="2" spans="1:4" x14ac:dyDescent="0.2">
      <c r="A2">
        <v>4</v>
      </c>
      <c r="B2" t="s">
        <v>5</v>
      </c>
    </row>
    <row r="3" spans="1:4" x14ac:dyDescent="0.2">
      <c r="A3">
        <f>A2/30</f>
        <v>0.13333333333333333</v>
      </c>
      <c r="B3" t="s">
        <v>6</v>
      </c>
    </row>
    <row r="4" spans="1:4" x14ac:dyDescent="0.2">
      <c r="A4">
        <v>300</v>
      </c>
      <c r="B4" t="s">
        <v>8</v>
      </c>
    </row>
    <row r="5" spans="1:4" x14ac:dyDescent="0.2">
      <c r="A5" s="3">
        <f>A1*A2*60*A4/10^6</f>
        <v>2.16</v>
      </c>
      <c r="B5" s="1" t="s">
        <v>1</v>
      </c>
    </row>
    <row r="6" spans="1:4" x14ac:dyDescent="0.2">
      <c r="A6">
        <f>100 / A4</f>
        <v>0.33333333333333331</v>
      </c>
      <c r="B6" s="1" t="s">
        <v>9</v>
      </c>
    </row>
    <row r="7" spans="1:4" x14ac:dyDescent="0.2">
      <c r="A7">
        <f>A6/1000 / 0.1 * 1000</f>
        <v>3.333333333333333</v>
      </c>
      <c r="B7" s="1" t="s">
        <v>10</v>
      </c>
    </row>
    <row r="11" spans="1:4" x14ac:dyDescent="0.2">
      <c r="A11" s="2" t="s">
        <v>0</v>
      </c>
      <c r="B11" s="2" t="s">
        <v>3</v>
      </c>
      <c r="C11" s="2" t="s">
        <v>2</v>
      </c>
      <c r="D11" s="2" t="s">
        <v>4</v>
      </c>
    </row>
    <row r="12" spans="1:4" x14ac:dyDescent="0.2">
      <c r="A12" s="1">
        <v>2</v>
      </c>
      <c r="B12" s="1">
        <v>2</v>
      </c>
      <c r="C12" s="1">
        <f>A12*B12*$A$5</f>
        <v>8.64</v>
      </c>
      <c r="D12" s="1">
        <f>A12*60*4/1000</f>
        <v>0.48</v>
      </c>
    </row>
    <row r="13" spans="1:4" x14ac:dyDescent="0.2">
      <c r="A13" s="1">
        <v>4</v>
      </c>
      <c r="B13" s="1">
        <v>2</v>
      </c>
      <c r="C13" s="1">
        <f t="shared" ref="C13:C17" si="0">A13*B13*$A$5</f>
        <v>17.28</v>
      </c>
      <c r="D13" s="1">
        <f t="shared" ref="D13:D17" si="1">A13*60*4/1000</f>
        <v>0.96</v>
      </c>
    </row>
    <row r="14" spans="1:4" x14ac:dyDescent="0.2">
      <c r="A14" s="1">
        <v>6</v>
      </c>
      <c r="B14" s="1">
        <v>2</v>
      </c>
      <c r="C14" s="1">
        <f t="shared" si="0"/>
        <v>25.92</v>
      </c>
      <c r="D14" s="1">
        <f t="shared" si="1"/>
        <v>1.44</v>
      </c>
    </row>
    <row r="15" spans="1:4" x14ac:dyDescent="0.2">
      <c r="A15" s="1">
        <v>8</v>
      </c>
      <c r="B15" s="1">
        <v>3</v>
      </c>
      <c r="C15" s="1">
        <f t="shared" si="0"/>
        <v>51.84</v>
      </c>
      <c r="D15" s="1">
        <f t="shared" si="1"/>
        <v>1.92</v>
      </c>
    </row>
    <row r="16" spans="1:4" x14ac:dyDescent="0.2">
      <c r="A16" s="1">
        <v>7</v>
      </c>
      <c r="B16" s="1">
        <v>1</v>
      </c>
      <c r="C16" s="1">
        <f>A16*B16*$A$5</f>
        <v>15.120000000000001</v>
      </c>
      <c r="D16" s="1">
        <f t="shared" si="1"/>
        <v>1.68</v>
      </c>
    </row>
    <row r="17" spans="1:4" x14ac:dyDescent="0.2">
      <c r="A17" s="1">
        <v>10</v>
      </c>
      <c r="B17" s="1">
        <v>2</v>
      </c>
      <c r="C17" s="1">
        <f t="shared" si="0"/>
        <v>43.2</v>
      </c>
      <c r="D17" s="1">
        <f>A17*60*4/1000</f>
        <v>2.4</v>
      </c>
    </row>
    <row r="18" spans="1:4" x14ac:dyDescent="0.2">
      <c r="A18" s="1"/>
      <c r="B18" s="1">
        <f>SUM(B12:B17)</f>
        <v>12</v>
      </c>
      <c r="C18" s="1">
        <f>SUM(C12:C17)</f>
        <v>162</v>
      </c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2025-04-22T16:24:31Z</dcterms:created>
  <dcterms:modified xsi:type="dcterms:W3CDTF">2025-04-23T18:37:00Z</dcterms:modified>
</cp:coreProperties>
</file>