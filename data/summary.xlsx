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9"/>
  <workbookPr codeName="ThisWorkbook"/>
  <mc:AlternateContent xmlns:mc="http://schemas.openxmlformats.org/markup-compatibility/2006">
    <mc:Choice Requires="x15">
      <x15ac:absPath xmlns:x15ac="http://schemas.microsoft.com/office/spreadsheetml/2010/11/ac" url="/Users/boyuan/Desktop/Harvard/Research/Energy Metabolism Atlas/data/"/>
    </mc:Choice>
  </mc:AlternateContent>
  <xr:revisionPtr revIDLastSave="0" documentId="13_ncr:1_{5FB1C348-5F5D-BB4F-BF5F-0A06F0A6D9C4}" xr6:coauthVersionLast="47" xr6:coauthVersionMax="47" xr10:uidLastSave="{00000000-0000-0000-0000-000000000000}"/>
  <bookViews>
    <workbookView xWindow="-4140" yWindow="-21600" windowWidth="38400" windowHeight="21600" tabRatio="500" activeTab="2" xr2:uid="{00000000-000D-0000-FFFF-FFFF00000000}"/>
  </bookViews>
  <sheets>
    <sheet name="Fasted" sheetId="1" r:id="rId1"/>
    <sheet name="Refed" sheetId="7" r:id="rId2"/>
    <sheet name="Glucose" sheetId="17" r:id="rId3"/>
    <sheet name="Lactate" sheetId="18" r:id="rId4"/>
    <sheet name="Glutamine" sheetId="19" r:id="rId5"/>
    <sheet name="Alanine" sheetId="13" r:id="rId6"/>
    <sheet name="3HB" sheetId="12" r:id="rId7"/>
    <sheet name="Palmitate" sheetId="10" r:id="rId8"/>
    <sheet name="Oleate" sheetId="9" r:id="rId9"/>
    <sheet name="Linoleate" sheetId="8" r:id="rId10"/>
    <sheet name="Serine" sheetId="16" r:id="rId11"/>
    <sheet name="Glycine" sheetId="20" r:id="rId12"/>
    <sheet name="Citrate" sheetId="11" r:id="rId13"/>
    <sheet name="Acetate" sheetId="15" r:id="rId14"/>
    <sheet name="Glycerol" sheetId="6" r:id="rId15"/>
    <sheet name="BCAAs" sheetId="14" r:id="rId16"/>
    <sheet name="6AAs" sheetId="5" r:id="rId1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G40" i="17" l="1"/>
  <c r="O39" i="17"/>
  <c r="W40" i="17"/>
  <c r="W69" i="17"/>
  <c r="W68" i="17"/>
  <c r="W67" i="17"/>
  <c r="W66" i="17"/>
  <c r="W65" i="17"/>
  <c r="W64" i="17"/>
  <c r="W63" i="17"/>
  <c r="W62" i="17"/>
  <c r="W61" i="17"/>
  <c r="W60" i="17"/>
  <c r="W59" i="17"/>
  <c r="W58" i="17"/>
  <c r="W57" i="17"/>
  <c r="W56" i="17"/>
  <c r="W55" i="17"/>
  <c r="W54" i="17"/>
  <c r="W53" i="17"/>
  <c r="W52" i="17"/>
  <c r="W51" i="17"/>
  <c r="W50" i="17"/>
  <c r="W49" i="17"/>
  <c r="W48" i="17"/>
  <c r="W47" i="17"/>
  <c r="W46" i="17"/>
  <c r="W45" i="17"/>
  <c r="W44" i="17"/>
  <c r="W43" i="17"/>
  <c r="W42" i="17"/>
  <c r="W41" i="17"/>
  <c r="W39" i="17"/>
  <c r="W38" i="17"/>
  <c r="W37" i="17"/>
  <c r="S69" i="17"/>
  <c r="S68" i="17"/>
  <c r="S67" i="17"/>
  <c r="S66" i="17"/>
  <c r="S65" i="17"/>
  <c r="S64" i="17"/>
  <c r="S63" i="17"/>
  <c r="S62" i="17"/>
  <c r="S61" i="17"/>
  <c r="S60" i="17"/>
  <c r="S59" i="17"/>
  <c r="S58" i="17"/>
  <c r="S57" i="17"/>
  <c r="S56" i="17"/>
  <c r="S55" i="17"/>
  <c r="S54" i="17"/>
  <c r="S53" i="17"/>
  <c r="S52" i="17"/>
  <c r="S51" i="17"/>
  <c r="S50" i="17"/>
  <c r="S49" i="17"/>
  <c r="S48" i="17"/>
  <c r="S47" i="17"/>
  <c r="S46" i="17"/>
  <c r="S45" i="17"/>
  <c r="S44" i="17"/>
  <c r="S43" i="17"/>
  <c r="S42" i="17"/>
  <c r="S41" i="17"/>
  <c r="S40" i="17"/>
  <c r="S39" i="17"/>
  <c r="S38" i="17"/>
  <c r="S37" i="17"/>
  <c r="O69" i="17"/>
  <c r="O68" i="17"/>
  <c r="O67" i="17"/>
  <c r="O66" i="17"/>
  <c r="O65" i="17"/>
  <c r="O64" i="17"/>
  <c r="O63" i="17"/>
  <c r="O62" i="17"/>
  <c r="O61" i="17"/>
  <c r="O60" i="17"/>
  <c r="O59" i="17"/>
  <c r="O58" i="17"/>
  <c r="O57" i="17"/>
  <c r="O56" i="17"/>
  <c r="O55" i="17"/>
  <c r="O54" i="17"/>
  <c r="O53" i="17"/>
  <c r="O52" i="17"/>
  <c r="O51" i="17"/>
  <c r="O50" i="17"/>
  <c r="O49" i="17"/>
  <c r="O48" i="17"/>
  <c r="O47" i="17"/>
  <c r="O46" i="17"/>
  <c r="O45" i="17"/>
  <c r="O44" i="17"/>
  <c r="O43" i="17"/>
  <c r="O42" i="17"/>
  <c r="O41" i="17"/>
  <c r="O40" i="17"/>
  <c r="O38" i="17"/>
  <c r="O37" i="17"/>
  <c r="K69" i="17"/>
  <c r="K68" i="17"/>
  <c r="K67" i="17"/>
  <c r="K66" i="17"/>
  <c r="K65" i="17"/>
  <c r="K64" i="17"/>
  <c r="K63" i="17"/>
  <c r="K62" i="17"/>
  <c r="K61" i="17"/>
  <c r="K60" i="17"/>
  <c r="K59" i="17"/>
  <c r="K58" i="17"/>
  <c r="K57" i="17"/>
  <c r="K56" i="17"/>
  <c r="K55" i="17"/>
  <c r="K54" i="17"/>
  <c r="K53" i="17"/>
  <c r="K52" i="17"/>
  <c r="K51" i="17"/>
  <c r="K50" i="17"/>
  <c r="K49" i="17"/>
  <c r="K48" i="17"/>
  <c r="K47" i="17"/>
  <c r="K46" i="17"/>
  <c r="K45" i="17"/>
  <c r="K44" i="17"/>
  <c r="K43" i="17"/>
  <c r="K42" i="17"/>
  <c r="K41" i="17"/>
  <c r="K40" i="17"/>
  <c r="K39" i="17"/>
  <c r="K38" i="17"/>
  <c r="K37" i="17"/>
  <c r="G52" i="17"/>
  <c r="G53" i="17"/>
  <c r="G54" i="17"/>
  <c r="G55" i="17"/>
  <c r="G56" i="17"/>
  <c r="G57" i="17"/>
  <c r="G58" i="17"/>
  <c r="G59" i="17"/>
  <c r="G60" i="17"/>
  <c r="G61" i="17"/>
  <c r="G62" i="17"/>
  <c r="G63" i="17"/>
  <c r="G64" i="17"/>
  <c r="G65" i="17"/>
  <c r="G66" i="17"/>
  <c r="G67" i="17"/>
  <c r="G68" i="17"/>
  <c r="G69" i="17"/>
  <c r="G51" i="17"/>
  <c r="G50" i="17"/>
  <c r="G49" i="17"/>
  <c r="G48" i="17"/>
  <c r="G47" i="17"/>
  <c r="G46" i="17"/>
  <c r="G45" i="17"/>
  <c r="G44" i="17"/>
  <c r="G43" i="17"/>
  <c r="G42" i="17"/>
  <c r="G41" i="17"/>
  <c r="G39" i="17"/>
  <c r="G38" i="17"/>
  <c r="G37" i="17"/>
  <c r="W33" i="17"/>
  <c r="W32" i="17"/>
  <c r="W31" i="17"/>
  <c r="W30" i="17"/>
  <c r="W29" i="17"/>
  <c r="W28" i="17"/>
  <c r="W27" i="17"/>
  <c r="W26" i="17"/>
  <c r="W25" i="17"/>
  <c r="W24" i="17"/>
  <c r="W23" i="17"/>
  <c r="W22" i="17"/>
  <c r="W21" i="17"/>
  <c r="W20" i="17"/>
  <c r="W19" i="17"/>
  <c r="S33" i="17"/>
  <c r="S32" i="17"/>
  <c r="S31" i="17"/>
  <c r="S30" i="17"/>
  <c r="S29" i="17"/>
  <c r="S28" i="17"/>
  <c r="S27" i="17"/>
  <c r="S26" i="17"/>
  <c r="S25" i="17"/>
  <c r="S24" i="17"/>
  <c r="S23" i="17"/>
  <c r="S22" i="17"/>
  <c r="S21" i="17"/>
  <c r="S20" i="17"/>
  <c r="S19" i="17"/>
  <c r="O33" i="17"/>
  <c r="O32" i="17"/>
  <c r="O31" i="17"/>
  <c r="O30" i="17"/>
  <c r="O29" i="17"/>
  <c r="O28" i="17"/>
  <c r="O27" i="17"/>
  <c r="O26" i="17"/>
  <c r="O25" i="17"/>
  <c r="O24" i="17"/>
  <c r="O23" i="17"/>
  <c r="O22" i="17"/>
  <c r="O21" i="17"/>
  <c r="O20" i="17"/>
  <c r="O19" i="17"/>
  <c r="K33" i="17"/>
  <c r="K32" i="17"/>
  <c r="K31" i="17"/>
  <c r="K30" i="17"/>
  <c r="K29" i="17"/>
  <c r="K28" i="17"/>
  <c r="K27" i="17"/>
  <c r="K26" i="17"/>
  <c r="K25" i="17"/>
  <c r="K24" i="17"/>
  <c r="K23" i="17"/>
  <c r="K22" i="17"/>
  <c r="K21" i="17"/>
  <c r="K20" i="17"/>
  <c r="K19" i="17"/>
  <c r="W89" i="17"/>
  <c r="W90" i="17"/>
  <c r="W91" i="17"/>
  <c r="G20" i="17"/>
  <c r="G21" i="17"/>
  <c r="G22" i="17"/>
  <c r="G23" i="17"/>
  <c r="G24" i="17"/>
  <c r="G25" i="17"/>
  <c r="G26" i="17"/>
  <c r="G27" i="17"/>
  <c r="G28" i="17"/>
  <c r="G29" i="17"/>
  <c r="G30" i="17"/>
  <c r="G31" i="17"/>
  <c r="G32" i="17"/>
  <c r="G33" i="17"/>
  <c r="G19" i="17"/>
  <c r="B19" i="19"/>
  <c r="C19" i="19"/>
  <c r="U9" i="14"/>
  <c r="U8" i="14"/>
  <c r="Q8" i="14"/>
  <c r="Q9" i="14" s="1"/>
  <c r="B49" i="14" l="1"/>
  <c r="AB33" i="1" s="1"/>
  <c r="T26" i="7"/>
  <c r="U26" i="7"/>
  <c r="T31" i="7"/>
  <c r="U31" i="7"/>
  <c r="T34" i="7"/>
  <c r="U34" i="7"/>
  <c r="T35" i="7"/>
  <c r="U35" i="7"/>
  <c r="T43" i="7"/>
  <c r="U43" i="7"/>
  <c r="T48" i="7"/>
  <c r="U48" i="7"/>
  <c r="T51" i="7"/>
  <c r="U51" i="7"/>
  <c r="T52" i="7"/>
  <c r="U52" i="7"/>
  <c r="T15" i="7"/>
  <c r="U15" i="7"/>
  <c r="D148" i="20"/>
  <c r="D147" i="20"/>
  <c r="D146" i="20"/>
  <c r="D145" i="20"/>
  <c r="D143" i="20"/>
  <c r="D142" i="20"/>
  <c r="D141" i="20"/>
  <c r="D140" i="20"/>
  <c r="D138" i="20"/>
  <c r="D137" i="20"/>
  <c r="C137" i="20"/>
  <c r="U41" i="7" s="1"/>
  <c r="D136" i="20"/>
  <c r="D135" i="20"/>
  <c r="D134" i="20"/>
  <c r="D131" i="20"/>
  <c r="D130" i="20"/>
  <c r="D129" i="20"/>
  <c r="D128" i="20"/>
  <c r="D126" i="20"/>
  <c r="D125" i="20"/>
  <c r="D124" i="20"/>
  <c r="D123" i="20"/>
  <c r="D121" i="20"/>
  <c r="C121" i="20"/>
  <c r="U25" i="7" s="1"/>
  <c r="D120" i="20"/>
  <c r="D119" i="20"/>
  <c r="D118" i="20"/>
  <c r="D117" i="20"/>
  <c r="D110" i="20"/>
  <c r="D111" i="20"/>
  <c r="C111" i="20"/>
  <c r="U16" i="7" s="1"/>
  <c r="D113" i="20"/>
  <c r="B113" i="20"/>
  <c r="T18" i="7" s="1"/>
  <c r="D112" i="20"/>
  <c r="D100" i="20"/>
  <c r="D101" i="20"/>
  <c r="D102" i="20"/>
  <c r="C102" i="20"/>
  <c r="U7" i="7" s="1"/>
  <c r="D103" i="20"/>
  <c r="B104" i="20"/>
  <c r="T9" i="7" s="1"/>
  <c r="D104" i="20"/>
  <c r="D105" i="20"/>
  <c r="D106" i="20"/>
  <c r="D107" i="20"/>
  <c r="B108" i="20"/>
  <c r="T13" i="7" s="1"/>
  <c r="D108" i="20"/>
  <c r="D109" i="20"/>
  <c r="D99" i="20"/>
  <c r="T26" i="1"/>
  <c r="U26" i="1"/>
  <c r="T34" i="1"/>
  <c r="U34" i="1"/>
  <c r="T35" i="1"/>
  <c r="U35" i="1"/>
  <c r="T43" i="1"/>
  <c r="U43" i="1"/>
  <c r="T51" i="1"/>
  <c r="U51" i="1"/>
  <c r="T52" i="1"/>
  <c r="U52" i="1"/>
  <c r="T15" i="1"/>
  <c r="U15" i="1"/>
  <c r="T16" i="1"/>
  <c r="U16" i="1"/>
  <c r="D69" i="20"/>
  <c r="D68" i="20"/>
  <c r="D67" i="20"/>
  <c r="D66" i="20"/>
  <c r="D65" i="20"/>
  <c r="D64" i="20"/>
  <c r="D63" i="20"/>
  <c r="D62" i="20"/>
  <c r="D61" i="20"/>
  <c r="D60" i="20"/>
  <c r="D59" i="20"/>
  <c r="D58" i="20"/>
  <c r="D57" i="20"/>
  <c r="D56" i="20"/>
  <c r="D55" i="20"/>
  <c r="D54" i="20"/>
  <c r="D52" i="20"/>
  <c r="D42" i="20"/>
  <c r="D51" i="20"/>
  <c r="D50" i="20"/>
  <c r="D49" i="20"/>
  <c r="D48" i="20"/>
  <c r="D47" i="20"/>
  <c r="D46" i="20"/>
  <c r="D45" i="20"/>
  <c r="D44" i="20"/>
  <c r="D43" i="20"/>
  <c r="D41" i="20"/>
  <c r="D40" i="20"/>
  <c r="D39" i="20"/>
  <c r="D38" i="20"/>
  <c r="D37" i="20"/>
  <c r="D33" i="20"/>
  <c r="D32" i="20"/>
  <c r="D20" i="20"/>
  <c r="D21" i="20"/>
  <c r="D22" i="20"/>
  <c r="D23" i="20"/>
  <c r="D24" i="20"/>
  <c r="D25" i="20"/>
  <c r="D26" i="20"/>
  <c r="D27" i="20"/>
  <c r="D28" i="20"/>
  <c r="D29" i="20"/>
  <c r="D30" i="20"/>
  <c r="D31" i="20"/>
  <c r="D19" i="20"/>
  <c r="I10" i="20"/>
  <c r="E10" i="20"/>
  <c r="I9" i="20"/>
  <c r="I11" i="20" s="1"/>
  <c r="E9" i="20"/>
  <c r="B62" i="20" s="1"/>
  <c r="T46" i="1" s="1"/>
  <c r="B31" i="9"/>
  <c r="D111" i="12"/>
  <c r="AF90" i="17"/>
  <c r="V10" i="11"/>
  <c r="U10" i="11"/>
  <c r="AZ88" i="18"/>
  <c r="AW88" i="18"/>
  <c r="AW90" i="18" s="1"/>
  <c r="AZ90" i="18"/>
  <c r="AZ89" i="18"/>
  <c r="AW89" i="18"/>
  <c r="AT88" i="18"/>
  <c r="AT90" i="18" s="1"/>
  <c r="AT89" i="18"/>
  <c r="AP89" i="18"/>
  <c r="AN89" i="18"/>
  <c r="AL89" i="18"/>
  <c r="C110" i="18" s="1"/>
  <c r="AC89" i="18"/>
  <c r="Y89" i="18"/>
  <c r="C31" i="19"/>
  <c r="B31" i="19"/>
  <c r="F16" i="1" s="1"/>
  <c r="U90" i="19"/>
  <c r="D111" i="19"/>
  <c r="D68" i="8"/>
  <c r="D67" i="8"/>
  <c r="D66" i="8"/>
  <c r="D65" i="8"/>
  <c r="D64" i="8"/>
  <c r="D63" i="8"/>
  <c r="D62" i="8"/>
  <c r="D61" i="8"/>
  <c r="D60" i="8"/>
  <c r="D59" i="8"/>
  <c r="D58" i="8"/>
  <c r="D57" i="8"/>
  <c r="D56" i="8"/>
  <c r="D55" i="8"/>
  <c r="D54" i="8"/>
  <c r="D49" i="8"/>
  <c r="D48" i="8"/>
  <c r="D46" i="8"/>
  <c r="D45" i="8"/>
  <c r="D29" i="8"/>
  <c r="D28" i="8"/>
  <c r="D27" i="8"/>
  <c r="D25" i="8"/>
  <c r="D24" i="8"/>
  <c r="D23" i="8"/>
  <c r="D22" i="8"/>
  <c r="D21" i="8"/>
  <c r="D20" i="8"/>
  <c r="D19" i="8"/>
  <c r="AC9" i="8"/>
  <c r="AC8" i="8"/>
  <c r="AC10" i="8" s="1"/>
  <c r="AG9" i="8"/>
  <c r="D31" i="8"/>
  <c r="D47" i="8"/>
  <c r="D44" i="8"/>
  <c r="D43" i="8"/>
  <c r="D41" i="8"/>
  <c r="D40" i="8"/>
  <c r="D39" i="8"/>
  <c r="D38" i="8"/>
  <c r="D37" i="8"/>
  <c r="AC9" i="10"/>
  <c r="Y9" i="10"/>
  <c r="Y9" i="8"/>
  <c r="U9" i="8"/>
  <c r="Y10" i="8"/>
  <c r="U10" i="8"/>
  <c r="D126" i="8"/>
  <c r="D111" i="8"/>
  <c r="I89" i="20"/>
  <c r="I91" i="20" s="1"/>
  <c r="E89" i="20"/>
  <c r="B143" i="20" s="1"/>
  <c r="T47" i="7" s="1"/>
  <c r="I90" i="20"/>
  <c r="E90" i="20"/>
  <c r="D66" i="15"/>
  <c r="D65" i="15"/>
  <c r="D64" i="15"/>
  <c r="D63" i="15"/>
  <c r="D62" i="15"/>
  <c r="D61" i="15"/>
  <c r="D60" i="15"/>
  <c r="D59" i="15"/>
  <c r="D58" i="15"/>
  <c r="D57" i="15"/>
  <c r="D56" i="15"/>
  <c r="D55" i="15"/>
  <c r="D54" i="15"/>
  <c r="D49" i="15"/>
  <c r="D48" i="15"/>
  <c r="D46" i="15"/>
  <c r="D45" i="15"/>
  <c r="D44" i="15"/>
  <c r="D43" i="15"/>
  <c r="D41" i="15"/>
  <c r="D40" i="15"/>
  <c r="D39" i="15"/>
  <c r="D38" i="15"/>
  <c r="D33" i="15"/>
  <c r="D32" i="15"/>
  <c r="D29" i="15"/>
  <c r="D28" i="15"/>
  <c r="D27" i="15"/>
  <c r="D26" i="15"/>
  <c r="D25" i="15"/>
  <c r="D24" i="15"/>
  <c r="D23" i="15"/>
  <c r="D22" i="15"/>
  <c r="D21" i="15"/>
  <c r="D20" i="15"/>
  <c r="O30" i="15"/>
  <c r="N30" i="15"/>
  <c r="M30" i="15"/>
  <c r="J30" i="15"/>
  <c r="F30" i="15"/>
  <c r="D30" i="15" s="1"/>
  <c r="C110" i="6"/>
  <c r="B110" i="6"/>
  <c r="D112" i="8"/>
  <c r="D146" i="15"/>
  <c r="D145" i="15"/>
  <c r="D137" i="15"/>
  <c r="D129" i="15"/>
  <c r="D128" i="15"/>
  <c r="D113" i="15"/>
  <c r="D112" i="15"/>
  <c r="D109" i="15"/>
  <c r="D108" i="15"/>
  <c r="D107" i="15"/>
  <c r="D106" i="15"/>
  <c r="D105" i="15"/>
  <c r="D104" i="15"/>
  <c r="D102" i="15"/>
  <c r="D101" i="15"/>
  <c r="D100" i="15"/>
  <c r="D99" i="15"/>
  <c r="AD88" i="15"/>
  <c r="AC88" i="15" s="1"/>
  <c r="AC90" i="15" s="1"/>
  <c r="Z88" i="15"/>
  <c r="Y88" i="15" s="1"/>
  <c r="AP88" i="18"/>
  <c r="AP90" i="18"/>
  <c r="AN88" i="18"/>
  <c r="AN90" i="18" s="1"/>
  <c r="AL88" i="18"/>
  <c r="AL90" i="18" s="1"/>
  <c r="AC88" i="17"/>
  <c r="AA88" i="17"/>
  <c r="AC90" i="17"/>
  <c r="AA90" i="17"/>
  <c r="V88" i="15"/>
  <c r="U88" i="15" s="1"/>
  <c r="B146" i="18"/>
  <c r="U90" i="17"/>
  <c r="U89" i="17"/>
  <c r="D149" i="6"/>
  <c r="D148" i="6"/>
  <c r="D147" i="6"/>
  <c r="D146" i="6"/>
  <c r="D145" i="6"/>
  <c r="D144" i="6"/>
  <c r="D143" i="6"/>
  <c r="D142" i="6"/>
  <c r="D141" i="6"/>
  <c r="D140" i="6"/>
  <c r="D139" i="6"/>
  <c r="D138" i="6"/>
  <c r="D137" i="6"/>
  <c r="D136" i="6"/>
  <c r="D135" i="6"/>
  <c r="D134" i="6"/>
  <c r="D132" i="6"/>
  <c r="D130" i="6"/>
  <c r="D129" i="6"/>
  <c r="D128" i="6"/>
  <c r="D127" i="6"/>
  <c r="D125" i="6"/>
  <c r="D124" i="6"/>
  <c r="D123" i="6"/>
  <c r="D119" i="6"/>
  <c r="D120" i="6"/>
  <c r="D121" i="6"/>
  <c r="D118" i="6"/>
  <c r="Y88" i="6"/>
  <c r="D131" i="6"/>
  <c r="D126" i="6"/>
  <c r="D122" i="6"/>
  <c r="D117" i="6"/>
  <c r="Q89" i="6"/>
  <c r="U88" i="6"/>
  <c r="U90" i="6" s="1"/>
  <c r="Q88" i="6"/>
  <c r="Q90" i="6" s="1"/>
  <c r="D69" i="13"/>
  <c r="D67" i="13"/>
  <c r="D66" i="13"/>
  <c r="D65" i="13"/>
  <c r="D63" i="13"/>
  <c r="D62" i="13"/>
  <c r="D61" i="13"/>
  <c r="D60" i="13"/>
  <c r="D59" i="13"/>
  <c r="D58" i="13"/>
  <c r="D57" i="13"/>
  <c r="D56" i="13"/>
  <c r="D55" i="13"/>
  <c r="D54" i="13"/>
  <c r="D49" i="13"/>
  <c r="D48" i="13"/>
  <c r="D46" i="13"/>
  <c r="D45" i="13"/>
  <c r="D44" i="13"/>
  <c r="D43" i="13"/>
  <c r="D42" i="13"/>
  <c r="D38" i="13"/>
  <c r="D39" i="13"/>
  <c r="D40" i="13"/>
  <c r="D41" i="13"/>
  <c r="D33" i="13"/>
  <c r="D32" i="13"/>
  <c r="D24" i="13"/>
  <c r="D25" i="13"/>
  <c r="D26" i="13"/>
  <c r="D27" i="13"/>
  <c r="D28" i="13"/>
  <c r="D29" i="13"/>
  <c r="D23" i="13"/>
  <c r="D22" i="13"/>
  <c r="D21" i="13"/>
  <c r="D20" i="13"/>
  <c r="U8" i="13"/>
  <c r="Q8" i="13"/>
  <c r="Q10" i="13" s="1"/>
  <c r="U9" i="13"/>
  <c r="U11" i="13" s="1"/>
  <c r="Q9" i="13"/>
  <c r="B42" i="13" s="1"/>
  <c r="D19" i="13"/>
  <c r="U10" i="13"/>
  <c r="R43" i="7"/>
  <c r="S43" i="7"/>
  <c r="R48" i="7"/>
  <c r="S48" i="7"/>
  <c r="R51" i="7"/>
  <c r="S51" i="7"/>
  <c r="R52" i="7"/>
  <c r="S52" i="7"/>
  <c r="R26" i="7"/>
  <c r="S26" i="7"/>
  <c r="R31" i="7"/>
  <c r="S31" i="7"/>
  <c r="R34" i="7"/>
  <c r="S34" i="7"/>
  <c r="R35" i="7"/>
  <c r="S35" i="7"/>
  <c r="R14" i="7"/>
  <c r="S14" i="7"/>
  <c r="R15" i="7"/>
  <c r="S15" i="7"/>
  <c r="D144" i="16"/>
  <c r="D127" i="16"/>
  <c r="D148" i="16"/>
  <c r="D147" i="16"/>
  <c r="D146" i="16"/>
  <c r="D145" i="16"/>
  <c r="D143" i="16"/>
  <c r="D142" i="16"/>
  <c r="D141" i="16"/>
  <c r="D140" i="16"/>
  <c r="D139" i="16"/>
  <c r="D138" i="16"/>
  <c r="D137" i="16"/>
  <c r="D136" i="16"/>
  <c r="D135" i="16"/>
  <c r="D134" i="16"/>
  <c r="D121" i="16"/>
  <c r="D122" i="16"/>
  <c r="D131" i="16"/>
  <c r="D130" i="16"/>
  <c r="D129" i="16"/>
  <c r="D128" i="16"/>
  <c r="D126" i="16"/>
  <c r="D125" i="16"/>
  <c r="D124" i="16"/>
  <c r="D123" i="16"/>
  <c r="D120" i="16"/>
  <c r="D119" i="16"/>
  <c r="D118" i="16"/>
  <c r="D117" i="16"/>
  <c r="D111" i="16"/>
  <c r="D110" i="16"/>
  <c r="D109" i="16"/>
  <c r="D113" i="16"/>
  <c r="D112" i="16"/>
  <c r="D102" i="16"/>
  <c r="D103" i="16"/>
  <c r="D104" i="16"/>
  <c r="D105" i="16"/>
  <c r="D106" i="16"/>
  <c r="D107" i="16"/>
  <c r="D108" i="16"/>
  <c r="D101" i="16"/>
  <c r="D100" i="16"/>
  <c r="D99" i="16"/>
  <c r="M90" i="16"/>
  <c r="M89" i="16"/>
  <c r="B145" i="16" s="1"/>
  <c r="R49" i="7" s="1"/>
  <c r="I90" i="16"/>
  <c r="I89" i="16"/>
  <c r="E90" i="16"/>
  <c r="E89" i="16"/>
  <c r="C127" i="18"/>
  <c r="E31" i="7" s="1"/>
  <c r="B127" i="18"/>
  <c r="D31" i="7" s="1"/>
  <c r="AG89" i="18"/>
  <c r="D113" i="17"/>
  <c r="D112" i="17"/>
  <c r="D101" i="17"/>
  <c r="D102" i="17"/>
  <c r="D103" i="17"/>
  <c r="D104" i="17"/>
  <c r="D105" i="17"/>
  <c r="D106" i="17"/>
  <c r="D107" i="17"/>
  <c r="D108" i="17"/>
  <c r="D109" i="17"/>
  <c r="D99" i="17"/>
  <c r="D100" i="17"/>
  <c r="AC89" i="17"/>
  <c r="AA89" i="17"/>
  <c r="D148" i="19"/>
  <c r="D147" i="19"/>
  <c r="D146" i="19"/>
  <c r="D145" i="19"/>
  <c r="D144" i="19"/>
  <c r="D143" i="19"/>
  <c r="D142" i="19"/>
  <c r="D141" i="19"/>
  <c r="D140" i="19"/>
  <c r="D139" i="19"/>
  <c r="D138" i="19"/>
  <c r="D137" i="19"/>
  <c r="D136" i="19"/>
  <c r="D135" i="19"/>
  <c r="D134" i="19"/>
  <c r="D129" i="19"/>
  <c r="D128" i="19"/>
  <c r="D127" i="19"/>
  <c r="D126" i="19"/>
  <c r="D125" i="19"/>
  <c r="D124" i="19"/>
  <c r="D123" i="19"/>
  <c r="D118" i="19"/>
  <c r="D119" i="19"/>
  <c r="D120" i="19"/>
  <c r="D121" i="19"/>
  <c r="D117" i="19"/>
  <c r="D113" i="19"/>
  <c r="D112" i="19"/>
  <c r="D109" i="19"/>
  <c r="D108" i="19"/>
  <c r="D107" i="19"/>
  <c r="D106" i="19"/>
  <c r="D105" i="19"/>
  <c r="D104" i="19"/>
  <c r="D103" i="19"/>
  <c r="D102" i="19"/>
  <c r="D101" i="19"/>
  <c r="D100" i="19"/>
  <c r="D99" i="19"/>
  <c r="AI89" i="19"/>
  <c r="AA89" i="19"/>
  <c r="AE89" i="19"/>
  <c r="Z8" i="15"/>
  <c r="Y9" i="15" s="1"/>
  <c r="Y8" i="15" s="1"/>
  <c r="Y10" i="15" s="1"/>
  <c r="V8" i="15"/>
  <c r="U9" i="15" s="1"/>
  <c r="U8" i="15" s="1"/>
  <c r="U10" i="15" s="1"/>
  <c r="R8" i="15"/>
  <c r="Q9" i="15" s="1"/>
  <c r="Q8" i="15" s="1"/>
  <c r="Q10" i="15" s="1"/>
  <c r="D110" i="15"/>
  <c r="D37" i="15"/>
  <c r="X26" i="1"/>
  <c r="Y26" i="1"/>
  <c r="D47" i="15"/>
  <c r="X34" i="1"/>
  <c r="Y34" i="1"/>
  <c r="X35" i="1"/>
  <c r="Y35" i="1"/>
  <c r="R88" i="15"/>
  <c r="Q88" i="15" s="1"/>
  <c r="Q89" i="15" s="1"/>
  <c r="N88" i="15"/>
  <c r="M88" i="15" s="1"/>
  <c r="M89" i="15" s="1"/>
  <c r="J88" i="15"/>
  <c r="I88" i="15" s="1"/>
  <c r="F88" i="15"/>
  <c r="E88" i="15" s="1"/>
  <c r="P8" i="15"/>
  <c r="J8" i="15"/>
  <c r="F8" i="15"/>
  <c r="AR9" i="18"/>
  <c r="AP9" i="18"/>
  <c r="AN9" i="18"/>
  <c r="AL9" i="18"/>
  <c r="C111" i="13"/>
  <c r="B111" i="13"/>
  <c r="B30" i="10"/>
  <c r="D69" i="12"/>
  <c r="D68" i="12"/>
  <c r="D67" i="12"/>
  <c r="B67" i="12"/>
  <c r="D66" i="12"/>
  <c r="D65" i="12"/>
  <c r="D64" i="12"/>
  <c r="D63" i="12"/>
  <c r="D62" i="12"/>
  <c r="D61" i="12"/>
  <c r="D60" i="12"/>
  <c r="D59" i="12"/>
  <c r="D58" i="12"/>
  <c r="D57" i="12"/>
  <c r="D56" i="12"/>
  <c r="D55" i="12"/>
  <c r="D54" i="12"/>
  <c r="D52" i="12"/>
  <c r="C52" i="12"/>
  <c r="D33" i="12"/>
  <c r="D32" i="12"/>
  <c r="U10" i="12"/>
  <c r="U9" i="12"/>
  <c r="Q10" i="12"/>
  <c r="Q9" i="12"/>
  <c r="B69" i="12" s="1"/>
  <c r="C30" i="18"/>
  <c r="E15" i="1" s="1"/>
  <c r="B30" i="18"/>
  <c r="D15" i="1" s="1"/>
  <c r="D26" i="7"/>
  <c r="E26" i="7"/>
  <c r="D34" i="7"/>
  <c r="E34" i="7"/>
  <c r="D35" i="7"/>
  <c r="E35" i="7"/>
  <c r="D43" i="7"/>
  <c r="E43" i="7"/>
  <c r="D50" i="7"/>
  <c r="D51" i="7"/>
  <c r="E51" i="7"/>
  <c r="D52" i="7"/>
  <c r="E52" i="7"/>
  <c r="E15" i="7"/>
  <c r="D26" i="1"/>
  <c r="E26" i="1"/>
  <c r="D34" i="1"/>
  <c r="E34" i="1"/>
  <c r="D35" i="1"/>
  <c r="E35" i="1"/>
  <c r="D43" i="1"/>
  <c r="E43" i="1"/>
  <c r="D51" i="1"/>
  <c r="E51" i="1"/>
  <c r="D52" i="1"/>
  <c r="E52" i="1"/>
  <c r="C60" i="18"/>
  <c r="E44" i="1" s="1"/>
  <c r="B46" i="18"/>
  <c r="D30" i="1" s="1"/>
  <c r="C39" i="18"/>
  <c r="E23" i="1" s="1"/>
  <c r="U88" i="18"/>
  <c r="U90" i="18" s="1"/>
  <c r="Q88" i="18"/>
  <c r="Q90" i="18" s="1"/>
  <c r="I89" i="18"/>
  <c r="M89" i="18"/>
  <c r="U89" i="18"/>
  <c r="Q89" i="18"/>
  <c r="M88" i="18"/>
  <c r="M90" i="18" s="1"/>
  <c r="I88" i="18"/>
  <c r="I90" i="18"/>
  <c r="E88" i="18"/>
  <c r="E90" i="18" s="1"/>
  <c r="E89" i="18"/>
  <c r="B22" i="18"/>
  <c r="D7" i="1" s="1"/>
  <c r="Y8" i="18"/>
  <c r="Y10" i="18" s="1"/>
  <c r="Y9" i="18"/>
  <c r="U8" i="18"/>
  <c r="U10" i="18"/>
  <c r="U9" i="18"/>
  <c r="Q8" i="18"/>
  <c r="Q9" i="18"/>
  <c r="Q11" i="18" s="1"/>
  <c r="M9" i="18"/>
  <c r="B61" i="18" s="1"/>
  <c r="D45" i="1" s="1"/>
  <c r="I9" i="18"/>
  <c r="I11" i="18" s="1"/>
  <c r="E9" i="18"/>
  <c r="M8" i="18"/>
  <c r="M10" i="18" s="1"/>
  <c r="Q10" i="18"/>
  <c r="I8" i="18"/>
  <c r="E8" i="18"/>
  <c r="I10" i="18"/>
  <c r="B30" i="19"/>
  <c r="F15" i="1" s="1"/>
  <c r="C30" i="19"/>
  <c r="C30" i="17"/>
  <c r="B30" i="17"/>
  <c r="B15" i="1" s="1"/>
  <c r="F26" i="7"/>
  <c r="G26" i="7"/>
  <c r="F34" i="7"/>
  <c r="G34" i="7"/>
  <c r="F35" i="7"/>
  <c r="G35" i="7"/>
  <c r="F43" i="7"/>
  <c r="G43" i="7"/>
  <c r="F51" i="7"/>
  <c r="G51" i="7"/>
  <c r="F52" i="7"/>
  <c r="G52" i="7"/>
  <c r="R9" i="19"/>
  <c r="R11" i="19" s="1"/>
  <c r="Q9" i="19"/>
  <c r="Q11" i="19" s="1"/>
  <c r="S89" i="19"/>
  <c r="S91" i="19" s="1"/>
  <c r="R89" i="19"/>
  <c r="Q89" i="19"/>
  <c r="Q91" i="19" s="1"/>
  <c r="E89" i="19"/>
  <c r="I89" i="19"/>
  <c r="I91" i="19" s="1"/>
  <c r="M89" i="19"/>
  <c r="M91" i="19" s="1"/>
  <c r="F15" i="7"/>
  <c r="G15" i="7"/>
  <c r="F26" i="1"/>
  <c r="G26" i="1"/>
  <c r="F34" i="1"/>
  <c r="G34" i="1"/>
  <c r="F35" i="1"/>
  <c r="G35" i="1"/>
  <c r="F43" i="1"/>
  <c r="G43" i="1"/>
  <c r="F51" i="1"/>
  <c r="G51" i="1"/>
  <c r="F52" i="1"/>
  <c r="G52" i="1"/>
  <c r="B20" i="19"/>
  <c r="F5" i="1" s="1"/>
  <c r="C20" i="19"/>
  <c r="G5" i="1" s="1"/>
  <c r="G15" i="1"/>
  <c r="G16" i="1"/>
  <c r="C33" i="19"/>
  <c r="G18" i="1" s="1"/>
  <c r="D131" i="19"/>
  <c r="D130" i="19"/>
  <c r="D122" i="19"/>
  <c r="B66" i="19"/>
  <c r="F50" i="1" s="1"/>
  <c r="C61" i="19"/>
  <c r="G45" i="1" s="1"/>
  <c r="B61" i="19"/>
  <c r="F45" i="1" s="1"/>
  <c r="C60" i="19"/>
  <c r="G44" i="1" s="1"/>
  <c r="B57" i="19"/>
  <c r="F41" i="1" s="1"/>
  <c r="C56" i="19"/>
  <c r="G40" i="1" s="1"/>
  <c r="B47" i="19"/>
  <c r="F31" i="1" s="1"/>
  <c r="C49" i="19"/>
  <c r="G33" i="1" s="1"/>
  <c r="B45" i="19"/>
  <c r="F29" i="1" s="1"/>
  <c r="C44" i="19"/>
  <c r="G28" i="1" s="1"/>
  <c r="B44" i="19"/>
  <c r="F28" i="1" s="1"/>
  <c r="C38" i="19"/>
  <c r="G22" i="1" s="1"/>
  <c r="R10" i="19"/>
  <c r="Q10" i="19"/>
  <c r="S90" i="19"/>
  <c r="R90" i="19"/>
  <c r="Q90" i="19"/>
  <c r="M8" i="19"/>
  <c r="I8" i="19"/>
  <c r="I10" i="19" s="1"/>
  <c r="E8" i="19"/>
  <c r="E10" i="19" s="1"/>
  <c r="M90" i="19"/>
  <c r="I90" i="19"/>
  <c r="E90" i="19"/>
  <c r="M10" i="19"/>
  <c r="M9" i="19"/>
  <c r="I9" i="19"/>
  <c r="E9" i="19"/>
  <c r="C25" i="19" s="1"/>
  <c r="G10" i="1" s="1"/>
  <c r="E10" i="18"/>
  <c r="B26" i="7"/>
  <c r="C26" i="7"/>
  <c r="B34" i="7"/>
  <c r="C34" i="7"/>
  <c r="B35" i="7"/>
  <c r="C35" i="7"/>
  <c r="B43" i="7"/>
  <c r="C43" i="7"/>
  <c r="B51" i="7"/>
  <c r="C51" i="7"/>
  <c r="B52" i="7"/>
  <c r="C52" i="7"/>
  <c r="B26" i="1"/>
  <c r="C26" i="1"/>
  <c r="B34" i="1"/>
  <c r="C34" i="1"/>
  <c r="B35" i="1"/>
  <c r="C35" i="1"/>
  <c r="B43" i="1"/>
  <c r="C43" i="1"/>
  <c r="B51" i="1"/>
  <c r="C51" i="1"/>
  <c r="B52" i="1"/>
  <c r="C52" i="1"/>
  <c r="C15" i="1"/>
  <c r="E9" i="12"/>
  <c r="I9" i="12"/>
  <c r="M9" i="12"/>
  <c r="C19" i="12" s="1"/>
  <c r="K4" i="1" s="1"/>
  <c r="D19" i="12"/>
  <c r="D20" i="12"/>
  <c r="D65" i="17"/>
  <c r="D64" i="17"/>
  <c r="D63" i="17"/>
  <c r="D62" i="17"/>
  <c r="D61" i="17"/>
  <c r="D60" i="17"/>
  <c r="D58" i="17"/>
  <c r="D57" i="17"/>
  <c r="D56" i="17"/>
  <c r="D55" i="17"/>
  <c r="D54" i="17"/>
  <c r="D48" i="17"/>
  <c r="D47" i="17"/>
  <c r="D46" i="17"/>
  <c r="D45" i="17"/>
  <c r="D44" i="17"/>
  <c r="D43" i="17"/>
  <c r="D39" i="17"/>
  <c r="D40" i="17"/>
  <c r="D41" i="17"/>
  <c r="D38" i="17"/>
  <c r="D37" i="17"/>
  <c r="D33" i="17"/>
  <c r="D32" i="17"/>
  <c r="D20" i="17"/>
  <c r="D21" i="17"/>
  <c r="D22" i="17"/>
  <c r="D23" i="17"/>
  <c r="D24" i="17"/>
  <c r="D25" i="17"/>
  <c r="D26" i="17"/>
  <c r="D27" i="17"/>
  <c r="D28" i="17"/>
  <c r="D29" i="17"/>
  <c r="D19" i="17"/>
  <c r="Q89" i="17"/>
  <c r="Q91" i="17" s="1"/>
  <c r="M89" i="17"/>
  <c r="M91" i="17" s="1"/>
  <c r="I89" i="17"/>
  <c r="I91" i="17" s="1"/>
  <c r="E89" i="17"/>
  <c r="Q90" i="17"/>
  <c r="M90" i="17"/>
  <c r="I90" i="17"/>
  <c r="E90" i="17"/>
  <c r="U9" i="17"/>
  <c r="U8" i="17"/>
  <c r="U10" i="17" s="1"/>
  <c r="Q8" i="17"/>
  <c r="Q10" i="17" s="1"/>
  <c r="M8" i="17"/>
  <c r="Q9" i="17"/>
  <c r="M10" i="17"/>
  <c r="M9" i="17"/>
  <c r="I8" i="17"/>
  <c r="I10" i="17" s="1"/>
  <c r="I9" i="17"/>
  <c r="E9" i="17"/>
  <c r="E8" i="17"/>
  <c r="E10" i="17" s="1"/>
  <c r="R43" i="1"/>
  <c r="S43" i="1"/>
  <c r="R48" i="1"/>
  <c r="S48" i="1"/>
  <c r="R51" i="1"/>
  <c r="S51" i="1"/>
  <c r="R52" i="1"/>
  <c r="S52" i="1"/>
  <c r="R26" i="1"/>
  <c r="S26" i="1"/>
  <c r="R31" i="1"/>
  <c r="S31" i="1"/>
  <c r="R34" i="1"/>
  <c r="S34" i="1"/>
  <c r="R35" i="1"/>
  <c r="S35" i="1"/>
  <c r="R15" i="1"/>
  <c r="S15" i="1"/>
  <c r="D50" i="16"/>
  <c r="D51" i="16"/>
  <c r="B66" i="16"/>
  <c r="R50" i="1" s="1"/>
  <c r="D49" i="16"/>
  <c r="D68" i="16"/>
  <c r="D67" i="16"/>
  <c r="D66" i="16"/>
  <c r="D65" i="16"/>
  <c r="D64" i="16"/>
  <c r="D63" i="16"/>
  <c r="D62" i="16"/>
  <c r="D61" i="16"/>
  <c r="D60" i="16"/>
  <c r="D59" i="16"/>
  <c r="D58" i="16"/>
  <c r="D57" i="16"/>
  <c r="D56" i="16"/>
  <c r="D55" i="16"/>
  <c r="D54" i="16"/>
  <c r="D48" i="16"/>
  <c r="D47" i="16"/>
  <c r="D46" i="16"/>
  <c r="D45" i="16"/>
  <c r="D44" i="16"/>
  <c r="D43" i="16"/>
  <c r="D42" i="16"/>
  <c r="D41" i="16"/>
  <c r="D40" i="16"/>
  <c r="D39" i="16"/>
  <c r="D38" i="16"/>
  <c r="D37" i="16"/>
  <c r="D33" i="16"/>
  <c r="D32" i="16"/>
  <c r="D31" i="16"/>
  <c r="D30" i="16"/>
  <c r="D29" i="16"/>
  <c r="D28" i="16"/>
  <c r="D27" i="16"/>
  <c r="D26" i="16"/>
  <c r="D25" i="16"/>
  <c r="D24" i="16"/>
  <c r="D23" i="16"/>
  <c r="D22" i="16"/>
  <c r="D21" i="16"/>
  <c r="D20" i="16"/>
  <c r="D19" i="16"/>
  <c r="I9" i="16"/>
  <c r="I11" i="16" s="1"/>
  <c r="E9" i="16"/>
  <c r="B60" i="16" s="1"/>
  <c r="R44" i="1" s="1"/>
  <c r="I10" i="16"/>
  <c r="E10" i="16"/>
  <c r="X43" i="1"/>
  <c r="Y43" i="1"/>
  <c r="X51" i="1"/>
  <c r="Y51" i="1"/>
  <c r="X52" i="1"/>
  <c r="Y52" i="1"/>
  <c r="D19" i="15"/>
  <c r="D42" i="15"/>
  <c r="D31" i="15"/>
  <c r="D134" i="15"/>
  <c r="D135" i="15"/>
  <c r="D136" i="15"/>
  <c r="D138" i="15"/>
  <c r="X43" i="7"/>
  <c r="Y43" i="7"/>
  <c r="D140" i="15"/>
  <c r="D141" i="15"/>
  <c r="D142" i="15"/>
  <c r="D143" i="15"/>
  <c r="X48" i="7"/>
  <c r="Y48" i="7"/>
  <c r="X51" i="7"/>
  <c r="Y51" i="7"/>
  <c r="X52" i="7"/>
  <c r="Y52" i="7"/>
  <c r="D117" i="15"/>
  <c r="D118" i="15"/>
  <c r="D119" i="15"/>
  <c r="D120" i="15"/>
  <c r="D121" i="15"/>
  <c r="X26" i="7"/>
  <c r="Y26" i="7"/>
  <c r="D123" i="15"/>
  <c r="D124" i="15"/>
  <c r="D125" i="15"/>
  <c r="D126" i="15"/>
  <c r="X31" i="7"/>
  <c r="Y31" i="7"/>
  <c r="X34" i="7"/>
  <c r="Y34" i="7"/>
  <c r="X35" i="7"/>
  <c r="Y35" i="7"/>
  <c r="D103" i="15"/>
  <c r="D149" i="15"/>
  <c r="D148" i="15"/>
  <c r="D147" i="15"/>
  <c r="D144" i="15"/>
  <c r="D139" i="15"/>
  <c r="D131" i="15"/>
  <c r="D130" i="15"/>
  <c r="D127" i="15"/>
  <c r="D122" i="15"/>
  <c r="D132" i="15"/>
  <c r="D111" i="15"/>
  <c r="AB26" i="7"/>
  <c r="AC26" i="7"/>
  <c r="AB31" i="7"/>
  <c r="AC31" i="7"/>
  <c r="AB35" i="7"/>
  <c r="AC35" i="7"/>
  <c r="AB43" i="7"/>
  <c r="AC43" i="7"/>
  <c r="AB48" i="7"/>
  <c r="AC48" i="7"/>
  <c r="AB52" i="7"/>
  <c r="AC52" i="7"/>
  <c r="AB15" i="7"/>
  <c r="AC15" i="7"/>
  <c r="AB16" i="7"/>
  <c r="AC16" i="7"/>
  <c r="AB26" i="1"/>
  <c r="AC26" i="1"/>
  <c r="AB31" i="1"/>
  <c r="AC31" i="1"/>
  <c r="AB35" i="1"/>
  <c r="AC35" i="1"/>
  <c r="AB40" i="1"/>
  <c r="AB43" i="1"/>
  <c r="AC43" i="1"/>
  <c r="AB48" i="1"/>
  <c r="AC48" i="1"/>
  <c r="AB50" i="1"/>
  <c r="AC50" i="1"/>
  <c r="AB51" i="1"/>
  <c r="AC51" i="1"/>
  <c r="AB52" i="1"/>
  <c r="AC52" i="1"/>
  <c r="AB15" i="1"/>
  <c r="AC15" i="1"/>
  <c r="AB16" i="1"/>
  <c r="AC16" i="1"/>
  <c r="D144" i="14"/>
  <c r="D139" i="14"/>
  <c r="D122" i="14"/>
  <c r="D149" i="14"/>
  <c r="D148" i="14"/>
  <c r="D147" i="14"/>
  <c r="D146" i="14"/>
  <c r="D145" i="14"/>
  <c r="D143" i="14"/>
  <c r="D142" i="14"/>
  <c r="D141" i="14"/>
  <c r="D140" i="14"/>
  <c r="D138" i="14"/>
  <c r="D137" i="14"/>
  <c r="D136" i="14"/>
  <c r="D135" i="14"/>
  <c r="D134" i="14"/>
  <c r="D132" i="14"/>
  <c r="D131" i="14"/>
  <c r="D130" i="14"/>
  <c r="D129" i="14"/>
  <c r="D128" i="14"/>
  <c r="D126" i="14"/>
  <c r="D125" i="14"/>
  <c r="D124" i="14"/>
  <c r="D123" i="14"/>
  <c r="D118" i="14"/>
  <c r="D119" i="14"/>
  <c r="D120" i="14"/>
  <c r="D121" i="14"/>
  <c r="D117" i="14"/>
  <c r="D101" i="14"/>
  <c r="D102" i="14"/>
  <c r="D103" i="14"/>
  <c r="D104" i="14"/>
  <c r="D105" i="14"/>
  <c r="D106" i="14"/>
  <c r="D107" i="14"/>
  <c r="D108" i="14"/>
  <c r="D109" i="14"/>
  <c r="D110" i="14"/>
  <c r="D111" i="14"/>
  <c r="D112" i="14"/>
  <c r="D113" i="14"/>
  <c r="D100" i="14"/>
  <c r="D99" i="14"/>
  <c r="D68" i="14"/>
  <c r="D67" i="14"/>
  <c r="D66" i="14"/>
  <c r="D65" i="14"/>
  <c r="C65" i="14" s="1"/>
  <c r="AC49" i="1" s="1"/>
  <c r="D64" i="14"/>
  <c r="D63" i="14"/>
  <c r="D62" i="14"/>
  <c r="B62" i="14"/>
  <c r="AB46" i="1" s="1"/>
  <c r="D61" i="14"/>
  <c r="D60" i="14"/>
  <c r="B60" i="14"/>
  <c r="AB44" i="1" s="1"/>
  <c r="D59" i="14"/>
  <c r="D58" i="14"/>
  <c r="D57" i="14"/>
  <c r="D56" i="14"/>
  <c r="B56" i="14"/>
  <c r="D55" i="14"/>
  <c r="D54" i="14"/>
  <c r="B54" i="14"/>
  <c r="AB38" i="1" s="1"/>
  <c r="D51" i="14"/>
  <c r="D50" i="14"/>
  <c r="D49" i="14"/>
  <c r="C49" i="14" s="1"/>
  <c r="AC33" i="1" s="1"/>
  <c r="D48" i="14"/>
  <c r="D47" i="14"/>
  <c r="D46" i="14"/>
  <c r="C46" i="14"/>
  <c r="AC30" i="1" s="1"/>
  <c r="B46" i="14"/>
  <c r="AB30" i="1" s="1"/>
  <c r="D45" i="14"/>
  <c r="D44" i="14"/>
  <c r="D43" i="14"/>
  <c r="D42" i="14"/>
  <c r="D41" i="14"/>
  <c r="D40" i="14"/>
  <c r="C40" i="14" s="1"/>
  <c r="AC24" i="1" s="1"/>
  <c r="B40" i="14"/>
  <c r="AB24" i="1" s="1"/>
  <c r="D39" i="14"/>
  <c r="D38" i="14"/>
  <c r="D37" i="14"/>
  <c r="D33" i="14"/>
  <c r="D32" i="14"/>
  <c r="C32" i="14" s="1"/>
  <c r="AC17" i="1" s="1"/>
  <c r="B32" i="14"/>
  <c r="AB17" i="1" s="1"/>
  <c r="D31" i="14"/>
  <c r="D30" i="14"/>
  <c r="D29" i="14"/>
  <c r="D28" i="14"/>
  <c r="B28" i="14"/>
  <c r="AB13" i="1" s="1"/>
  <c r="D27" i="14"/>
  <c r="D26" i="14"/>
  <c r="D25" i="14"/>
  <c r="C25" i="14" s="1"/>
  <c r="AC10" i="1" s="1"/>
  <c r="B25" i="14"/>
  <c r="AB10" i="1" s="1"/>
  <c r="D24" i="14"/>
  <c r="D23" i="14"/>
  <c r="D22" i="14"/>
  <c r="C22" i="14" s="1"/>
  <c r="AC7" i="1" s="1"/>
  <c r="D21" i="14"/>
  <c r="D20" i="14"/>
  <c r="C20" i="14" s="1"/>
  <c r="AC5" i="1" s="1"/>
  <c r="B20" i="14"/>
  <c r="AB5" i="1" s="1"/>
  <c r="D19" i="14"/>
  <c r="Y89" i="14"/>
  <c r="Y88" i="14" s="1"/>
  <c r="U89" i="14"/>
  <c r="Q89" i="14"/>
  <c r="Q88" i="14" s="1"/>
  <c r="M89" i="14"/>
  <c r="M88" i="14" s="1"/>
  <c r="I89" i="14"/>
  <c r="I88" i="14" s="1"/>
  <c r="E89" i="14"/>
  <c r="B141" i="14" s="1"/>
  <c r="AB45" i="7" s="1"/>
  <c r="M9" i="14"/>
  <c r="M8" i="14" s="1"/>
  <c r="I9" i="14"/>
  <c r="I8" i="14" s="1"/>
  <c r="E9" i="14"/>
  <c r="B65" i="14" s="1"/>
  <c r="AB49" i="1" s="1"/>
  <c r="E8" i="14"/>
  <c r="H26" i="7"/>
  <c r="I26" i="7"/>
  <c r="H35" i="7"/>
  <c r="I35" i="7"/>
  <c r="H43" i="7"/>
  <c r="I43" i="7"/>
  <c r="H52" i="7"/>
  <c r="I52" i="7"/>
  <c r="H15" i="7"/>
  <c r="I15" i="7"/>
  <c r="H16" i="7"/>
  <c r="I16" i="7"/>
  <c r="D122" i="13"/>
  <c r="D131" i="13"/>
  <c r="D148" i="13"/>
  <c r="D139" i="13"/>
  <c r="D30" i="13"/>
  <c r="D37" i="13"/>
  <c r="H26" i="1"/>
  <c r="H31" i="1"/>
  <c r="I31" i="1"/>
  <c r="D50" i="13"/>
  <c r="H35" i="1"/>
  <c r="I35" i="1"/>
  <c r="H48" i="1"/>
  <c r="I48" i="1"/>
  <c r="H52" i="1"/>
  <c r="I52" i="1"/>
  <c r="H15" i="1"/>
  <c r="I15" i="1"/>
  <c r="D149" i="13"/>
  <c r="D147" i="13"/>
  <c r="D146" i="13"/>
  <c r="D145" i="13"/>
  <c r="D144" i="13"/>
  <c r="D143" i="13"/>
  <c r="D142" i="13"/>
  <c r="D141" i="13"/>
  <c r="D140" i="13"/>
  <c r="D138" i="13"/>
  <c r="D137" i="13"/>
  <c r="D136" i="13"/>
  <c r="D135" i="13"/>
  <c r="D134" i="13"/>
  <c r="D132" i="13"/>
  <c r="D128" i="13"/>
  <c r="D129" i="13"/>
  <c r="D130" i="13"/>
  <c r="D127" i="13"/>
  <c r="D126" i="13"/>
  <c r="D125" i="13"/>
  <c r="D124" i="13"/>
  <c r="D123" i="13"/>
  <c r="D119" i="13"/>
  <c r="D120" i="13"/>
  <c r="D121" i="13"/>
  <c r="D118" i="13"/>
  <c r="D117" i="13"/>
  <c r="D100" i="13"/>
  <c r="B101" i="13"/>
  <c r="H6" i="7" s="1"/>
  <c r="D101" i="13"/>
  <c r="D102" i="13"/>
  <c r="D103" i="13"/>
  <c r="D104" i="13"/>
  <c r="D105" i="13"/>
  <c r="D106" i="13"/>
  <c r="C106" i="13"/>
  <c r="I11" i="7" s="1"/>
  <c r="D107" i="13"/>
  <c r="D108" i="13"/>
  <c r="D109" i="13"/>
  <c r="D110" i="13"/>
  <c r="D112" i="13"/>
  <c r="D113" i="13"/>
  <c r="D99" i="13"/>
  <c r="D52" i="13"/>
  <c r="M10" i="13"/>
  <c r="M9" i="13"/>
  <c r="M11" i="13" s="1"/>
  <c r="M90" i="13"/>
  <c r="M89" i="13"/>
  <c r="I90" i="13"/>
  <c r="I89" i="13"/>
  <c r="I91" i="13" s="1"/>
  <c r="D66" i="10"/>
  <c r="D65" i="10"/>
  <c r="D63" i="10"/>
  <c r="D62" i="10"/>
  <c r="D61" i="10"/>
  <c r="D60" i="10"/>
  <c r="D56" i="10"/>
  <c r="D57" i="10"/>
  <c r="D58" i="10"/>
  <c r="D55" i="10"/>
  <c r="D54" i="10"/>
  <c r="D49" i="10"/>
  <c r="D48" i="10"/>
  <c r="D46" i="10"/>
  <c r="D45" i="10"/>
  <c r="D44" i="10"/>
  <c r="D43" i="10"/>
  <c r="D39" i="10"/>
  <c r="D40" i="10"/>
  <c r="D41" i="10"/>
  <c r="D38" i="10"/>
  <c r="D37" i="10"/>
  <c r="T8" i="10"/>
  <c r="T9" i="10" s="1"/>
  <c r="S8" i="10"/>
  <c r="S9" i="10"/>
  <c r="B66" i="9"/>
  <c r="B49" i="9"/>
  <c r="N33" i="1" s="1"/>
  <c r="E90" i="13"/>
  <c r="D90" i="13" s="1"/>
  <c r="C90" i="13" s="1"/>
  <c r="E89" i="13"/>
  <c r="C113" i="13" s="1"/>
  <c r="I18" i="7" s="1"/>
  <c r="I9" i="13"/>
  <c r="I11" i="13" s="1"/>
  <c r="E9" i="13"/>
  <c r="I10" i="13"/>
  <c r="E10" i="13"/>
  <c r="D33" i="10"/>
  <c r="D32" i="10"/>
  <c r="D20" i="10"/>
  <c r="D21" i="10"/>
  <c r="D22" i="10"/>
  <c r="D23" i="10"/>
  <c r="D24" i="10"/>
  <c r="D25" i="10"/>
  <c r="D26" i="10"/>
  <c r="D27" i="10"/>
  <c r="D28" i="10"/>
  <c r="D29" i="10"/>
  <c r="D19" i="10"/>
  <c r="M8" i="10"/>
  <c r="M9" i="10" s="1"/>
  <c r="D30" i="12"/>
  <c r="C30" i="12" s="1"/>
  <c r="K15" i="1" s="1"/>
  <c r="B30" i="12"/>
  <c r="E89" i="12"/>
  <c r="I89" i="12"/>
  <c r="D117" i="12"/>
  <c r="D118" i="12"/>
  <c r="D119" i="12"/>
  <c r="D120" i="12"/>
  <c r="D121" i="12"/>
  <c r="J26" i="7"/>
  <c r="K26" i="7"/>
  <c r="D123" i="12"/>
  <c r="D124" i="12"/>
  <c r="D125" i="12"/>
  <c r="B126" i="12"/>
  <c r="J30" i="7" s="1"/>
  <c r="D126" i="12"/>
  <c r="C126" i="12"/>
  <c r="K30" i="7" s="1"/>
  <c r="J31" i="7"/>
  <c r="K31" i="7"/>
  <c r="D128" i="12"/>
  <c r="D129" i="12"/>
  <c r="J34" i="7"/>
  <c r="K34" i="7"/>
  <c r="J35" i="7"/>
  <c r="K35" i="7"/>
  <c r="D134" i="12"/>
  <c r="D135" i="12"/>
  <c r="D136" i="12"/>
  <c r="D137" i="12"/>
  <c r="D138" i="12"/>
  <c r="J43" i="7"/>
  <c r="K43" i="7"/>
  <c r="B140" i="12"/>
  <c r="J44" i="7" s="1"/>
  <c r="D140" i="12"/>
  <c r="D141" i="12"/>
  <c r="D142" i="12"/>
  <c r="D143" i="12"/>
  <c r="J48" i="7"/>
  <c r="K48" i="7"/>
  <c r="D145" i="12"/>
  <c r="D146" i="12"/>
  <c r="J51" i="7"/>
  <c r="K51" i="7"/>
  <c r="J52" i="7"/>
  <c r="K52" i="7"/>
  <c r="D99" i="12"/>
  <c r="D100" i="12"/>
  <c r="D101" i="12"/>
  <c r="D102" i="12"/>
  <c r="D103" i="12"/>
  <c r="D104" i="12"/>
  <c r="D105" i="12"/>
  <c r="D106" i="12"/>
  <c r="D107" i="12"/>
  <c r="D108" i="12"/>
  <c r="D109" i="12"/>
  <c r="J15" i="7"/>
  <c r="K15" i="7"/>
  <c r="D112" i="12"/>
  <c r="D113" i="12"/>
  <c r="J43" i="1"/>
  <c r="K43" i="1"/>
  <c r="J48" i="1"/>
  <c r="K48" i="1"/>
  <c r="J51" i="1"/>
  <c r="J52" i="1"/>
  <c r="K52" i="1"/>
  <c r="D37" i="12"/>
  <c r="D38" i="12"/>
  <c r="D39" i="12"/>
  <c r="D40" i="12"/>
  <c r="D41" i="12"/>
  <c r="J26" i="1"/>
  <c r="K26" i="1"/>
  <c r="D43" i="12"/>
  <c r="D44" i="12"/>
  <c r="D45" i="12"/>
  <c r="D46" i="12"/>
  <c r="J31" i="1"/>
  <c r="K31" i="1"/>
  <c r="D48" i="12"/>
  <c r="J35" i="1"/>
  <c r="K35" i="1"/>
  <c r="D21" i="12"/>
  <c r="D22" i="12"/>
  <c r="D23" i="12"/>
  <c r="D24" i="12"/>
  <c r="D25" i="12"/>
  <c r="D26" i="12"/>
  <c r="D27" i="12"/>
  <c r="D28" i="12"/>
  <c r="D29" i="12"/>
  <c r="J15" i="1"/>
  <c r="J16" i="1"/>
  <c r="K16" i="1"/>
  <c r="D148" i="12"/>
  <c r="D147" i="12"/>
  <c r="D144" i="12"/>
  <c r="D139" i="12"/>
  <c r="D122" i="12"/>
  <c r="D127" i="12"/>
  <c r="D130" i="12"/>
  <c r="D131" i="12"/>
  <c r="D110" i="12"/>
  <c r="M10" i="12"/>
  <c r="M89" i="12"/>
  <c r="M90" i="12"/>
  <c r="D31" i="12"/>
  <c r="E90" i="12"/>
  <c r="I90" i="12"/>
  <c r="D42" i="12"/>
  <c r="D47" i="12"/>
  <c r="D49" i="12"/>
  <c r="D50" i="12"/>
  <c r="D51" i="12"/>
  <c r="E10" i="12"/>
  <c r="I10" i="12"/>
  <c r="B10" i="12" s="1"/>
  <c r="D30" i="11"/>
  <c r="C30" i="11" s="1"/>
  <c r="W15" i="1" s="1"/>
  <c r="B30" i="11"/>
  <c r="D117" i="11"/>
  <c r="D118" i="11"/>
  <c r="D119" i="11"/>
  <c r="D120" i="11"/>
  <c r="D121" i="11"/>
  <c r="V26" i="7"/>
  <c r="W26" i="7"/>
  <c r="D123" i="11"/>
  <c r="D124" i="11"/>
  <c r="D125" i="11"/>
  <c r="D126" i="11"/>
  <c r="V31" i="7"/>
  <c r="W31" i="7"/>
  <c r="D128" i="11"/>
  <c r="D129" i="11"/>
  <c r="V34" i="7"/>
  <c r="W34" i="7"/>
  <c r="V35" i="7"/>
  <c r="W35" i="7"/>
  <c r="D134" i="11"/>
  <c r="D135" i="11"/>
  <c r="D136" i="11"/>
  <c r="D137" i="11"/>
  <c r="D138" i="11"/>
  <c r="V43" i="7"/>
  <c r="W43" i="7"/>
  <c r="D140" i="11"/>
  <c r="D141" i="11"/>
  <c r="D142" i="11"/>
  <c r="D143" i="11"/>
  <c r="V48" i="7"/>
  <c r="W48" i="7"/>
  <c r="D145" i="11"/>
  <c r="D146" i="11"/>
  <c r="V51" i="7"/>
  <c r="W51" i="7"/>
  <c r="V52" i="7"/>
  <c r="W52" i="7"/>
  <c r="D99" i="11"/>
  <c r="D100" i="11"/>
  <c r="D101" i="11"/>
  <c r="D102" i="11"/>
  <c r="D103" i="11"/>
  <c r="D104" i="11"/>
  <c r="D105" i="11"/>
  <c r="D106" i="11"/>
  <c r="D107" i="11"/>
  <c r="D108" i="11"/>
  <c r="D109" i="11"/>
  <c r="V15" i="7"/>
  <c r="W15" i="7"/>
  <c r="V16" i="7"/>
  <c r="W16" i="7"/>
  <c r="D112" i="11"/>
  <c r="D113" i="11"/>
  <c r="D37" i="11"/>
  <c r="D38" i="11"/>
  <c r="D39" i="11"/>
  <c r="D40" i="11"/>
  <c r="D41" i="11"/>
  <c r="V26" i="1"/>
  <c r="W26" i="1"/>
  <c r="D43" i="11"/>
  <c r="D44" i="11"/>
  <c r="D45" i="11"/>
  <c r="D46" i="11"/>
  <c r="V31" i="1"/>
  <c r="W31" i="1"/>
  <c r="D48" i="11"/>
  <c r="D49" i="11"/>
  <c r="V34" i="1"/>
  <c r="W34" i="1"/>
  <c r="V35" i="1"/>
  <c r="W35" i="1"/>
  <c r="D54" i="11"/>
  <c r="D55" i="11"/>
  <c r="D56" i="11"/>
  <c r="D57" i="11"/>
  <c r="D58" i="11"/>
  <c r="V43" i="1"/>
  <c r="W43" i="1"/>
  <c r="D60" i="11"/>
  <c r="D61" i="11"/>
  <c r="D62" i="11"/>
  <c r="D63" i="11"/>
  <c r="V48" i="1"/>
  <c r="W48" i="1"/>
  <c r="D65" i="11"/>
  <c r="D66" i="11"/>
  <c r="V51" i="1"/>
  <c r="W51" i="1"/>
  <c r="V52" i="1"/>
  <c r="W52" i="1"/>
  <c r="D19" i="11"/>
  <c r="D20" i="11"/>
  <c r="D21" i="11"/>
  <c r="D22" i="11"/>
  <c r="D23" i="11"/>
  <c r="D24" i="11"/>
  <c r="D25" i="11"/>
  <c r="D26" i="11"/>
  <c r="D27" i="11"/>
  <c r="D28" i="11"/>
  <c r="D29" i="11"/>
  <c r="V15" i="1"/>
  <c r="D31" i="11"/>
  <c r="D32" i="11"/>
  <c r="D33" i="11"/>
  <c r="D149" i="11"/>
  <c r="D132" i="11"/>
  <c r="C132" i="11"/>
  <c r="D148" i="11"/>
  <c r="D147" i="11"/>
  <c r="D144" i="11"/>
  <c r="D139" i="11"/>
  <c r="D131" i="11"/>
  <c r="D130" i="11"/>
  <c r="D127" i="11"/>
  <c r="D122" i="11"/>
  <c r="D111" i="11"/>
  <c r="D110" i="11"/>
  <c r="D68" i="11"/>
  <c r="D67" i="11"/>
  <c r="D64" i="11"/>
  <c r="D59" i="11"/>
  <c r="D51" i="11"/>
  <c r="D50" i="11"/>
  <c r="D47" i="11"/>
  <c r="D42" i="11"/>
  <c r="M90" i="11"/>
  <c r="M89" i="11"/>
  <c r="I90" i="11"/>
  <c r="B90" i="11" s="1"/>
  <c r="I89" i="11"/>
  <c r="B125" i="11" s="1"/>
  <c r="V29" i="7" s="1"/>
  <c r="E90" i="11"/>
  <c r="E89" i="11"/>
  <c r="Q10" i="11"/>
  <c r="Q9" i="11"/>
  <c r="M10" i="11"/>
  <c r="D10" i="11" s="1"/>
  <c r="C10" i="11" s="1"/>
  <c r="M9" i="11"/>
  <c r="I9" i="11"/>
  <c r="E9" i="11"/>
  <c r="B28" i="11" s="1"/>
  <c r="V13" i="1" s="1"/>
  <c r="I10" i="11"/>
  <c r="E10" i="11"/>
  <c r="O15" i="1"/>
  <c r="N16" i="1"/>
  <c r="B30" i="9"/>
  <c r="N15" i="1" s="1"/>
  <c r="C30" i="6"/>
  <c r="B30" i="6"/>
  <c r="Z15" i="1" s="1"/>
  <c r="D30" i="6"/>
  <c r="N26" i="7"/>
  <c r="O26" i="7"/>
  <c r="N31" i="7"/>
  <c r="O31" i="7"/>
  <c r="N34" i="7"/>
  <c r="O34" i="7"/>
  <c r="N35" i="7"/>
  <c r="O35" i="7"/>
  <c r="N43" i="7"/>
  <c r="O43" i="7"/>
  <c r="N48" i="7"/>
  <c r="O48" i="7"/>
  <c r="N51" i="7"/>
  <c r="O51" i="7"/>
  <c r="N52" i="7"/>
  <c r="O52" i="7"/>
  <c r="D38" i="9"/>
  <c r="D39" i="9"/>
  <c r="D40" i="9"/>
  <c r="N26" i="1"/>
  <c r="O26" i="1"/>
  <c r="D46" i="9"/>
  <c r="N31" i="1"/>
  <c r="O31" i="1"/>
  <c r="D48" i="9"/>
  <c r="O33" i="1"/>
  <c r="N34" i="1"/>
  <c r="O34" i="1"/>
  <c r="N35" i="1"/>
  <c r="O35" i="1"/>
  <c r="D55" i="9"/>
  <c r="D56" i="9"/>
  <c r="D57" i="9"/>
  <c r="D58" i="9"/>
  <c r="N43" i="1"/>
  <c r="O43" i="1"/>
  <c r="D60" i="9"/>
  <c r="D63" i="9"/>
  <c r="N48" i="1"/>
  <c r="O48" i="1"/>
  <c r="N50" i="1"/>
  <c r="O50" i="1"/>
  <c r="N51" i="1"/>
  <c r="O51" i="1"/>
  <c r="N52" i="1"/>
  <c r="O52" i="1"/>
  <c r="D143" i="9"/>
  <c r="D148" i="9"/>
  <c r="D147" i="9"/>
  <c r="D146" i="9"/>
  <c r="D145" i="9"/>
  <c r="D144" i="9"/>
  <c r="D142" i="9"/>
  <c r="D141" i="9"/>
  <c r="D140" i="9"/>
  <c r="D139" i="9"/>
  <c r="D138" i="9"/>
  <c r="D137" i="9"/>
  <c r="D136" i="9"/>
  <c r="D135" i="9"/>
  <c r="D134" i="9"/>
  <c r="D126" i="9"/>
  <c r="D125" i="9"/>
  <c r="D124" i="9"/>
  <c r="D123" i="9"/>
  <c r="D119" i="9"/>
  <c r="D120" i="9"/>
  <c r="D121" i="9"/>
  <c r="D118" i="9"/>
  <c r="D117" i="9"/>
  <c r="D101" i="9"/>
  <c r="D102" i="9"/>
  <c r="D103" i="9"/>
  <c r="D104" i="9"/>
  <c r="D105" i="9"/>
  <c r="D106" i="9"/>
  <c r="D107" i="9"/>
  <c r="D108" i="9"/>
  <c r="D109" i="9"/>
  <c r="D99" i="9"/>
  <c r="D131" i="9"/>
  <c r="D130" i="9"/>
  <c r="D129" i="9"/>
  <c r="D128" i="9"/>
  <c r="D127" i="9"/>
  <c r="D122" i="9"/>
  <c r="D113" i="9"/>
  <c r="D112" i="9"/>
  <c r="D111" i="9"/>
  <c r="D100" i="9"/>
  <c r="D68" i="9"/>
  <c r="D67" i="9"/>
  <c r="D66" i="9"/>
  <c r="C66" i="9" s="1"/>
  <c r="D65" i="9"/>
  <c r="D64" i="9"/>
  <c r="D62" i="9"/>
  <c r="D61" i="9"/>
  <c r="D59" i="9"/>
  <c r="D54" i="9"/>
  <c r="D51" i="9"/>
  <c r="D50" i="9"/>
  <c r="D49" i="9"/>
  <c r="C49" i="9" s="1"/>
  <c r="D47" i="9"/>
  <c r="D45" i="9"/>
  <c r="D44" i="9"/>
  <c r="D43" i="9"/>
  <c r="D42" i="9"/>
  <c r="D41" i="9"/>
  <c r="D37" i="9"/>
  <c r="D33" i="9"/>
  <c r="D32" i="9"/>
  <c r="D31" i="9"/>
  <c r="C31" i="9" s="1"/>
  <c r="O16" i="1" s="1"/>
  <c r="D30" i="9"/>
  <c r="C30" i="9" s="1"/>
  <c r="D29" i="9"/>
  <c r="D28" i="9"/>
  <c r="D27" i="9"/>
  <c r="D26" i="9"/>
  <c r="D25" i="9"/>
  <c r="D24" i="9"/>
  <c r="D23" i="9"/>
  <c r="D22" i="9"/>
  <c r="D21" i="9"/>
  <c r="D20" i="9"/>
  <c r="D19" i="9"/>
  <c r="L26" i="7"/>
  <c r="M26" i="7"/>
  <c r="L31" i="7"/>
  <c r="M31" i="7"/>
  <c r="L34" i="7"/>
  <c r="M34" i="7"/>
  <c r="L35" i="7"/>
  <c r="M35" i="7"/>
  <c r="L43" i="7"/>
  <c r="M43" i="7"/>
  <c r="L48" i="7"/>
  <c r="M48" i="7"/>
  <c r="L51" i="7"/>
  <c r="M51" i="7"/>
  <c r="L52" i="7"/>
  <c r="M52" i="7"/>
  <c r="D122" i="10"/>
  <c r="D139" i="10"/>
  <c r="D148" i="10"/>
  <c r="D147" i="10"/>
  <c r="D146" i="10"/>
  <c r="D145" i="10"/>
  <c r="D144" i="10"/>
  <c r="D143" i="10"/>
  <c r="D142" i="10"/>
  <c r="D141" i="10"/>
  <c r="D140" i="10"/>
  <c r="D138" i="10"/>
  <c r="D137" i="10"/>
  <c r="D136" i="10"/>
  <c r="D135" i="10"/>
  <c r="D134" i="10"/>
  <c r="D128" i="10"/>
  <c r="D129" i="10"/>
  <c r="D130" i="10"/>
  <c r="D131" i="10"/>
  <c r="D127" i="10"/>
  <c r="D126" i="10"/>
  <c r="D125" i="10"/>
  <c r="D124" i="10"/>
  <c r="D123" i="10"/>
  <c r="D121" i="10"/>
  <c r="D120" i="10"/>
  <c r="D119" i="10"/>
  <c r="D118" i="10"/>
  <c r="D117" i="10"/>
  <c r="D112" i="10"/>
  <c r="D113" i="10"/>
  <c r="D111" i="10"/>
  <c r="D109" i="10"/>
  <c r="D108" i="10"/>
  <c r="D107" i="10"/>
  <c r="D106" i="10"/>
  <c r="D105" i="10"/>
  <c r="D104" i="10"/>
  <c r="D103" i="10"/>
  <c r="D102" i="10"/>
  <c r="D101" i="10"/>
  <c r="D100" i="10"/>
  <c r="D99" i="10"/>
  <c r="L26" i="1"/>
  <c r="M26" i="1"/>
  <c r="L34" i="1"/>
  <c r="M34" i="1"/>
  <c r="L35" i="1"/>
  <c r="M35" i="1"/>
  <c r="L43" i="1"/>
  <c r="M43" i="1"/>
  <c r="L51" i="1"/>
  <c r="M51" i="1"/>
  <c r="L52" i="1"/>
  <c r="M52" i="1"/>
  <c r="L15" i="1"/>
  <c r="D68" i="10"/>
  <c r="D67" i="10"/>
  <c r="D64" i="10"/>
  <c r="C64" i="10" s="1"/>
  <c r="M48" i="1" s="1"/>
  <c r="D59" i="10"/>
  <c r="D50" i="10"/>
  <c r="D51" i="10"/>
  <c r="D42" i="10"/>
  <c r="D47" i="10"/>
  <c r="D30" i="10"/>
  <c r="C30" i="10" s="1"/>
  <c r="M15" i="1" s="1"/>
  <c r="D31" i="10"/>
  <c r="AG88" i="10"/>
  <c r="AG90" i="10" s="1"/>
  <c r="AC88" i="10"/>
  <c r="AC89" i="10" s="1"/>
  <c r="Y88" i="10"/>
  <c r="Y89" i="10" s="1"/>
  <c r="Y90" i="10"/>
  <c r="U88" i="10"/>
  <c r="U90" i="10"/>
  <c r="Q88" i="10"/>
  <c r="U89" i="10"/>
  <c r="M88" i="10"/>
  <c r="I88" i="10"/>
  <c r="E88" i="10"/>
  <c r="E90" i="10" s="1"/>
  <c r="E89" i="10"/>
  <c r="I8" i="10"/>
  <c r="I9" i="10" s="1"/>
  <c r="E8" i="10"/>
  <c r="M88" i="9"/>
  <c r="I88" i="9"/>
  <c r="I89" i="9" s="1"/>
  <c r="I90" i="9"/>
  <c r="E88" i="9"/>
  <c r="E90" i="9" s="1"/>
  <c r="E89" i="9"/>
  <c r="Y8" i="9"/>
  <c r="U8" i="9"/>
  <c r="Q8" i="9"/>
  <c r="Q10" i="9" s="1"/>
  <c r="Q9" i="9"/>
  <c r="M8" i="9"/>
  <c r="M10" i="9" s="1"/>
  <c r="I8" i="9"/>
  <c r="E8" i="9"/>
  <c r="E10" i="9"/>
  <c r="E9" i="9"/>
  <c r="D117" i="8"/>
  <c r="D118" i="8"/>
  <c r="D119" i="8"/>
  <c r="D120" i="8"/>
  <c r="D121" i="8"/>
  <c r="P26" i="7"/>
  <c r="Q26" i="7"/>
  <c r="D123" i="8"/>
  <c r="D124" i="8"/>
  <c r="D125" i="8"/>
  <c r="D127" i="8"/>
  <c r="D128" i="8"/>
  <c r="D129" i="8"/>
  <c r="P34" i="7"/>
  <c r="Q34" i="7"/>
  <c r="P35" i="7"/>
  <c r="Q35" i="7"/>
  <c r="D134" i="8"/>
  <c r="D135" i="8"/>
  <c r="D136" i="8"/>
  <c r="D137" i="8"/>
  <c r="D138" i="8"/>
  <c r="P43" i="7"/>
  <c r="Q43" i="7"/>
  <c r="D140" i="8"/>
  <c r="D141" i="8"/>
  <c r="D142" i="8"/>
  <c r="D143" i="8"/>
  <c r="D144" i="8"/>
  <c r="D145" i="8"/>
  <c r="D146" i="8"/>
  <c r="P51" i="7"/>
  <c r="Q51" i="7"/>
  <c r="P52" i="7"/>
  <c r="Q52" i="7"/>
  <c r="D99" i="8"/>
  <c r="D100" i="8"/>
  <c r="D101" i="8"/>
  <c r="D102" i="8"/>
  <c r="D103" i="8"/>
  <c r="D104" i="8"/>
  <c r="D105" i="8"/>
  <c r="P11" i="7"/>
  <c r="Q11" i="7"/>
  <c r="D107" i="8"/>
  <c r="D108" i="8"/>
  <c r="D109" i="8"/>
  <c r="D113" i="8"/>
  <c r="P43" i="1"/>
  <c r="Q43" i="1"/>
  <c r="P51" i="1"/>
  <c r="Q51" i="1"/>
  <c r="P52" i="1"/>
  <c r="Q52" i="1"/>
  <c r="P26" i="1"/>
  <c r="Q26" i="1"/>
  <c r="P34" i="1"/>
  <c r="Q34" i="1"/>
  <c r="P35" i="1"/>
  <c r="Q35" i="1"/>
  <c r="D26" i="8"/>
  <c r="P15" i="1"/>
  <c r="Q15" i="1"/>
  <c r="D32" i="8"/>
  <c r="D33" i="8"/>
  <c r="D148" i="8"/>
  <c r="D147" i="8"/>
  <c r="D139" i="8"/>
  <c r="D50" i="8"/>
  <c r="D51" i="8"/>
  <c r="D42" i="8"/>
  <c r="D30" i="8"/>
  <c r="D130" i="8"/>
  <c r="D131" i="8"/>
  <c r="D122" i="8"/>
  <c r="D106" i="8"/>
  <c r="D110" i="8"/>
  <c r="AC88" i="8"/>
  <c r="Y88" i="8"/>
  <c r="Q88" i="8"/>
  <c r="Q90" i="8" s="1"/>
  <c r="Q89" i="8"/>
  <c r="M88" i="8"/>
  <c r="M90" i="8" s="1"/>
  <c r="I88" i="8"/>
  <c r="E88" i="8"/>
  <c r="E90" i="8"/>
  <c r="E89" i="8"/>
  <c r="Q8" i="8"/>
  <c r="Q9" i="8" s="1"/>
  <c r="M8" i="8"/>
  <c r="M10" i="8" s="1"/>
  <c r="I8" i="8"/>
  <c r="E8" i="8"/>
  <c r="I88" i="6"/>
  <c r="I90" i="6" s="1"/>
  <c r="C90" i="6" s="1"/>
  <c r="M88" i="6"/>
  <c r="M90" i="6" s="1"/>
  <c r="E8" i="6"/>
  <c r="E10" i="6" s="1"/>
  <c r="I8" i="6"/>
  <c r="I10" i="6" s="1"/>
  <c r="M8" i="6"/>
  <c r="M10" i="6" s="1"/>
  <c r="Q8" i="6"/>
  <c r="Q10" i="6" s="1"/>
  <c r="AD26" i="7"/>
  <c r="AE26" i="7"/>
  <c r="AD31" i="7"/>
  <c r="AE31" i="7"/>
  <c r="AD34" i="7"/>
  <c r="AE34" i="7"/>
  <c r="AD35" i="7"/>
  <c r="AE35" i="7"/>
  <c r="AD43" i="7"/>
  <c r="AE43" i="7"/>
  <c r="AD48" i="7"/>
  <c r="AE48" i="7"/>
  <c r="AD51" i="7"/>
  <c r="AE51" i="7"/>
  <c r="AD52" i="7"/>
  <c r="AE52" i="7"/>
  <c r="Q88" i="5"/>
  <c r="Q89" i="5" s="1"/>
  <c r="C126" i="5" s="1"/>
  <c r="AE30" i="7" s="1"/>
  <c r="M88" i="5"/>
  <c r="M89" i="5" s="1"/>
  <c r="I88" i="5"/>
  <c r="I89" i="5" s="1"/>
  <c r="E88" i="5"/>
  <c r="E89" i="5" s="1"/>
  <c r="AD26" i="1"/>
  <c r="AE26" i="1"/>
  <c r="AD31" i="1"/>
  <c r="AE31" i="1"/>
  <c r="AD34" i="1"/>
  <c r="AE34" i="1"/>
  <c r="AD35" i="1"/>
  <c r="AE35" i="1"/>
  <c r="AD43" i="1"/>
  <c r="AE43" i="1"/>
  <c r="AD48" i="1"/>
  <c r="AE48" i="1"/>
  <c r="AD51" i="1"/>
  <c r="AE51" i="1"/>
  <c r="AD52" i="1"/>
  <c r="AE52" i="1"/>
  <c r="AD15" i="1"/>
  <c r="AE15" i="1"/>
  <c r="B46" i="5"/>
  <c r="AD30" i="1" s="1"/>
  <c r="Q8" i="5"/>
  <c r="Q9" i="5" s="1"/>
  <c r="M8" i="5"/>
  <c r="M9" i="5" s="1"/>
  <c r="C49" i="5" s="1"/>
  <c r="AE33" i="1" s="1"/>
  <c r="I8" i="5"/>
  <c r="I9" i="5" s="1"/>
  <c r="E9" i="5"/>
  <c r="E8" i="5"/>
  <c r="Z43" i="7"/>
  <c r="AA43" i="7"/>
  <c r="Z52" i="7"/>
  <c r="AA52" i="7"/>
  <c r="Z26" i="7"/>
  <c r="AA26" i="7"/>
  <c r="Z35" i="7"/>
  <c r="AA35" i="7"/>
  <c r="Z15" i="7"/>
  <c r="AA15" i="7"/>
  <c r="B111" i="6"/>
  <c r="Z16" i="7" s="1"/>
  <c r="C111" i="6"/>
  <c r="AA16" i="7" s="1"/>
  <c r="B54" i="6"/>
  <c r="Z38" i="1" s="1"/>
  <c r="C54" i="6"/>
  <c r="AA38" i="1" s="1"/>
  <c r="B55" i="6"/>
  <c r="Z39" i="1" s="1"/>
  <c r="C55" i="6"/>
  <c r="AA39" i="1" s="1"/>
  <c r="B56" i="6"/>
  <c r="Z40" i="1" s="1"/>
  <c r="C56" i="6"/>
  <c r="AA40" i="1" s="1"/>
  <c r="B57" i="6"/>
  <c r="Z41" i="1"/>
  <c r="C57" i="6"/>
  <c r="AA41" i="1" s="1"/>
  <c r="B58" i="6"/>
  <c r="Z42" i="1" s="1"/>
  <c r="C58" i="6"/>
  <c r="AA42" i="1" s="1"/>
  <c r="Z43" i="1"/>
  <c r="AA43" i="1"/>
  <c r="B60" i="6"/>
  <c r="Z44" i="1" s="1"/>
  <c r="C60" i="6"/>
  <c r="AA44" i="1" s="1"/>
  <c r="B61" i="6"/>
  <c r="Z45" i="1" s="1"/>
  <c r="C61" i="6"/>
  <c r="AA45" i="1" s="1"/>
  <c r="B62" i="6"/>
  <c r="Z46" i="1" s="1"/>
  <c r="C62" i="6"/>
  <c r="AA46" i="1" s="1"/>
  <c r="B63" i="6"/>
  <c r="Z47" i="1" s="1"/>
  <c r="C63" i="6"/>
  <c r="AA47" i="1" s="1"/>
  <c r="Z48" i="1"/>
  <c r="AA48" i="1"/>
  <c r="B65" i="6"/>
  <c r="Z49" i="1" s="1"/>
  <c r="C65" i="6"/>
  <c r="AA49" i="1" s="1"/>
  <c r="B66" i="6"/>
  <c r="Z50" i="1" s="1"/>
  <c r="C66" i="6"/>
  <c r="AA50" i="1" s="1"/>
  <c r="Z51" i="1"/>
  <c r="AA51" i="1"/>
  <c r="Z52" i="1"/>
  <c r="AA52" i="1"/>
  <c r="B37" i="6"/>
  <c r="Z21" i="1" s="1"/>
  <c r="C37" i="6"/>
  <c r="AA21" i="1" s="1"/>
  <c r="B38" i="6"/>
  <c r="Z22" i="1" s="1"/>
  <c r="C38" i="6"/>
  <c r="AA22" i="1" s="1"/>
  <c r="B39" i="6"/>
  <c r="Z23" i="1" s="1"/>
  <c r="C39" i="6"/>
  <c r="AA23" i="1" s="1"/>
  <c r="B40" i="6"/>
  <c r="Z24" i="1" s="1"/>
  <c r="C40" i="6"/>
  <c r="AA24" i="1" s="1"/>
  <c r="B41" i="6"/>
  <c r="Z25" i="1"/>
  <c r="C41" i="6"/>
  <c r="AA25" i="1" s="1"/>
  <c r="Z26" i="1"/>
  <c r="AA26" i="1"/>
  <c r="B43" i="6"/>
  <c r="Z27" i="1" s="1"/>
  <c r="C43" i="6"/>
  <c r="AA27" i="1" s="1"/>
  <c r="B44" i="6"/>
  <c r="Z28" i="1" s="1"/>
  <c r="C44" i="6"/>
  <c r="AA28" i="1" s="1"/>
  <c r="B45" i="6"/>
  <c r="Z29" i="1" s="1"/>
  <c r="C45" i="6"/>
  <c r="AA29" i="1" s="1"/>
  <c r="B46" i="6"/>
  <c r="Z30" i="1" s="1"/>
  <c r="C46" i="6"/>
  <c r="AA30" i="1" s="1"/>
  <c r="Z31" i="1"/>
  <c r="AA31" i="1"/>
  <c r="B48" i="6"/>
  <c r="Z32" i="1"/>
  <c r="C48" i="6"/>
  <c r="AA32" i="1" s="1"/>
  <c r="B49" i="6"/>
  <c r="Z33" i="1" s="1"/>
  <c r="C49" i="6"/>
  <c r="AA33" i="1" s="1"/>
  <c r="Z34" i="1"/>
  <c r="AA34" i="1"/>
  <c r="Z35" i="1"/>
  <c r="AA35" i="1"/>
  <c r="B19" i="6"/>
  <c r="Z4" i="1" s="1"/>
  <c r="C19" i="6"/>
  <c r="AA4" i="1" s="1"/>
  <c r="B20" i="6"/>
  <c r="Z5" i="1" s="1"/>
  <c r="C20" i="6"/>
  <c r="AA5" i="1" s="1"/>
  <c r="B21" i="6"/>
  <c r="Z6" i="1" s="1"/>
  <c r="C21" i="6"/>
  <c r="AA6" i="1" s="1"/>
  <c r="B22" i="6"/>
  <c r="Z7" i="1" s="1"/>
  <c r="C22" i="6"/>
  <c r="AA7" i="1" s="1"/>
  <c r="B23" i="6"/>
  <c r="Z8" i="1" s="1"/>
  <c r="C23" i="6"/>
  <c r="AA8" i="1" s="1"/>
  <c r="B24" i="6"/>
  <c r="Z9" i="1" s="1"/>
  <c r="C24" i="6"/>
  <c r="AA9" i="1" s="1"/>
  <c r="B25" i="6"/>
  <c r="Z10" i="1" s="1"/>
  <c r="C25" i="6"/>
  <c r="AA10" i="1" s="1"/>
  <c r="B26" i="6"/>
  <c r="Z11" i="1" s="1"/>
  <c r="C26" i="6"/>
  <c r="AA11" i="1" s="1"/>
  <c r="B27" i="6"/>
  <c r="Z12" i="1" s="1"/>
  <c r="C27" i="6"/>
  <c r="AA12" i="1" s="1"/>
  <c r="B28" i="6"/>
  <c r="Z13" i="1" s="1"/>
  <c r="C28" i="6"/>
  <c r="AA13" i="1" s="1"/>
  <c r="B29" i="6"/>
  <c r="Z14" i="1" s="1"/>
  <c r="C29" i="6"/>
  <c r="AA14" i="1" s="1"/>
  <c r="AA15" i="1"/>
  <c r="B31" i="6"/>
  <c r="Z16" i="1" s="1"/>
  <c r="C31" i="6"/>
  <c r="AA16" i="1" s="1"/>
  <c r="B32" i="6"/>
  <c r="Z17" i="1" s="1"/>
  <c r="C32" i="6"/>
  <c r="AA17" i="1"/>
  <c r="B33" i="6"/>
  <c r="Z18" i="1" s="1"/>
  <c r="C33" i="6"/>
  <c r="AA18" i="1" s="1"/>
  <c r="U11" i="17" l="1"/>
  <c r="C19" i="17"/>
  <c r="Q90" i="15"/>
  <c r="M90" i="15"/>
  <c r="E89" i="15"/>
  <c r="E90" i="15"/>
  <c r="M90" i="9"/>
  <c r="M89" i="9"/>
  <c r="AG89" i="10"/>
  <c r="B138" i="11"/>
  <c r="V42" i="7" s="1"/>
  <c r="C141" i="12"/>
  <c r="K45" i="7" s="1"/>
  <c r="B26" i="16"/>
  <c r="R11" i="1" s="1"/>
  <c r="B43" i="16"/>
  <c r="R27" i="1" s="1"/>
  <c r="E11" i="17"/>
  <c r="B33" i="17"/>
  <c r="B18" i="1" s="1"/>
  <c r="C49" i="17"/>
  <c r="C33" i="1" s="1"/>
  <c r="B62" i="17"/>
  <c r="B46" i="1" s="1"/>
  <c r="B113" i="18"/>
  <c r="D18" i="7" s="1"/>
  <c r="B104" i="18"/>
  <c r="D9" i="7" s="1"/>
  <c r="B103" i="18"/>
  <c r="D8" i="7" s="1"/>
  <c r="B117" i="18"/>
  <c r="D21" i="7" s="1"/>
  <c r="I89" i="15"/>
  <c r="I90" i="15"/>
  <c r="B124" i="19"/>
  <c r="F28" i="7" s="1"/>
  <c r="U89" i="6"/>
  <c r="B49" i="8"/>
  <c r="P33" i="1" s="1"/>
  <c r="B66" i="8"/>
  <c r="P50" i="1" s="1"/>
  <c r="B47" i="8"/>
  <c r="P31" i="1" s="1"/>
  <c r="B25" i="20"/>
  <c r="T10" i="1" s="1"/>
  <c r="B32" i="20"/>
  <c r="T17" i="1" s="1"/>
  <c r="C40" i="20"/>
  <c r="U24" i="1" s="1"/>
  <c r="E10" i="8"/>
  <c r="E9" i="8"/>
  <c r="AC90" i="8"/>
  <c r="AC89" i="8"/>
  <c r="I10" i="10"/>
  <c r="C60" i="11"/>
  <c r="W44" i="1" s="1"/>
  <c r="C40" i="11"/>
  <c r="W24" i="1" s="1"/>
  <c r="D10" i="12"/>
  <c r="C10" i="12" s="1"/>
  <c r="B129" i="13"/>
  <c r="H33" i="7" s="1"/>
  <c r="C142" i="19"/>
  <c r="G46" i="7" s="1"/>
  <c r="B145" i="19"/>
  <c r="F49" i="7" s="1"/>
  <c r="C128" i="19"/>
  <c r="G32" i="7" s="1"/>
  <c r="C143" i="19"/>
  <c r="G47" i="7" s="1"/>
  <c r="C100" i="19"/>
  <c r="G5" i="7" s="1"/>
  <c r="B60" i="18"/>
  <c r="D44" i="1" s="1"/>
  <c r="C67" i="12"/>
  <c r="K51" i="1" s="1"/>
  <c r="B136" i="19"/>
  <c r="F40" i="7" s="1"/>
  <c r="B105" i="16"/>
  <c r="R10" i="7" s="1"/>
  <c r="C135" i="16"/>
  <c r="S39" i="7" s="1"/>
  <c r="I90" i="8"/>
  <c r="I89" i="8"/>
  <c r="C65" i="11"/>
  <c r="W49" i="1" s="1"/>
  <c r="C134" i="12"/>
  <c r="K38" i="7" s="1"/>
  <c r="C125" i="12"/>
  <c r="K29" i="7" s="1"/>
  <c r="C129" i="12"/>
  <c r="K33" i="7" s="1"/>
  <c r="B141" i="12"/>
  <c r="J45" i="7" s="1"/>
  <c r="B129" i="19"/>
  <c r="F33" i="7" s="1"/>
  <c r="B127" i="19"/>
  <c r="F31" i="7" s="1"/>
  <c r="C144" i="19"/>
  <c r="G48" i="7" s="1"/>
  <c r="B142" i="18"/>
  <c r="D46" i="7" s="1"/>
  <c r="C65" i="20"/>
  <c r="U49" i="1" s="1"/>
  <c r="B66" i="20"/>
  <c r="T50" i="1" s="1"/>
  <c r="B56" i="20"/>
  <c r="T40" i="1" s="1"/>
  <c r="C49" i="20"/>
  <c r="U33" i="1" s="1"/>
  <c r="B39" i="20"/>
  <c r="T23" i="1" s="1"/>
  <c r="B19" i="20"/>
  <c r="T4" i="1" s="1"/>
  <c r="B49" i="20"/>
  <c r="T33" i="1" s="1"/>
  <c r="B44" i="20"/>
  <c r="T28" i="1" s="1"/>
  <c r="B21" i="20"/>
  <c r="T6" i="1" s="1"/>
  <c r="B48" i="20"/>
  <c r="T32" i="1" s="1"/>
  <c r="C27" i="20"/>
  <c r="U12" i="1" s="1"/>
  <c r="B29" i="20"/>
  <c r="T14" i="1" s="1"/>
  <c r="C23" i="20"/>
  <c r="U8" i="1" s="1"/>
  <c r="C33" i="20"/>
  <c r="U18" i="1" s="1"/>
  <c r="B57" i="20"/>
  <c r="T41" i="1" s="1"/>
  <c r="I10" i="9"/>
  <c r="I9" i="9"/>
  <c r="C136" i="15"/>
  <c r="Y40" i="7" s="1"/>
  <c r="C62" i="17"/>
  <c r="C46" i="1" s="1"/>
  <c r="B49" i="17"/>
  <c r="B33" i="1" s="1"/>
  <c r="B28" i="19"/>
  <c r="F13" i="1" s="1"/>
  <c r="B32" i="18"/>
  <c r="D17" i="1" s="1"/>
  <c r="B121" i="19"/>
  <c r="F25" i="7" s="1"/>
  <c r="B143" i="18"/>
  <c r="D47" i="7" s="1"/>
  <c r="U91" i="17"/>
  <c r="C110" i="17"/>
  <c r="C15" i="7" s="1"/>
  <c r="C57" i="20"/>
  <c r="U41" i="1" s="1"/>
  <c r="B63" i="20"/>
  <c r="T47" i="1" s="1"/>
  <c r="M9" i="8"/>
  <c r="M89" i="8"/>
  <c r="C120" i="8" s="1"/>
  <c r="Q24" i="7" s="1"/>
  <c r="M9" i="9"/>
  <c r="C56" i="9" s="1"/>
  <c r="O40" i="1" s="1"/>
  <c r="B132" i="11"/>
  <c r="B149" i="11"/>
  <c r="C149" i="11"/>
  <c r="B62" i="11"/>
  <c r="V46" i="1" s="1"/>
  <c r="C126" i="14"/>
  <c r="AC30" i="7" s="1"/>
  <c r="C143" i="14"/>
  <c r="AC47" i="7" s="1"/>
  <c r="B29" i="16"/>
  <c r="R14" i="1" s="1"/>
  <c r="B46" i="16"/>
  <c r="R30" i="1" s="1"/>
  <c r="C26" i="19"/>
  <c r="G11" i="1" s="1"/>
  <c r="B55" i="18"/>
  <c r="D39" i="1" s="1"/>
  <c r="C33" i="18"/>
  <c r="E18" i="1" s="1"/>
  <c r="C21" i="18"/>
  <c r="E6" i="1" s="1"/>
  <c r="B33" i="18"/>
  <c r="D18" i="1" s="1"/>
  <c r="B21" i="18"/>
  <c r="D6" i="1" s="1"/>
  <c r="C32" i="18"/>
  <c r="E17" i="1" s="1"/>
  <c r="C20" i="18"/>
  <c r="E5" i="1" s="1"/>
  <c r="Y11" i="18"/>
  <c r="B38" i="18"/>
  <c r="D22" i="1" s="1"/>
  <c r="C61" i="18"/>
  <c r="E45" i="1" s="1"/>
  <c r="C119" i="16"/>
  <c r="S23" i="7" s="1"/>
  <c r="B110" i="18"/>
  <c r="D15" i="7" s="1"/>
  <c r="B28" i="20"/>
  <c r="T13" i="1" s="1"/>
  <c r="C63" i="20"/>
  <c r="U47" i="1" s="1"/>
  <c r="B90" i="6"/>
  <c r="D90" i="11"/>
  <c r="C90" i="11" s="1"/>
  <c r="C52" i="13"/>
  <c r="C102" i="14"/>
  <c r="AC7" i="7" s="1"/>
  <c r="C143" i="15"/>
  <c r="Y47" i="7" s="1"/>
  <c r="C140" i="15"/>
  <c r="Y44" i="7" s="1"/>
  <c r="C30" i="15"/>
  <c r="Y15" i="1" s="1"/>
  <c r="C29" i="16"/>
  <c r="S14" i="1" s="1"/>
  <c r="B21" i="19"/>
  <c r="F6" i="1" s="1"/>
  <c r="C38" i="18"/>
  <c r="E22" i="1" s="1"/>
  <c r="C45" i="20"/>
  <c r="U29" i="1" s="1"/>
  <c r="Y10" i="9"/>
  <c r="Y9" i="9"/>
  <c r="B121" i="11"/>
  <c r="V25" i="7" s="1"/>
  <c r="AC90" i="10"/>
  <c r="B22" i="11"/>
  <c r="V7" i="1" s="1"/>
  <c r="C104" i="12"/>
  <c r="K9" i="7" s="1"/>
  <c r="B143" i="12"/>
  <c r="J47" i="7" s="1"/>
  <c r="C124" i="12"/>
  <c r="K28" i="7" s="1"/>
  <c r="C118" i="12"/>
  <c r="K22" i="7" s="1"/>
  <c r="C47" i="18"/>
  <c r="E31" i="1" s="1"/>
  <c r="C46" i="18"/>
  <c r="E30" i="1" s="1"/>
  <c r="B47" i="18"/>
  <c r="D31" i="1" s="1"/>
  <c r="B39" i="18"/>
  <c r="D23" i="1" s="1"/>
  <c r="B49" i="12"/>
  <c r="J33" i="1" s="1"/>
  <c r="B66" i="12"/>
  <c r="J50" i="1" s="1"/>
  <c r="M9" i="15"/>
  <c r="O9" i="15"/>
  <c r="N9" i="15"/>
  <c r="C66" i="15" s="1"/>
  <c r="Y50" i="1" s="1"/>
  <c r="B57" i="5"/>
  <c r="AD41" i="1" s="1"/>
  <c r="C46" i="5"/>
  <c r="AE30" i="1" s="1"/>
  <c r="B129" i="8"/>
  <c r="P33" i="7" s="1"/>
  <c r="C127" i="8"/>
  <c r="Q31" i="7" s="1"/>
  <c r="C146" i="8"/>
  <c r="Q50" i="7" s="1"/>
  <c r="C123" i="8"/>
  <c r="Q27" i="7" s="1"/>
  <c r="B56" i="9"/>
  <c r="N40" i="1" s="1"/>
  <c r="M90" i="10"/>
  <c r="M89" i="10"/>
  <c r="B124" i="12"/>
  <c r="J28" i="7" s="1"/>
  <c r="E91" i="13"/>
  <c r="C119" i="13"/>
  <c r="I23" i="7" s="1"/>
  <c r="C134" i="13"/>
  <c r="I38" i="7" s="1"/>
  <c r="B127" i="13"/>
  <c r="H31" i="7" s="1"/>
  <c r="B109" i="13"/>
  <c r="H14" i="7" s="1"/>
  <c r="C143" i="13"/>
  <c r="I47" i="7" s="1"/>
  <c r="C127" i="13"/>
  <c r="I31" i="7" s="1"/>
  <c r="B120" i="13"/>
  <c r="H24" i="7" s="1"/>
  <c r="B90" i="13"/>
  <c r="C103" i="13"/>
  <c r="I8" i="7" s="1"/>
  <c r="B146" i="13"/>
  <c r="H50" i="7" s="1"/>
  <c r="C55" i="16"/>
  <c r="S39" i="1" s="1"/>
  <c r="B55" i="16"/>
  <c r="R39" i="1" s="1"/>
  <c r="B21" i="16"/>
  <c r="R6" i="1" s="1"/>
  <c r="C60" i="16"/>
  <c r="S44" i="1" s="1"/>
  <c r="B50" i="12"/>
  <c r="J34" i="1" s="1"/>
  <c r="C66" i="12"/>
  <c r="K50" i="1" s="1"/>
  <c r="B141" i="19"/>
  <c r="F45" i="7" s="1"/>
  <c r="C140" i="16"/>
  <c r="S44" i="7" s="1"/>
  <c r="B107" i="6"/>
  <c r="Z12" i="7" s="1"/>
  <c r="C106" i="6"/>
  <c r="AA11" i="7" s="1"/>
  <c r="B103" i="6"/>
  <c r="Z8" i="7" s="1"/>
  <c r="C102" i="6"/>
  <c r="AA7" i="7" s="1"/>
  <c r="B20" i="20"/>
  <c r="T5" i="1" s="1"/>
  <c r="B40" i="20"/>
  <c r="T24" i="1" s="1"/>
  <c r="C46" i="20"/>
  <c r="U30" i="1" s="1"/>
  <c r="B117" i="9"/>
  <c r="N21" i="7" s="1"/>
  <c r="C50" i="12"/>
  <c r="K34" i="1" s="1"/>
  <c r="B23" i="14"/>
  <c r="AB8" i="1" s="1"/>
  <c r="C37" i="14"/>
  <c r="AC21" i="1" s="1"/>
  <c r="C62" i="14"/>
  <c r="AC46" i="1" s="1"/>
  <c r="C142" i="15"/>
  <c r="Y46" i="7" s="1"/>
  <c r="C47" i="19"/>
  <c r="G31" i="1" s="1"/>
  <c r="C64" i="19"/>
  <c r="G48" i="1" s="1"/>
  <c r="B26" i="19"/>
  <c r="F11" i="1" s="1"/>
  <c r="B111" i="18"/>
  <c r="D16" i="7" s="1"/>
  <c r="B107" i="11"/>
  <c r="V12" i="7" s="1"/>
  <c r="C49" i="12"/>
  <c r="K33" i="1" s="1"/>
  <c r="B38" i="14"/>
  <c r="AB22" i="1" s="1"/>
  <c r="B44" i="14"/>
  <c r="AB28" i="1" s="1"/>
  <c r="I11" i="19"/>
  <c r="B41" i="19"/>
  <c r="F25" i="1" s="1"/>
  <c r="C55" i="19"/>
  <c r="G39" i="1" s="1"/>
  <c r="B65" i="19"/>
  <c r="F49" i="1" s="1"/>
  <c r="C69" i="12"/>
  <c r="E9" i="15"/>
  <c r="E8" i="15" s="1"/>
  <c r="E10" i="15" s="1"/>
  <c r="C37" i="20"/>
  <c r="U21" i="1" s="1"/>
  <c r="C54" i="20"/>
  <c r="U38" i="1" s="1"/>
  <c r="C106" i="20"/>
  <c r="U11" i="7" s="1"/>
  <c r="B141" i="20"/>
  <c r="T45" i="7" s="1"/>
  <c r="C28" i="14"/>
  <c r="AC13" i="1" s="1"/>
  <c r="C43" i="14"/>
  <c r="AC27" i="1" s="1"/>
  <c r="C56" i="14"/>
  <c r="AC40" i="1" s="1"/>
  <c r="B57" i="12"/>
  <c r="J41" i="1" s="1"/>
  <c r="E11" i="19"/>
  <c r="C41" i="19"/>
  <c r="G25" i="1" s="1"/>
  <c r="B33" i="19"/>
  <c r="F18" i="1" s="1"/>
  <c r="B20" i="12"/>
  <c r="J5" i="1" s="1"/>
  <c r="B144" i="18"/>
  <c r="D48" i="7" s="1"/>
  <c r="C22" i="20"/>
  <c r="U7" i="1" s="1"/>
  <c r="C25" i="12"/>
  <c r="K10" i="1" s="1"/>
  <c r="C123" i="15"/>
  <c r="Y27" i="7" s="1"/>
  <c r="C21" i="16"/>
  <c r="S6" i="1" s="1"/>
  <c r="C125" i="17"/>
  <c r="C29" i="7" s="1"/>
  <c r="M11" i="19"/>
  <c r="C43" i="19"/>
  <c r="G27" i="1" s="1"/>
  <c r="B56" i="19"/>
  <c r="F40" i="1" s="1"/>
  <c r="C65" i="19"/>
  <c r="G49" i="1" s="1"/>
  <c r="B23" i="19"/>
  <c r="F8" i="1" s="1"/>
  <c r="I9" i="15"/>
  <c r="I8" i="15" s="1"/>
  <c r="I10" i="15" s="1"/>
  <c r="AC91" i="17"/>
  <c r="C31" i="17"/>
  <c r="C16" i="1" s="1"/>
  <c r="B64" i="10"/>
  <c r="L48" i="1" s="1"/>
  <c r="C60" i="20"/>
  <c r="U44" i="1" s="1"/>
  <c r="C117" i="20"/>
  <c r="U21" i="7" s="1"/>
  <c r="B138" i="16"/>
  <c r="R42" i="7" s="1"/>
  <c r="B134" i="17"/>
  <c r="B38" i="7" s="1"/>
  <c r="B99" i="20"/>
  <c r="T4" i="7" s="1"/>
  <c r="B100" i="20"/>
  <c r="T5" i="7" s="1"/>
  <c r="B125" i="20"/>
  <c r="T29" i="7" s="1"/>
  <c r="C140" i="5"/>
  <c r="AE44" i="7" s="1"/>
  <c r="C123" i="5"/>
  <c r="AE27" i="7" s="1"/>
  <c r="C100" i="5"/>
  <c r="AE5" i="7" s="1"/>
  <c r="B140" i="5"/>
  <c r="AD44" i="7" s="1"/>
  <c r="B118" i="5"/>
  <c r="AD22" i="7" s="1"/>
  <c r="B103" i="5"/>
  <c r="AD8" i="7" s="1"/>
  <c r="C108" i="5"/>
  <c r="AE13" i="7" s="1"/>
  <c r="C141" i="5"/>
  <c r="AE45" i="7" s="1"/>
  <c r="B135" i="5"/>
  <c r="AD39" i="7" s="1"/>
  <c r="C117" i="5"/>
  <c r="AE21" i="7" s="1"/>
  <c r="B143" i="5"/>
  <c r="AD47" i="7" s="1"/>
  <c r="C146" i="5"/>
  <c r="AE50" i="7" s="1"/>
  <c r="B107" i="5"/>
  <c r="AD12" i="7" s="1"/>
  <c r="C143" i="5"/>
  <c r="AE47" i="7" s="1"/>
  <c r="C128" i="5"/>
  <c r="AE32" i="7" s="1"/>
  <c r="B117" i="5"/>
  <c r="AD21" i="7" s="1"/>
  <c r="B108" i="5"/>
  <c r="AD13" i="7" s="1"/>
  <c r="B100" i="5"/>
  <c r="AD5" i="7" s="1"/>
  <c r="C112" i="5"/>
  <c r="AE17" i="7" s="1"/>
  <c r="C19" i="5"/>
  <c r="AE4" i="1" s="1"/>
  <c r="C62" i="5"/>
  <c r="AE46" i="1" s="1"/>
  <c r="C22" i="5"/>
  <c r="AE7" i="1" s="1"/>
  <c r="C65" i="5"/>
  <c r="AE49" i="1" s="1"/>
  <c r="B22" i="5"/>
  <c r="AD7" i="1" s="1"/>
  <c r="B41" i="5"/>
  <c r="AD25" i="1" s="1"/>
  <c r="C10" i="6"/>
  <c r="B10" i="6"/>
  <c r="B107" i="9"/>
  <c r="N12" i="7" s="1"/>
  <c r="Y90" i="8"/>
  <c r="B90" i="8" s="1"/>
  <c r="Y89" i="8"/>
  <c r="B39" i="9"/>
  <c r="N23" i="1" s="1"/>
  <c r="C32" i="5"/>
  <c r="AE17" i="1" s="1"/>
  <c r="B21" i="5"/>
  <c r="AD6" i="1" s="1"/>
  <c r="B49" i="5"/>
  <c r="AD33" i="1" s="1"/>
  <c r="B137" i="8"/>
  <c r="P41" i="7" s="1"/>
  <c r="U10" i="9"/>
  <c r="D10" i="9" s="1"/>
  <c r="C10" i="9" s="1"/>
  <c r="U9" i="9"/>
  <c r="I90" i="10"/>
  <c r="I89" i="10"/>
  <c r="C128" i="10" s="1"/>
  <c r="M32" i="7" s="1"/>
  <c r="B117" i="10"/>
  <c r="L21" i="7" s="1"/>
  <c r="C41" i="9"/>
  <c r="O25" i="1" s="1"/>
  <c r="B62" i="9"/>
  <c r="N46" i="1" s="1"/>
  <c r="C119" i="9"/>
  <c r="O23" i="7" s="1"/>
  <c r="B129" i="9"/>
  <c r="N33" i="7" s="1"/>
  <c r="B21" i="11"/>
  <c r="V6" i="1" s="1"/>
  <c r="I10" i="8"/>
  <c r="I9" i="8"/>
  <c r="C26" i="8" s="1"/>
  <c r="Q11" i="1" s="1"/>
  <c r="B102" i="9"/>
  <c r="N7" i="7" s="1"/>
  <c r="B138" i="8"/>
  <c r="P42" i="7" s="1"/>
  <c r="C134" i="8"/>
  <c r="Q38" i="7" s="1"/>
  <c r="C129" i="8"/>
  <c r="Q33" i="7" s="1"/>
  <c r="C125" i="8"/>
  <c r="Q29" i="7" s="1"/>
  <c r="C118" i="8"/>
  <c r="Q22" i="7" s="1"/>
  <c r="B106" i="9"/>
  <c r="N11" i="7" s="1"/>
  <c r="C57" i="9"/>
  <c r="O41" i="1" s="1"/>
  <c r="B126" i="5"/>
  <c r="AD30" i="7" s="1"/>
  <c r="C110" i="10"/>
  <c r="M15" i="7" s="1"/>
  <c r="B110" i="10"/>
  <c r="L15" i="7" s="1"/>
  <c r="C141" i="10"/>
  <c r="M45" i="7" s="1"/>
  <c r="C119" i="10"/>
  <c r="M23" i="7" s="1"/>
  <c r="B101" i="10"/>
  <c r="L6" i="7" s="1"/>
  <c r="B105" i="10"/>
  <c r="L10" i="7" s="1"/>
  <c r="B109" i="10"/>
  <c r="L14" i="7" s="1"/>
  <c r="C100" i="10"/>
  <c r="M5" i="7" s="1"/>
  <c r="B141" i="10"/>
  <c r="L45" i="7" s="1"/>
  <c r="B119" i="10"/>
  <c r="L23" i="7" s="1"/>
  <c r="C101" i="10"/>
  <c r="M6" i="7" s="1"/>
  <c r="C105" i="10"/>
  <c r="M10" i="7" s="1"/>
  <c r="C109" i="10"/>
  <c r="M14" i="7" s="1"/>
  <c r="B100" i="10"/>
  <c r="L5" i="7" s="1"/>
  <c r="C143" i="10"/>
  <c r="M47" i="7" s="1"/>
  <c r="B125" i="10"/>
  <c r="L29" i="7" s="1"/>
  <c r="C121" i="10"/>
  <c r="M25" i="7" s="1"/>
  <c r="B102" i="10"/>
  <c r="L7" i="7" s="1"/>
  <c r="B106" i="10"/>
  <c r="L11" i="7" s="1"/>
  <c r="B112" i="10"/>
  <c r="L17" i="7" s="1"/>
  <c r="C99" i="10"/>
  <c r="M4" i="7" s="1"/>
  <c r="C140" i="10"/>
  <c r="M44" i="7" s="1"/>
  <c r="B134" i="10"/>
  <c r="L38" i="7" s="1"/>
  <c r="B121" i="10"/>
  <c r="L25" i="7" s="1"/>
  <c r="C118" i="10"/>
  <c r="M22" i="7" s="1"/>
  <c r="C102" i="10"/>
  <c r="M7" i="7" s="1"/>
  <c r="C106" i="10"/>
  <c r="M11" i="7" s="1"/>
  <c r="B136" i="10"/>
  <c r="L40" i="7" s="1"/>
  <c r="B129" i="10"/>
  <c r="L33" i="7" s="1"/>
  <c r="B124" i="10"/>
  <c r="L28" i="7" s="1"/>
  <c r="C120" i="10"/>
  <c r="M24" i="7" s="1"/>
  <c r="C103" i="10"/>
  <c r="M8" i="7" s="1"/>
  <c r="C107" i="10"/>
  <c r="M12" i="7" s="1"/>
  <c r="C126" i="9"/>
  <c r="O30" i="7" s="1"/>
  <c r="B138" i="10"/>
  <c r="L42" i="7" s="1"/>
  <c r="B32" i="5"/>
  <c r="AD17" i="1" s="1"/>
  <c r="C54" i="5"/>
  <c r="AE38" i="1" s="1"/>
  <c r="B29" i="5"/>
  <c r="AD14" i="1" s="1"/>
  <c r="C38" i="5"/>
  <c r="AE22" i="1" s="1"/>
  <c r="C145" i="5"/>
  <c r="AE49" i="7" s="1"/>
  <c r="C138" i="5"/>
  <c r="AE42" i="7" s="1"/>
  <c r="C134" i="5"/>
  <c r="AE38" i="7" s="1"/>
  <c r="C125" i="5"/>
  <c r="AE29" i="7" s="1"/>
  <c r="B119" i="5"/>
  <c r="AD23" i="7" s="1"/>
  <c r="C111" i="5"/>
  <c r="AE16" i="7" s="1"/>
  <c r="B101" i="5"/>
  <c r="AD6" i="7" s="1"/>
  <c r="B105" i="5"/>
  <c r="AD10" i="7" s="1"/>
  <c r="B109" i="5"/>
  <c r="AD14" i="7" s="1"/>
  <c r="B145" i="5"/>
  <c r="AD49" i="7" s="1"/>
  <c r="B138" i="5"/>
  <c r="AD42" i="7" s="1"/>
  <c r="B134" i="5"/>
  <c r="AD38" i="7" s="1"/>
  <c r="B125" i="5"/>
  <c r="AD29" i="7" s="1"/>
  <c r="C119" i="5"/>
  <c r="AE23" i="7" s="1"/>
  <c r="B111" i="5"/>
  <c r="AD16" i="7" s="1"/>
  <c r="C101" i="5"/>
  <c r="AE6" i="7" s="1"/>
  <c r="C105" i="5"/>
  <c r="AE10" i="7" s="1"/>
  <c r="C109" i="5"/>
  <c r="AE14" i="7" s="1"/>
  <c r="C142" i="5"/>
  <c r="AE46" i="7" s="1"/>
  <c r="C137" i="5"/>
  <c r="AE41" i="7" s="1"/>
  <c r="C129" i="5"/>
  <c r="AE33" i="7" s="1"/>
  <c r="C124" i="5"/>
  <c r="AE28" i="7" s="1"/>
  <c r="B120" i="5"/>
  <c r="AD24" i="7" s="1"/>
  <c r="C113" i="5"/>
  <c r="AE18" i="7" s="1"/>
  <c r="B102" i="5"/>
  <c r="AD7" i="7" s="1"/>
  <c r="B106" i="5"/>
  <c r="AD11" i="7" s="1"/>
  <c r="C99" i="5"/>
  <c r="AE4" i="7" s="1"/>
  <c r="B142" i="5"/>
  <c r="AD46" i="7" s="1"/>
  <c r="B137" i="5"/>
  <c r="AD41" i="7" s="1"/>
  <c r="B129" i="5"/>
  <c r="AD33" i="7" s="1"/>
  <c r="B124" i="5"/>
  <c r="AD28" i="7" s="1"/>
  <c r="C120" i="5"/>
  <c r="AE24" i="7" s="1"/>
  <c r="B113" i="5"/>
  <c r="AD18" i="7" s="1"/>
  <c r="C102" i="5"/>
  <c r="AE7" i="7" s="1"/>
  <c r="C106" i="5"/>
  <c r="AE11" i="7" s="1"/>
  <c r="B99" i="5"/>
  <c r="AD4" i="7" s="1"/>
  <c r="B146" i="5"/>
  <c r="AD50" i="7" s="1"/>
  <c r="B141" i="5"/>
  <c r="AD45" i="7" s="1"/>
  <c r="B136" i="5"/>
  <c r="AD40" i="7" s="1"/>
  <c r="B128" i="5"/>
  <c r="AD32" i="7" s="1"/>
  <c r="B123" i="5"/>
  <c r="AD27" i="7" s="1"/>
  <c r="C121" i="5"/>
  <c r="AE25" i="7" s="1"/>
  <c r="B112" i="5"/>
  <c r="AD17" i="7" s="1"/>
  <c r="C103" i="5"/>
  <c r="AE8" i="7" s="1"/>
  <c r="C107" i="5"/>
  <c r="AE12" i="7" s="1"/>
  <c r="C104" i="5"/>
  <c r="AE9" i="7" s="1"/>
  <c r="B121" i="5"/>
  <c r="AD25" i="7" s="1"/>
  <c r="C135" i="5"/>
  <c r="AE39" i="7" s="1"/>
  <c r="Q10" i="8"/>
  <c r="C144" i="8"/>
  <c r="Q48" i="7" s="1"/>
  <c r="C140" i="8"/>
  <c r="Q44" i="7" s="1"/>
  <c r="C108" i="10"/>
  <c r="M13" i="7" s="1"/>
  <c r="C135" i="10"/>
  <c r="M39" i="7" s="1"/>
  <c r="B140" i="10"/>
  <c r="L44" i="7" s="1"/>
  <c r="C145" i="10"/>
  <c r="M49" i="7" s="1"/>
  <c r="C20" i="9"/>
  <c r="O5" i="1" s="1"/>
  <c r="C117" i="9"/>
  <c r="O21" i="7" s="1"/>
  <c r="C123" i="9"/>
  <c r="O27" i="7" s="1"/>
  <c r="C120" i="11"/>
  <c r="W24" i="7" s="1"/>
  <c r="C31" i="10"/>
  <c r="M16" i="1" s="1"/>
  <c r="B31" i="10"/>
  <c r="L16" i="1" s="1"/>
  <c r="B28" i="9"/>
  <c r="N13" i="1" s="1"/>
  <c r="C126" i="10"/>
  <c r="M30" i="7" s="1"/>
  <c r="B10" i="9"/>
  <c r="C61" i="5"/>
  <c r="AE45" i="1" s="1"/>
  <c r="C56" i="5"/>
  <c r="AE40" i="1" s="1"/>
  <c r="B39" i="5"/>
  <c r="AD23" i="1" s="1"/>
  <c r="B44" i="5"/>
  <c r="AD28" i="1" s="1"/>
  <c r="C37" i="5"/>
  <c r="AE21" i="1" s="1"/>
  <c r="B23" i="5"/>
  <c r="AD8" i="1" s="1"/>
  <c r="B27" i="5"/>
  <c r="AD12" i="1" s="1"/>
  <c r="B33" i="5"/>
  <c r="AD18" i="1" s="1"/>
  <c r="B61" i="5"/>
  <c r="AD45" i="1" s="1"/>
  <c r="B56" i="5"/>
  <c r="AD40" i="1" s="1"/>
  <c r="C39" i="5"/>
  <c r="AE23" i="1" s="1"/>
  <c r="C44" i="5"/>
  <c r="AE28" i="1" s="1"/>
  <c r="B37" i="5"/>
  <c r="AD21" i="1" s="1"/>
  <c r="C23" i="5"/>
  <c r="AE8" i="1" s="1"/>
  <c r="C27" i="5"/>
  <c r="AE12" i="1" s="1"/>
  <c r="C33" i="5"/>
  <c r="AE18" i="1" s="1"/>
  <c r="C63" i="5"/>
  <c r="AE47" i="1" s="1"/>
  <c r="C60" i="5"/>
  <c r="AE44" i="1" s="1"/>
  <c r="C55" i="5"/>
  <c r="AE39" i="1" s="1"/>
  <c r="B40" i="5"/>
  <c r="AD24" i="1" s="1"/>
  <c r="B45" i="5"/>
  <c r="AD29" i="1" s="1"/>
  <c r="C31" i="5"/>
  <c r="AE16" i="1" s="1"/>
  <c r="B24" i="5"/>
  <c r="AD9" i="1" s="1"/>
  <c r="B28" i="5"/>
  <c r="AD13" i="1" s="1"/>
  <c r="C20" i="5"/>
  <c r="AE5" i="1" s="1"/>
  <c r="B63" i="5"/>
  <c r="AD47" i="1" s="1"/>
  <c r="B60" i="5"/>
  <c r="AD44" i="1" s="1"/>
  <c r="B55" i="5"/>
  <c r="AD39" i="1" s="1"/>
  <c r="C40" i="5"/>
  <c r="AE24" i="1" s="1"/>
  <c r="C45" i="5"/>
  <c r="AE29" i="1" s="1"/>
  <c r="B31" i="5"/>
  <c r="AD16" i="1" s="1"/>
  <c r="C24" i="5"/>
  <c r="AE9" i="1" s="1"/>
  <c r="C28" i="5"/>
  <c r="AE13" i="1" s="1"/>
  <c r="B20" i="5"/>
  <c r="AD5" i="1" s="1"/>
  <c r="B65" i="5"/>
  <c r="AD49" i="1" s="1"/>
  <c r="B58" i="5"/>
  <c r="AD42" i="1" s="1"/>
  <c r="B54" i="5"/>
  <c r="AD38" i="1" s="1"/>
  <c r="C41" i="5"/>
  <c r="AE25" i="1" s="1"/>
  <c r="C48" i="5"/>
  <c r="AE32" i="1" s="1"/>
  <c r="C21" i="5"/>
  <c r="AE6" i="1" s="1"/>
  <c r="C25" i="5"/>
  <c r="AE10" i="1" s="1"/>
  <c r="C29" i="5"/>
  <c r="AE14" i="1" s="1"/>
  <c r="B19" i="5"/>
  <c r="AD4" i="1" s="1"/>
  <c r="B38" i="5"/>
  <c r="AD22" i="1" s="1"/>
  <c r="C26" i="5"/>
  <c r="AE11" i="1" s="1"/>
  <c r="B48" i="5"/>
  <c r="AD32" i="1" s="1"/>
  <c r="C57" i="5"/>
  <c r="AE41" i="1" s="1"/>
  <c r="C110" i="5"/>
  <c r="AE15" i="7" s="1"/>
  <c r="B110" i="5"/>
  <c r="AD15" i="7" s="1"/>
  <c r="B104" i="5"/>
  <c r="AD9" i="7" s="1"/>
  <c r="C118" i="5"/>
  <c r="AE22" i="7" s="1"/>
  <c r="C136" i="5"/>
  <c r="AE40" i="7" s="1"/>
  <c r="B140" i="8"/>
  <c r="P44" i="7" s="1"/>
  <c r="B125" i="8"/>
  <c r="P29" i="7" s="1"/>
  <c r="B142" i="9"/>
  <c r="N46" i="7" s="1"/>
  <c r="B108" i="10"/>
  <c r="L13" i="7" s="1"/>
  <c r="B118" i="10"/>
  <c r="L22" i="7" s="1"/>
  <c r="C124" i="10"/>
  <c r="M28" i="7" s="1"/>
  <c r="B27" i="9"/>
  <c r="N12" i="1" s="1"/>
  <c r="C32" i="9"/>
  <c r="O17" i="1" s="1"/>
  <c r="B54" i="9"/>
  <c r="N38" i="1" s="1"/>
  <c r="C100" i="9"/>
  <c r="O5" i="7" s="1"/>
  <c r="B66" i="10"/>
  <c r="L50" i="1" s="1"/>
  <c r="B49" i="10"/>
  <c r="L33" i="1" s="1"/>
  <c r="C49" i="10"/>
  <c r="M33" i="1" s="1"/>
  <c r="C66" i="10"/>
  <c r="M50" i="1" s="1"/>
  <c r="C113" i="10"/>
  <c r="M18" i="7" s="1"/>
  <c r="B103" i="10"/>
  <c r="L8" i="7" s="1"/>
  <c r="B24" i="9"/>
  <c r="N9" i="1" s="1"/>
  <c r="B126" i="9"/>
  <c r="N30" i="7" s="1"/>
  <c r="C66" i="5"/>
  <c r="AE50" i="1" s="1"/>
  <c r="B66" i="5"/>
  <c r="AD50" i="1" s="1"/>
  <c r="B26" i="5"/>
  <c r="AD11" i="1" s="1"/>
  <c r="C43" i="5"/>
  <c r="AE27" i="1" s="1"/>
  <c r="C58" i="5"/>
  <c r="AE42" i="1" s="1"/>
  <c r="B10" i="8"/>
  <c r="B120" i="8"/>
  <c r="P24" i="7" s="1"/>
  <c r="C136" i="8"/>
  <c r="Q40" i="7" s="1"/>
  <c r="E10" i="10"/>
  <c r="E9" i="10"/>
  <c r="Q90" i="10"/>
  <c r="Q89" i="10"/>
  <c r="B107" i="10"/>
  <c r="L12" i="7" s="1"/>
  <c r="C136" i="10"/>
  <c r="M40" i="7" s="1"/>
  <c r="B146" i="10"/>
  <c r="L50" i="7" s="1"/>
  <c r="C27" i="9"/>
  <c r="O12" i="1" s="1"/>
  <c r="B44" i="9"/>
  <c r="N28" i="1" s="1"/>
  <c r="C118" i="9"/>
  <c r="O22" i="7" s="1"/>
  <c r="B137" i="9"/>
  <c r="N41" i="7" s="1"/>
  <c r="B31" i="11"/>
  <c r="V16" i="1" s="1"/>
  <c r="C31" i="11"/>
  <c r="W16" i="1" s="1"/>
  <c r="C43" i="11"/>
  <c r="W27" i="1" s="1"/>
  <c r="C45" i="11"/>
  <c r="W29" i="1" s="1"/>
  <c r="C61" i="11"/>
  <c r="W45" i="1" s="1"/>
  <c r="C63" i="11"/>
  <c r="W47" i="1" s="1"/>
  <c r="B56" i="11"/>
  <c r="V40" i="1" s="1"/>
  <c r="B63" i="11"/>
  <c r="V47" i="1" s="1"/>
  <c r="B60" i="11"/>
  <c r="V44" i="1" s="1"/>
  <c r="B41" i="11"/>
  <c r="V25" i="1" s="1"/>
  <c r="B27" i="11"/>
  <c r="V12" i="1" s="1"/>
  <c r="B19" i="11"/>
  <c r="V4" i="1" s="1"/>
  <c r="C37" i="11"/>
  <c r="W21" i="1" s="1"/>
  <c r="C39" i="11"/>
  <c r="W23" i="1" s="1"/>
  <c r="C41" i="11"/>
  <c r="W25" i="1" s="1"/>
  <c r="C48" i="11"/>
  <c r="W32" i="1" s="1"/>
  <c r="C55" i="11"/>
  <c r="W39" i="1" s="1"/>
  <c r="C57" i="11"/>
  <c r="W41" i="1" s="1"/>
  <c r="C66" i="11"/>
  <c r="W50" i="1" s="1"/>
  <c r="C19" i="11"/>
  <c r="W4" i="1" s="1"/>
  <c r="C21" i="11"/>
  <c r="W6" i="1" s="1"/>
  <c r="C23" i="11"/>
  <c r="W8" i="1" s="1"/>
  <c r="C25" i="11"/>
  <c r="W10" i="1" s="1"/>
  <c r="C27" i="11"/>
  <c r="W12" i="1" s="1"/>
  <c r="C29" i="11"/>
  <c r="W14" i="1" s="1"/>
  <c r="B39" i="11"/>
  <c r="V23" i="1" s="1"/>
  <c r="C32" i="11"/>
  <c r="W17" i="1" s="1"/>
  <c r="B58" i="11"/>
  <c r="V42" i="1" s="1"/>
  <c r="B48" i="11"/>
  <c r="V32" i="1" s="1"/>
  <c r="B38" i="11"/>
  <c r="V22" i="1" s="1"/>
  <c r="B25" i="11"/>
  <c r="V10" i="1" s="1"/>
  <c r="C49" i="11"/>
  <c r="W33" i="1" s="1"/>
  <c r="C54" i="11"/>
  <c r="W38" i="1" s="1"/>
  <c r="C24" i="11"/>
  <c r="W9" i="1" s="1"/>
  <c r="C46" i="11"/>
  <c r="W30" i="1" s="1"/>
  <c r="B32" i="11"/>
  <c r="V17" i="1" s="1"/>
  <c r="B20" i="11"/>
  <c r="V5" i="1" s="1"/>
  <c r="C58" i="11"/>
  <c r="W42" i="1" s="1"/>
  <c r="C28" i="11"/>
  <c r="W13" i="1" s="1"/>
  <c r="B57" i="11"/>
  <c r="V41" i="1" s="1"/>
  <c r="B45" i="11"/>
  <c r="V29" i="1" s="1"/>
  <c r="B29" i="11"/>
  <c r="V14" i="1" s="1"/>
  <c r="C56" i="11"/>
  <c r="W40" i="1" s="1"/>
  <c r="C26" i="11"/>
  <c r="W11" i="1" s="1"/>
  <c r="C33" i="11"/>
  <c r="W18" i="1" s="1"/>
  <c r="B65" i="11"/>
  <c r="V49" i="1" s="1"/>
  <c r="B49" i="11"/>
  <c r="V33" i="1" s="1"/>
  <c r="B24" i="11"/>
  <c r="V9" i="1" s="1"/>
  <c r="C20" i="11"/>
  <c r="W5" i="1" s="1"/>
  <c r="B46" i="11"/>
  <c r="V30" i="1" s="1"/>
  <c r="B40" i="11"/>
  <c r="V24" i="1" s="1"/>
  <c r="B23" i="11"/>
  <c r="V8" i="1" s="1"/>
  <c r="B61" i="11"/>
  <c r="V45" i="1" s="1"/>
  <c r="B43" i="11"/>
  <c r="V27" i="1" s="1"/>
  <c r="C38" i="11"/>
  <c r="W22" i="1" s="1"/>
  <c r="C44" i="11"/>
  <c r="W28" i="1" s="1"/>
  <c r="C62" i="11"/>
  <c r="W46" i="1" s="1"/>
  <c r="B55" i="11"/>
  <c r="V39" i="1" s="1"/>
  <c r="B37" i="11"/>
  <c r="V21" i="1" s="1"/>
  <c r="C22" i="11"/>
  <c r="W7" i="1" s="1"/>
  <c r="B54" i="11"/>
  <c r="V38" i="1" s="1"/>
  <c r="B33" i="11"/>
  <c r="V18" i="1" s="1"/>
  <c r="B66" i="11"/>
  <c r="V50" i="1" s="1"/>
  <c r="B26" i="11"/>
  <c r="V11" i="1" s="1"/>
  <c r="C138" i="11"/>
  <c r="W42" i="7" s="1"/>
  <c r="C108" i="11"/>
  <c r="W13" i="7" s="1"/>
  <c r="B117" i="11"/>
  <c r="V21" i="7" s="1"/>
  <c r="B105" i="11"/>
  <c r="V10" i="7" s="1"/>
  <c r="B145" i="11"/>
  <c r="V49" i="7" s="1"/>
  <c r="B135" i="11"/>
  <c r="V39" i="7" s="1"/>
  <c r="B99" i="11"/>
  <c r="V4" i="7" s="1"/>
  <c r="B137" i="11"/>
  <c r="V41" i="7" s="1"/>
  <c r="B119" i="11"/>
  <c r="V23" i="7" s="1"/>
  <c r="B102" i="11"/>
  <c r="V7" i="7" s="1"/>
  <c r="C126" i="11"/>
  <c r="W30" i="7" s="1"/>
  <c r="C136" i="11"/>
  <c r="W40" i="7" s="1"/>
  <c r="C100" i="11"/>
  <c r="W5" i="7" s="1"/>
  <c r="B113" i="11"/>
  <c r="V18" i="7" s="1"/>
  <c r="B112" i="11"/>
  <c r="V17" i="7" s="1"/>
  <c r="C106" i="11"/>
  <c r="W11" i="7" s="1"/>
  <c r="B143" i="11"/>
  <c r="V47" i="7" s="1"/>
  <c r="B124" i="11"/>
  <c r="V28" i="7" s="1"/>
  <c r="B108" i="11"/>
  <c r="V13" i="7" s="1"/>
  <c r="B44" i="11"/>
  <c r="V28" i="1" s="1"/>
  <c r="B25" i="5"/>
  <c r="AD10" i="1" s="1"/>
  <c r="B43" i="5"/>
  <c r="AD27" i="1" s="1"/>
  <c r="B62" i="5"/>
  <c r="AD46" i="1" s="1"/>
  <c r="C65" i="8"/>
  <c r="Q49" i="1" s="1"/>
  <c r="B60" i="8"/>
  <c r="P44" i="1" s="1"/>
  <c r="B54" i="8"/>
  <c r="P38" i="1" s="1"/>
  <c r="C46" i="8"/>
  <c r="Q30" i="1" s="1"/>
  <c r="B43" i="8"/>
  <c r="P27" i="1" s="1"/>
  <c r="B38" i="8"/>
  <c r="P22" i="1" s="1"/>
  <c r="B28" i="8"/>
  <c r="P13" i="1" s="1"/>
  <c r="C24" i="8"/>
  <c r="Q9" i="1" s="1"/>
  <c r="B19" i="8"/>
  <c r="P4" i="1" s="1"/>
  <c r="B65" i="8"/>
  <c r="P49" i="1" s="1"/>
  <c r="C62" i="8"/>
  <c r="Q46" i="1" s="1"/>
  <c r="C56" i="8"/>
  <c r="Q40" i="1" s="1"/>
  <c r="B46" i="8"/>
  <c r="P30" i="1" s="1"/>
  <c r="C41" i="8"/>
  <c r="Q25" i="1" s="1"/>
  <c r="C37" i="8"/>
  <c r="Q21" i="1" s="1"/>
  <c r="B24" i="8"/>
  <c r="P9" i="1" s="1"/>
  <c r="C21" i="8"/>
  <c r="Q6" i="1" s="1"/>
  <c r="C58" i="8"/>
  <c r="Q42" i="1" s="1"/>
  <c r="C45" i="8"/>
  <c r="Q29" i="1" s="1"/>
  <c r="C40" i="8"/>
  <c r="Q24" i="1" s="1"/>
  <c r="B27" i="8"/>
  <c r="P12" i="1" s="1"/>
  <c r="C23" i="8"/>
  <c r="Q8" i="1" s="1"/>
  <c r="C61" i="8"/>
  <c r="Q45" i="1" s="1"/>
  <c r="B58" i="8"/>
  <c r="P42" i="1" s="1"/>
  <c r="C55" i="8"/>
  <c r="Q39" i="1" s="1"/>
  <c r="B45" i="8"/>
  <c r="P29" i="1" s="1"/>
  <c r="B40" i="8"/>
  <c r="P24" i="1" s="1"/>
  <c r="C29" i="8"/>
  <c r="Q14" i="1" s="1"/>
  <c r="B23" i="8"/>
  <c r="P8" i="1" s="1"/>
  <c r="C20" i="8"/>
  <c r="Q5" i="1" s="1"/>
  <c r="B61" i="8"/>
  <c r="P45" i="1" s="1"/>
  <c r="B55" i="8"/>
  <c r="P39" i="1" s="1"/>
  <c r="C48" i="8"/>
  <c r="Q32" i="1" s="1"/>
  <c r="C44" i="8"/>
  <c r="Q28" i="1" s="1"/>
  <c r="C39" i="8"/>
  <c r="Q23" i="1" s="1"/>
  <c r="B29" i="8"/>
  <c r="P14" i="1" s="1"/>
  <c r="C25" i="8"/>
  <c r="Q10" i="1" s="1"/>
  <c r="B20" i="8"/>
  <c r="P5" i="1" s="1"/>
  <c r="B63" i="8"/>
  <c r="P47" i="1" s="1"/>
  <c r="C60" i="8"/>
  <c r="Q44" i="1" s="1"/>
  <c r="B57" i="8"/>
  <c r="P41" i="1" s="1"/>
  <c r="C54" i="8"/>
  <c r="Q38" i="1" s="1"/>
  <c r="C43" i="8"/>
  <c r="Q27" i="1" s="1"/>
  <c r="C38" i="8"/>
  <c r="Q22" i="1" s="1"/>
  <c r="C28" i="8"/>
  <c r="Q13" i="1" s="1"/>
  <c r="B22" i="8"/>
  <c r="P7" i="1" s="1"/>
  <c r="C19" i="8"/>
  <c r="Q4" i="1" s="1"/>
  <c r="B37" i="8"/>
  <c r="P21" i="1" s="1"/>
  <c r="B48" i="8"/>
  <c r="P32" i="1" s="1"/>
  <c r="C22" i="8"/>
  <c r="Q7" i="1" s="1"/>
  <c r="C63" i="8"/>
  <c r="Q47" i="1" s="1"/>
  <c r="C57" i="8"/>
  <c r="Q41" i="1" s="1"/>
  <c r="C27" i="8"/>
  <c r="Q12" i="1" s="1"/>
  <c r="B21" i="8"/>
  <c r="P6" i="1" s="1"/>
  <c r="B62" i="8"/>
  <c r="P46" i="1" s="1"/>
  <c r="B56" i="8"/>
  <c r="P40" i="1" s="1"/>
  <c r="B44" i="8"/>
  <c r="P28" i="1" s="1"/>
  <c r="B25" i="8"/>
  <c r="P10" i="1" s="1"/>
  <c r="B41" i="8"/>
  <c r="P25" i="1" s="1"/>
  <c r="B39" i="8"/>
  <c r="P23" i="1" s="1"/>
  <c r="C33" i="8"/>
  <c r="Q18" i="1" s="1"/>
  <c r="B26" i="8"/>
  <c r="P11" i="1" s="1"/>
  <c r="B32" i="8"/>
  <c r="P17" i="1" s="1"/>
  <c r="B33" i="8"/>
  <c r="P18" i="1" s="1"/>
  <c r="C90" i="8"/>
  <c r="B119" i="8"/>
  <c r="P23" i="7" s="1"/>
  <c r="C104" i="10"/>
  <c r="M9" i="7" s="1"/>
  <c r="B142" i="10"/>
  <c r="L46" i="7" s="1"/>
  <c r="B103" i="9"/>
  <c r="N8" i="7" s="1"/>
  <c r="C146" i="9"/>
  <c r="O50" i="7" s="1"/>
  <c r="B104" i="11"/>
  <c r="V9" i="7" s="1"/>
  <c r="B107" i="8"/>
  <c r="P12" i="7" s="1"/>
  <c r="C103" i="8"/>
  <c r="Q8" i="7" s="1"/>
  <c r="C112" i="8"/>
  <c r="Q17" i="7" s="1"/>
  <c r="B100" i="8"/>
  <c r="P5" i="7" s="1"/>
  <c r="B104" i="8"/>
  <c r="P9" i="7" s="1"/>
  <c r="C109" i="8"/>
  <c r="Q14" i="7" s="1"/>
  <c r="B101" i="8"/>
  <c r="P6" i="7" s="1"/>
  <c r="B105" i="8"/>
  <c r="P10" i="7" s="1"/>
  <c r="B109" i="8"/>
  <c r="P14" i="7" s="1"/>
  <c r="C101" i="8"/>
  <c r="Q6" i="7" s="1"/>
  <c r="C105" i="8"/>
  <c r="Q10" i="7" s="1"/>
  <c r="C108" i="8"/>
  <c r="Q13" i="7" s="1"/>
  <c r="B102" i="8"/>
  <c r="P7" i="7" s="1"/>
  <c r="C99" i="8"/>
  <c r="Q4" i="7" s="1"/>
  <c r="B111" i="8"/>
  <c r="P16" i="7" s="1"/>
  <c r="B126" i="8"/>
  <c r="P30" i="7" s="1"/>
  <c r="C107" i="8"/>
  <c r="Q12" i="7" s="1"/>
  <c r="B103" i="8"/>
  <c r="P8" i="7" s="1"/>
  <c r="B108" i="8"/>
  <c r="P13" i="7" s="1"/>
  <c r="C100" i="8"/>
  <c r="Q5" i="7" s="1"/>
  <c r="C111" i="8"/>
  <c r="Q16" i="7" s="1"/>
  <c r="C126" i="8"/>
  <c r="Q30" i="7" s="1"/>
  <c r="C102" i="8"/>
  <c r="Q7" i="7" s="1"/>
  <c r="C104" i="8"/>
  <c r="Q9" i="7" s="1"/>
  <c r="B99" i="8"/>
  <c r="P4" i="7" s="1"/>
  <c r="B123" i="8"/>
  <c r="P27" i="7" s="1"/>
  <c r="B128" i="8"/>
  <c r="P32" i="7" s="1"/>
  <c r="C63" i="9"/>
  <c r="O47" i="1" s="1"/>
  <c r="C38" i="9"/>
  <c r="O22" i="1" s="1"/>
  <c r="B63" i="9"/>
  <c r="N47" i="1" s="1"/>
  <c r="B38" i="9"/>
  <c r="N22" i="1" s="1"/>
  <c r="C39" i="9"/>
  <c r="O23" i="1" s="1"/>
  <c r="C55" i="9"/>
  <c r="O39" i="1" s="1"/>
  <c r="B55" i="9"/>
  <c r="N39" i="1" s="1"/>
  <c r="C48" i="9"/>
  <c r="O32" i="1" s="1"/>
  <c r="C44" i="9"/>
  <c r="O28" i="1" s="1"/>
  <c r="B41" i="9"/>
  <c r="N25" i="1" s="1"/>
  <c r="B33" i="9"/>
  <c r="N18" i="1" s="1"/>
  <c r="B29" i="9"/>
  <c r="N14" i="1" s="1"/>
  <c r="C26" i="9"/>
  <c r="O11" i="1" s="1"/>
  <c r="B21" i="9"/>
  <c r="N6" i="1" s="1"/>
  <c r="B58" i="9"/>
  <c r="N42" i="1" s="1"/>
  <c r="B46" i="9"/>
  <c r="N30" i="1" s="1"/>
  <c r="B43" i="9"/>
  <c r="N27" i="1" s="1"/>
  <c r="C37" i="9"/>
  <c r="O21" i="1" s="1"/>
  <c r="B25" i="9"/>
  <c r="N10" i="1" s="1"/>
  <c r="C22" i="9"/>
  <c r="O7" i="1" s="1"/>
  <c r="C60" i="9"/>
  <c r="O44" i="1" s="1"/>
  <c r="C61" i="9"/>
  <c r="O45" i="1" s="1"/>
  <c r="C54" i="9"/>
  <c r="O38" i="1" s="1"/>
  <c r="C45" i="9"/>
  <c r="O29" i="1" s="1"/>
  <c r="C21" i="9"/>
  <c r="O6" i="1" s="1"/>
  <c r="C24" i="9"/>
  <c r="O9" i="1" s="1"/>
  <c r="B32" i="9"/>
  <c r="N17" i="1" s="1"/>
  <c r="B40" i="9"/>
  <c r="N24" i="1" s="1"/>
  <c r="B45" i="9"/>
  <c r="N29" i="1" s="1"/>
  <c r="C62" i="9"/>
  <c r="O46" i="1" s="1"/>
  <c r="B99" i="9"/>
  <c r="N4" i="7" s="1"/>
  <c r="C128" i="9"/>
  <c r="O32" i="7" s="1"/>
  <c r="C137" i="9"/>
  <c r="O41" i="7" s="1"/>
  <c r="L90" i="14"/>
  <c r="K90" i="14"/>
  <c r="J90" i="14"/>
  <c r="B31" i="8"/>
  <c r="P16" i="1" s="1"/>
  <c r="C31" i="8"/>
  <c r="Q16" i="1" s="1"/>
  <c r="B113" i="8"/>
  <c r="P18" i="7" s="1"/>
  <c r="B141" i="8"/>
  <c r="P45" i="7" s="1"/>
  <c r="B145" i="8"/>
  <c r="P49" i="7" s="1"/>
  <c r="B127" i="8"/>
  <c r="P31" i="7" s="1"/>
  <c r="C111" i="9"/>
  <c r="O16" i="7" s="1"/>
  <c r="B111" i="9"/>
  <c r="N16" i="7" s="1"/>
  <c r="C110" i="9"/>
  <c r="O15" i="7" s="1"/>
  <c r="B110" i="9"/>
  <c r="N15" i="7" s="1"/>
  <c r="C141" i="9"/>
  <c r="O45" i="7" s="1"/>
  <c r="B138" i="9"/>
  <c r="N42" i="7" s="1"/>
  <c r="C135" i="9"/>
  <c r="O39" i="7" s="1"/>
  <c r="B128" i="9"/>
  <c r="N32" i="7" s="1"/>
  <c r="C124" i="9"/>
  <c r="O28" i="7" s="1"/>
  <c r="B120" i="9"/>
  <c r="N24" i="7" s="1"/>
  <c r="B118" i="9"/>
  <c r="N22" i="7" s="1"/>
  <c r="B101" i="9"/>
  <c r="N6" i="7" s="1"/>
  <c r="C103" i="9"/>
  <c r="O8" i="7" s="1"/>
  <c r="B109" i="9"/>
  <c r="N14" i="7" s="1"/>
  <c r="C143" i="9"/>
  <c r="O47" i="7" s="1"/>
  <c r="C145" i="9"/>
  <c r="O49" i="7" s="1"/>
  <c r="B141" i="9"/>
  <c r="N45" i="7" s="1"/>
  <c r="B135" i="9"/>
  <c r="N39" i="7" s="1"/>
  <c r="B124" i="9"/>
  <c r="N28" i="7" s="1"/>
  <c r="B104" i="9"/>
  <c r="N9" i="7" s="1"/>
  <c r="C106" i="9"/>
  <c r="O11" i="7" s="1"/>
  <c r="B140" i="9"/>
  <c r="N44" i="7" s="1"/>
  <c r="B134" i="9"/>
  <c r="N38" i="7" s="1"/>
  <c r="B123" i="9"/>
  <c r="N27" i="7" s="1"/>
  <c r="C113" i="9"/>
  <c r="O18" i="7" s="1"/>
  <c r="B105" i="9"/>
  <c r="N10" i="7" s="1"/>
  <c r="C107" i="9"/>
  <c r="O12" i="7" s="1"/>
  <c r="B100" i="9"/>
  <c r="N5" i="7" s="1"/>
  <c r="C142" i="9"/>
  <c r="O46" i="7" s="1"/>
  <c r="C136" i="9"/>
  <c r="O40" i="7" s="1"/>
  <c r="C129" i="9"/>
  <c r="O33" i="7" s="1"/>
  <c r="C125" i="9"/>
  <c r="O29" i="7" s="1"/>
  <c r="B119" i="9"/>
  <c r="N23" i="7" s="1"/>
  <c r="C121" i="9"/>
  <c r="O25" i="7" s="1"/>
  <c r="B113" i="9"/>
  <c r="N18" i="7" s="1"/>
  <c r="C102" i="9"/>
  <c r="O7" i="7" s="1"/>
  <c r="B108" i="9"/>
  <c r="N13" i="7" s="1"/>
  <c r="C99" i="9"/>
  <c r="O4" i="7" s="1"/>
  <c r="B19" i="9"/>
  <c r="N4" i="1" s="1"/>
  <c r="B22" i="9"/>
  <c r="N7" i="1" s="1"/>
  <c r="C25" i="9"/>
  <c r="O10" i="1" s="1"/>
  <c r="C28" i="9"/>
  <c r="O13" i="1" s="1"/>
  <c r="B57" i="9"/>
  <c r="N41" i="1" s="1"/>
  <c r="C109" i="9"/>
  <c r="O14" i="7" s="1"/>
  <c r="C105" i="9"/>
  <c r="O10" i="7" s="1"/>
  <c r="C101" i="9"/>
  <c r="O6" i="7" s="1"/>
  <c r="C134" i="9"/>
  <c r="O38" i="7" s="1"/>
  <c r="C138" i="9"/>
  <c r="O42" i="7" s="1"/>
  <c r="B143" i="9"/>
  <c r="N47" i="7" s="1"/>
  <c r="C117" i="12"/>
  <c r="K21" i="7" s="1"/>
  <c r="B123" i="12"/>
  <c r="J27" i="7" s="1"/>
  <c r="B138" i="12"/>
  <c r="J42" i="7" s="1"/>
  <c r="C145" i="12"/>
  <c r="K49" i="7" s="1"/>
  <c r="B100" i="12"/>
  <c r="J5" i="7" s="1"/>
  <c r="C101" i="12"/>
  <c r="K6" i="7" s="1"/>
  <c r="B108" i="12"/>
  <c r="J13" i="7" s="1"/>
  <c r="C109" i="12"/>
  <c r="K14" i="7" s="1"/>
  <c r="B121" i="12"/>
  <c r="J25" i="7" s="1"/>
  <c r="C128" i="12"/>
  <c r="K32" i="7" s="1"/>
  <c r="B135" i="12"/>
  <c r="J39" i="7" s="1"/>
  <c r="C136" i="12"/>
  <c r="K40" i="7" s="1"/>
  <c r="B142" i="12"/>
  <c r="J46" i="7" s="1"/>
  <c r="C143" i="12"/>
  <c r="K47" i="7" s="1"/>
  <c r="B105" i="12"/>
  <c r="J10" i="7" s="1"/>
  <c r="C106" i="12"/>
  <c r="K11" i="7" s="1"/>
  <c r="C112" i="12"/>
  <c r="K17" i="7" s="1"/>
  <c r="B118" i="12"/>
  <c r="J22" i="7" s="1"/>
  <c r="C119" i="12"/>
  <c r="K23" i="7" s="1"/>
  <c r="B125" i="12"/>
  <c r="J29" i="7" s="1"/>
  <c r="C140" i="12"/>
  <c r="K44" i="7" s="1"/>
  <c r="B146" i="12"/>
  <c r="J50" i="7" s="1"/>
  <c r="B102" i="12"/>
  <c r="J7" i="7" s="1"/>
  <c r="C103" i="12"/>
  <c r="K8" i="7" s="1"/>
  <c r="C123" i="12"/>
  <c r="K27" i="7" s="1"/>
  <c r="B129" i="12"/>
  <c r="J33" i="7" s="1"/>
  <c r="B137" i="12"/>
  <c r="J41" i="7" s="1"/>
  <c r="C138" i="12"/>
  <c r="K42" i="7" s="1"/>
  <c r="B99" i="12"/>
  <c r="J4" i="7" s="1"/>
  <c r="C100" i="12"/>
  <c r="K5" i="7" s="1"/>
  <c r="B107" i="12"/>
  <c r="J12" i="7" s="1"/>
  <c r="C108" i="12"/>
  <c r="K13" i="7" s="1"/>
  <c r="B113" i="12"/>
  <c r="J18" i="7" s="1"/>
  <c r="B117" i="12"/>
  <c r="J21" i="7" s="1"/>
  <c r="B120" i="12"/>
  <c r="J24" i="7" s="1"/>
  <c r="B136" i="12"/>
  <c r="J40" i="7" s="1"/>
  <c r="B106" i="12"/>
  <c r="J11" i="7" s="1"/>
  <c r="B112" i="12"/>
  <c r="J17" i="7" s="1"/>
  <c r="B134" i="12"/>
  <c r="J38" i="7" s="1"/>
  <c r="B145" i="12"/>
  <c r="J49" i="7" s="1"/>
  <c r="B101" i="12"/>
  <c r="J6" i="7" s="1"/>
  <c r="B104" i="12"/>
  <c r="J9" i="7" s="1"/>
  <c r="B109" i="12"/>
  <c r="J14" i="7" s="1"/>
  <c r="C142" i="12"/>
  <c r="K46" i="7" s="1"/>
  <c r="C121" i="12"/>
  <c r="K25" i="7" s="1"/>
  <c r="C137" i="12"/>
  <c r="K41" i="7" s="1"/>
  <c r="C146" i="12"/>
  <c r="K50" i="7" s="1"/>
  <c r="C99" i="12"/>
  <c r="K4" i="7" s="1"/>
  <c r="C102" i="12"/>
  <c r="K7" i="7" s="1"/>
  <c r="C107" i="12"/>
  <c r="K12" i="7" s="1"/>
  <c r="C113" i="12"/>
  <c r="K18" i="7" s="1"/>
  <c r="B119" i="12"/>
  <c r="J23" i="7" s="1"/>
  <c r="B128" i="12"/>
  <c r="J32" i="7" s="1"/>
  <c r="C135" i="12"/>
  <c r="K39" i="7" s="1"/>
  <c r="C105" i="12"/>
  <c r="K10" i="7" s="1"/>
  <c r="B110" i="8"/>
  <c r="P15" i="7" s="1"/>
  <c r="C110" i="8"/>
  <c r="Q15" i="7" s="1"/>
  <c r="B117" i="8"/>
  <c r="P21" i="7" s="1"/>
  <c r="B134" i="8"/>
  <c r="P38" i="7" s="1"/>
  <c r="B142" i="8"/>
  <c r="P46" i="7" s="1"/>
  <c r="B146" i="8"/>
  <c r="P50" i="7" s="1"/>
  <c r="C113" i="8"/>
  <c r="Q18" i="7" s="1"/>
  <c r="C137" i="8"/>
  <c r="Q41" i="7" s="1"/>
  <c r="C135" i="8"/>
  <c r="Q39" i="7" s="1"/>
  <c r="C128" i="8"/>
  <c r="Q32" i="7" s="1"/>
  <c r="C124" i="8"/>
  <c r="Q28" i="7" s="1"/>
  <c r="B90" i="9"/>
  <c r="C19" i="9"/>
  <c r="O4" i="1" s="1"/>
  <c r="C33" i="9"/>
  <c r="O18" i="1" s="1"/>
  <c r="B48" i="9"/>
  <c r="N32" i="1" s="1"/>
  <c r="B65" i="9"/>
  <c r="N49" i="1" s="1"/>
  <c r="B145" i="9"/>
  <c r="N49" i="7" s="1"/>
  <c r="C46" i="9"/>
  <c r="O30" i="1" s="1"/>
  <c r="C129" i="14"/>
  <c r="AC33" i="7" s="1"/>
  <c r="C146" i="14"/>
  <c r="AC50" i="7" s="1"/>
  <c r="B129" i="14"/>
  <c r="AB33" i="7" s="1"/>
  <c r="B146" i="14"/>
  <c r="AB50" i="7" s="1"/>
  <c r="C147" i="14"/>
  <c r="AC51" i="7" s="1"/>
  <c r="C134" i="14"/>
  <c r="AC38" i="7" s="1"/>
  <c r="U88" i="14"/>
  <c r="B118" i="8"/>
  <c r="P22" i="7" s="1"/>
  <c r="B135" i="8"/>
  <c r="P39" i="7" s="1"/>
  <c r="B143" i="8"/>
  <c r="P47" i="7" s="1"/>
  <c r="B23" i="9"/>
  <c r="N8" i="1" s="1"/>
  <c r="B26" i="9"/>
  <c r="N11" i="1" s="1"/>
  <c r="C29" i="9"/>
  <c r="O14" i="1" s="1"/>
  <c r="C43" i="9"/>
  <c r="O27" i="1" s="1"/>
  <c r="B60" i="9"/>
  <c r="N44" i="1" s="1"/>
  <c r="C65" i="9"/>
  <c r="O49" i="1" s="1"/>
  <c r="D90" i="9"/>
  <c r="C90" i="9" s="1"/>
  <c r="C108" i="9"/>
  <c r="O13" i="7" s="1"/>
  <c r="C104" i="9"/>
  <c r="O9" i="7" s="1"/>
  <c r="B112" i="9"/>
  <c r="N17" i="7" s="1"/>
  <c r="B121" i="9"/>
  <c r="N25" i="7" s="1"/>
  <c r="B125" i="9"/>
  <c r="N29" i="7" s="1"/>
  <c r="B103" i="12"/>
  <c r="J8" i="7" s="1"/>
  <c r="C120" i="12"/>
  <c r="K24" i="7" s="1"/>
  <c r="H10" i="14"/>
  <c r="G10" i="14"/>
  <c r="F10" i="14"/>
  <c r="X90" i="14"/>
  <c r="W90" i="14"/>
  <c r="V90" i="14"/>
  <c r="Y90" i="14"/>
  <c r="B137" i="14"/>
  <c r="AB41" i="7" s="1"/>
  <c r="B121" i="8"/>
  <c r="P25" i="7" s="1"/>
  <c r="B136" i="8"/>
  <c r="P40" i="7" s="1"/>
  <c r="B144" i="8"/>
  <c r="P48" i="7" s="1"/>
  <c r="C145" i="8"/>
  <c r="Q49" i="7" s="1"/>
  <c r="C143" i="8"/>
  <c r="Q47" i="7" s="1"/>
  <c r="C141" i="8"/>
  <c r="Q45" i="7" s="1"/>
  <c r="C121" i="8"/>
  <c r="Q25" i="7" s="1"/>
  <c r="C119" i="8"/>
  <c r="Q23" i="7" s="1"/>
  <c r="C117" i="8"/>
  <c r="Q21" i="7" s="1"/>
  <c r="B20" i="9"/>
  <c r="N5" i="1" s="1"/>
  <c r="C23" i="9"/>
  <c r="O8" i="1" s="1"/>
  <c r="B37" i="9"/>
  <c r="N21" i="1" s="1"/>
  <c r="B61" i="9"/>
  <c r="N45" i="1" s="1"/>
  <c r="C112" i="9"/>
  <c r="O17" i="7" s="1"/>
  <c r="C120" i="9"/>
  <c r="O24" i="7" s="1"/>
  <c r="B136" i="9"/>
  <c r="N40" i="7" s="1"/>
  <c r="C140" i="9"/>
  <c r="O44" i="7" s="1"/>
  <c r="B146" i="9"/>
  <c r="N50" i="7" s="1"/>
  <c r="C58" i="9"/>
  <c r="O42" i="1" s="1"/>
  <c r="C40" i="9"/>
  <c r="O24" i="1" s="1"/>
  <c r="B10" i="11"/>
  <c r="D10" i="13"/>
  <c r="C10" i="13" s="1"/>
  <c r="B10" i="13"/>
  <c r="M91" i="13"/>
  <c r="C91" i="13" s="1"/>
  <c r="C149" i="13"/>
  <c r="B143" i="13"/>
  <c r="H47" i="7" s="1"/>
  <c r="C140" i="13"/>
  <c r="I44" i="7" s="1"/>
  <c r="B134" i="13"/>
  <c r="H38" i="7" s="1"/>
  <c r="B124" i="13"/>
  <c r="H28" i="7" s="1"/>
  <c r="B118" i="13"/>
  <c r="H22" i="7" s="1"/>
  <c r="C101" i="13"/>
  <c r="I6" i="7" s="1"/>
  <c r="B107" i="13"/>
  <c r="H12" i="7" s="1"/>
  <c r="C109" i="13"/>
  <c r="I14" i="7" s="1"/>
  <c r="B149" i="13"/>
  <c r="C145" i="13"/>
  <c r="I49" i="7" s="1"/>
  <c r="B140" i="13"/>
  <c r="H44" i="7" s="1"/>
  <c r="C136" i="13"/>
  <c r="I40" i="7" s="1"/>
  <c r="C129" i="13"/>
  <c r="I33" i="7" s="1"/>
  <c r="C126" i="13"/>
  <c r="I30" i="7" s="1"/>
  <c r="C120" i="13"/>
  <c r="I24" i="7" s="1"/>
  <c r="B102" i="13"/>
  <c r="H7" i="7" s="1"/>
  <c r="C104" i="13"/>
  <c r="I9" i="7" s="1"/>
  <c r="C99" i="13"/>
  <c r="I4" i="7" s="1"/>
  <c r="B132" i="13"/>
  <c r="B123" i="13"/>
  <c r="H27" i="7" s="1"/>
  <c r="B100" i="13"/>
  <c r="H5" i="7" s="1"/>
  <c r="C102" i="13"/>
  <c r="I7" i="7" s="1"/>
  <c r="B108" i="13"/>
  <c r="H13" i="7" s="1"/>
  <c r="B144" i="13"/>
  <c r="H48" i="7" s="1"/>
  <c r="C141" i="13"/>
  <c r="I45" i="7" s="1"/>
  <c r="B135" i="13"/>
  <c r="H39" i="7" s="1"/>
  <c r="B125" i="13"/>
  <c r="H29" i="7" s="1"/>
  <c r="B117" i="13"/>
  <c r="H21" i="7" s="1"/>
  <c r="C100" i="13"/>
  <c r="I5" i="7" s="1"/>
  <c r="B106" i="13"/>
  <c r="H11" i="7" s="1"/>
  <c r="C108" i="13"/>
  <c r="I13" i="7" s="1"/>
  <c r="B113" i="13"/>
  <c r="H18" i="7" s="1"/>
  <c r="C124" i="13"/>
  <c r="I28" i="7" s="1"/>
  <c r="C118" i="13"/>
  <c r="I22" i="7" s="1"/>
  <c r="B104" i="13"/>
  <c r="H9" i="7" s="1"/>
  <c r="C146" i="13"/>
  <c r="I50" i="7" s="1"/>
  <c r="B141" i="13"/>
  <c r="H45" i="7" s="1"/>
  <c r="C137" i="13"/>
  <c r="I41" i="7" s="1"/>
  <c r="C128" i="13"/>
  <c r="I32" i="7" s="1"/>
  <c r="B137" i="13"/>
  <c r="H41" i="7" s="1"/>
  <c r="L10" i="14"/>
  <c r="K10" i="14"/>
  <c r="J10" i="14"/>
  <c r="C137" i="14"/>
  <c r="AC41" i="7" s="1"/>
  <c r="C104" i="11"/>
  <c r="W9" i="7" s="1"/>
  <c r="C134" i="11"/>
  <c r="W38" i="7" s="1"/>
  <c r="C129" i="11"/>
  <c r="W33" i="7" s="1"/>
  <c r="B10" i="14"/>
  <c r="D10" i="14"/>
  <c r="C10" i="14"/>
  <c r="O90" i="14"/>
  <c r="N90" i="14"/>
  <c r="P90" i="14"/>
  <c r="B99" i="14"/>
  <c r="AB4" i="7" s="1"/>
  <c r="B103" i="14"/>
  <c r="AB8" i="7" s="1"/>
  <c r="C119" i="14"/>
  <c r="AC23" i="7" s="1"/>
  <c r="B100" i="11"/>
  <c r="V5" i="7" s="1"/>
  <c r="B123" i="11"/>
  <c r="V27" i="7" s="1"/>
  <c r="B136" i="11"/>
  <c r="V40" i="7" s="1"/>
  <c r="B146" i="11"/>
  <c r="V50" i="7" s="1"/>
  <c r="C140" i="11"/>
  <c r="W44" i="7" s="1"/>
  <c r="C118" i="11"/>
  <c r="W22" i="7" s="1"/>
  <c r="D90" i="12"/>
  <c r="C90" i="12" s="1"/>
  <c r="B90" i="12"/>
  <c r="C99" i="14"/>
  <c r="AC4" i="7" s="1"/>
  <c r="B108" i="14"/>
  <c r="AB13" i="7" s="1"/>
  <c r="C37" i="17"/>
  <c r="C21" i="1" s="1"/>
  <c r="B38" i="17"/>
  <c r="B22" i="1" s="1"/>
  <c r="C113" i="11"/>
  <c r="W18" i="7" s="1"/>
  <c r="C145" i="11"/>
  <c r="W49" i="7" s="1"/>
  <c r="C142" i="11"/>
  <c r="W46" i="7" s="1"/>
  <c r="C124" i="11"/>
  <c r="W28" i="7" s="1"/>
  <c r="C145" i="14"/>
  <c r="AC49" i="7" s="1"/>
  <c r="B147" i="14"/>
  <c r="AB51" i="7" s="1"/>
  <c r="B143" i="14"/>
  <c r="AB47" i="7" s="1"/>
  <c r="C140" i="14"/>
  <c r="AC44" i="7" s="1"/>
  <c r="B134" i="14"/>
  <c r="AB38" i="7" s="1"/>
  <c r="C130" i="14"/>
  <c r="AC34" i="7" s="1"/>
  <c r="B126" i="14"/>
  <c r="AB30" i="7" s="1"/>
  <c r="C123" i="14"/>
  <c r="AC27" i="7" s="1"/>
  <c r="B120" i="14"/>
  <c r="AB24" i="7" s="1"/>
  <c r="B117" i="14"/>
  <c r="AB21" i="7" s="1"/>
  <c r="B106" i="14"/>
  <c r="AB11" i="7" s="1"/>
  <c r="C108" i="14"/>
  <c r="AC13" i="7" s="1"/>
  <c r="C112" i="14"/>
  <c r="AC17" i="7" s="1"/>
  <c r="E88" i="14"/>
  <c r="B140" i="14"/>
  <c r="AB44" i="7" s="1"/>
  <c r="C136" i="14"/>
  <c r="AC40" i="7" s="1"/>
  <c r="B130" i="14"/>
  <c r="AB34" i="7" s="1"/>
  <c r="B123" i="14"/>
  <c r="AB27" i="7" s="1"/>
  <c r="B101" i="14"/>
  <c r="AB6" i="7" s="1"/>
  <c r="C103" i="14"/>
  <c r="AC8" i="7" s="1"/>
  <c r="B109" i="14"/>
  <c r="AB14" i="7" s="1"/>
  <c r="B113" i="14"/>
  <c r="AB18" i="7" s="1"/>
  <c r="C142" i="14"/>
  <c r="AC46" i="7" s="1"/>
  <c r="B136" i="14"/>
  <c r="AB40" i="7" s="1"/>
  <c r="C125" i="14"/>
  <c r="AC29" i="7" s="1"/>
  <c r="B118" i="14"/>
  <c r="AB22" i="7" s="1"/>
  <c r="C120" i="14"/>
  <c r="AC24" i="7" s="1"/>
  <c r="B104" i="14"/>
  <c r="AB9" i="7" s="1"/>
  <c r="C106" i="14"/>
  <c r="AC11" i="7" s="1"/>
  <c r="C149" i="14"/>
  <c r="B142" i="14"/>
  <c r="AB46" i="7" s="1"/>
  <c r="C138" i="14"/>
  <c r="AC42" i="7" s="1"/>
  <c r="B125" i="14"/>
  <c r="AB29" i="7" s="1"/>
  <c r="B121" i="14"/>
  <c r="AB25" i="7" s="1"/>
  <c r="C101" i="14"/>
  <c r="AC6" i="7" s="1"/>
  <c r="B107" i="14"/>
  <c r="AB12" i="7" s="1"/>
  <c r="C109" i="14"/>
  <c r="AC14" i="7" s="1"/>
  <c r="C113" i="14"/>
  <c r="AC18" i="7" s="1"/>
  <c r="B149" i="14"/>
  <c r="B138" i="14"/>
  <c r="AB42" i="7" s="1"/>
  <c r="C135" i="14"/>
  <c r="AC39" i="7" s="1"/>
  <c r="C132" i="14"/>
  <c r="C128" i="14"/>
  <c r="AC32" i="7" s="1"/>
  <c r="C118" i="14"/>
  <c r="AC22" i="7" s="1"/>
  <c r="B102" i="14"/>
  <c r="AB7" i="7" s="1"/>
  <c r="C104" i="14"/>
  <c r="AC9" i="7" s="1"/>
  <c r="C100" i="14"/>
  <c r="AC5" i="7" s="1"/>
  <c r="B145" i="14"/>
  <c r="AB49" i="7" s="1"/>
  <c r="C141" i="14"/>
  <c r="AC45" i="7" s="1"/>
  <c r="B135" i="14"/>
  <c r="AB39" i="7" s="1"/>
  <c r="B132" i="14"/>
  <c r="B128" i="14"/>
  <c r="AB32" i="7" s="1"/>
  <c r="C124" i="14"/>
  <c r="AC28" i="7" s="1"/>
  <c r="B119" i="14"/>
  <c r="AB23" i="7" s="1"/>
  <c r="C121" i="14"/>
  <c r="AC25" i="7" s="1"/>
  <c r="B105" i="14"/>
  <c r="AB10" i="7" s="1"/>
  <c r="C107" i="14"/>
  <c r="AC12" i="7" s="1"/>
  <c r="B100" i="14"/>
  <c r="AB5" i="7" s="1"/>
  <c r="B112" i="14"/>
  <c r="AB17" i="7" s="1"/>
  <c r="C105" i="14"/>
  <c r="AC10" i="7" s="1"/>
  <c r="C117" i="14"/>
  <c r="AC21" i="7" s="1"/>
  <c r="B124" i="14"/>
  <c r="AB28" i="7" s="1"/>
  <c r="C123" i="11"/>
  <c r="W27" i="7" s="1"/>
  <c r="C125" i="11"/>
  <c r="W29" i="7" s="1"/>
  <c r="C141" i="11"/>
  <c r="W45" i="7" s="1"/>
  <c r="C143" i="11"/>
  <c r="W47" i="7" s="1"/>
  <c r="B142" i="11"/>
  <c r="V46" i="7" s="1"/>
  <c r="B134" i="11"/>
  <c r="V38" i="7" s="1"/>
  <c r="B126" i="11"/>
  <c r="V30" i="7" s="1"/>
  <c r="B141" i="11"/>
  <c r="V45" i="7" s="1"/>
  <c r="B103" i="11"/>
  <c r="V8" i="7" s="1"/>
  <c r="C117" i="11"/>
  <c r="W21" i="7" s="1"/>
  <c r="C119" i="11"/>
  <c r="W23" i="7" s="1"/>
  <c r="C121" i="11"/>
  <c r="W25" i="7" s="1"/>
  <c r="C128" i="11"/>
  <c r="W32" i="7" s="1"/>
  <c r="C135" i="11"/>
  <c r="W39" i="7" s="1"/>
  <c r="C137" i="11"/>
  <c r="W41" i="7" s="1"/>
  <c r="C146" i="11"/>
  <c r="W50" i="7" s="1"/>
  <c r="C99" i="11"/>
  <c r="W4" i="7" s="1"/>
  <c r="C101" i="11"/>
  <c r="W6" i="7" s="1"/>
  <c r="C103" i="11"/>
  <c r="W8" i="7" s="1"/>
  <c r="C105" i="11"/>
  <c r="W10" i="7" s="1"/>
  <c r="C107" i="11"/>
  <c r="W12" i="7" s="1"/>
  <c r="C109" i="11"/>
  <c r="W14" i="7" s="1"/>
  <c r="C112" i="11"/>
  <c r="W17" i="7" s="1"/>
  <c r="B129" i="11"/>
  <c r="V33" i="7" s="1"/>
  <c r="B120" i="11"/>
  <c r="V24" i="7" s="1"/>
  <c r="B109" i="11"/>
  <c r="V14" i="7" s="1"/>
  <c r="B101" i="11"/>
  <c r="V6" i="7" s="1"/>
  <c r="B106" i="11"/>
  <c r="V11" i="7" s="1"/>
  <c r="B118" i="11"/>
  <c r="V22" i="7" s="1"/>
  <c r="B128" i="11"/>
  <c r="V32" i="7" s="1"/>
  <c r="B140" i="11"/>
  <c r="V44" i="7" s="1"/>
  <c r="C102" i="11"/>
  <c r="W7" i="7" s="1"/>
  <c r="E11" i="13"/>
  <c r="C66" i="13"/>
  <c r="I50" i="1" s="1"/>
  <c r="B60" i="13"/>
  <c r="H44" i="1" s="1"/>
  <c r="C57" i="13"/>
  <c r="I41" i="1" s="1"/>
  <c r="B48" i="13"/>
  <c r="H32" i="1" s="1"/>
  <c r="C44" i="13"/>
  <c r="I28" i="1" s="1"/>
  <c r="B38" i="13"/>
  <c r="H22" i="1" s="1"/>
  <c r="C40" i="13"/>
  <c r="I24" i="1" s="1"/>
  <c r="B33" i="13"/>
  <c r="H18" i="1" s="1"/>
  <c r="B28" i="13"/>
  <c r="H13" i="1" s="1"/>
  <c r="B23" i="13"/>
  <c r="H8" i="1" s="1"/>
  <c r="B20" i="13"/>
  <c r="H5" i="1" s="1"/>
  <c r="B66" i="13"/>
  <c r="H50" i="1" s="1"/>
  <c r="C62" i="13"/>
  <c r="I46" i="1" s="1"/>
  <c r="B57" i="13"/>
  <c r="H41" i="1" s="1"/>
  <c r="C54" i="13"/>
  <c r="I38" i="1" s="1"/>
  <c r="B44" i="13"/>
  <c r="H28" i="1" s="1"/>
  <c r="B41" i="13"/>
  <c r="H25" i="1" s="1"/>
  <c r="C25" i="13"/>
  <c r="I10" i="1" s="1"/>
  <c r="C69" i="13"/>
  <c r="B62" i="13"/>
  <c r="H46" i="1" s="1"/>
  <c r="B54" i="13"/>
  <c r="H38" i="1" s="1"/>
  <c r="C46" i="13"/>
  <c r="I30" i="1" s="1"/>
  <c r="C38" i="13"/>
  <c r="I22" i="1" s="1"/>
  <c r="C32" i="13"/>
  <c r="I17" i="1" s="1"/>
  <c r="B26" i="13"/>
  <c r="H11" i="1" s="1"/>
  <c r="C28" i="13"/>
  <c r="I13" i="1" s="1"/>
  <c r="C22" i="13"/>
  <c r="I7" i="1" s="1"/>
  <c r="C19" i="13"/>
  <c r="I4" i="1" s="1"/>
  <c r="B69" i="13"/>
  <c r="C65" i="13"/>
  <c r="I49" i="1" s="1"/>
  <c r="C56" i="13"/>
  <c r="I40" i="1" s="1"/>
  <c r="B46" i="13"/>
  <c r="H30" i="1" s="1"/>
  <c r="C43" i="13"/>
  <c r="I27" i="1" s="1"/>
  <c r="B39" i="13"/>
  <c r="H23" i="1" s="1"/>
  <c r="C41" i="13"/>
  <c r="I25" i="1" s="1"/>
  <c r="B32" i="13"/>
  <c r="H17" i="1" s="1"/>
  <c r="B29" i="13"/>
  <c r="H14" i="1" s="1"/>
  <c r="B22" i="13"/>
  <c r="H7" i="1" s="1"/>
  <c r="B19" i="13"/>
  <c r="H4" i="1" s="1"/>
  <c r="B65" i="13"/>
  <c r="H49" i="1" s="1"/>
  <c r="C61" i="13"/>
  <c r="I45" i="1" s="1"/>
  <c r="B56" i="13"/>
  <c r="H40" i="1" s="1"/>
  <c r="C49" i="13"/>
  <c r="I33" i="1" s="1"/>
  <c r="B43" i="13"/>
  <c r="H27" i="1" s="1"/>
  <c r="C37" i="13"/>
  <c r="I21" i="1" s="1"/>
  <c r="B24" i="13"/>
  <c r="H9" i="1" s="1"/>
  <c r="C26" i="13"/>
  <c r="I11" i="1" s="1"/>
  <c r="C67" i="13"/>
  <c r="I51" i="1" s="1"/>
  <c r="B61" i="13"/>
  <c r="H45" i="1" s="1"/>
  <c r="C58" i="13"/>
  <c r="I42" i="1" s="1"/>
  <c r="B49" i="13"/>
  <c r="H33" i="1" s="1"/>
  <c r="C45" i="13"/>
  <c r="I29" i="1" s="1"/>
  <c r="C39" i="13"/>
  <c r="I23" i="1" s="1"/>
  <c r="B37" i="13"/>
  <c r="H21" i="1" s="1"/>
  <c r="B27" i="13"/>
  <c r="H12" i="1" s="1"/>
  <c r="C29" i="13"/>
  <c r="I14" i="1" s="1"/>
  <c r="C21" i="13"/>
  <c r="I6" i="1" s="1"/>
  <c r="C33" i="13"/>
  <c r="I18" i="1" s="1"/>
  <c r="C27" i="13"/>
  <c r="I12" i="1" s="1"/>
  <c r="C20" i="13"/>
  <c r="I5" i="1" s="1"/>
  <c r="C63" i="13"/>
  <c r="I47" i="1" s="1"/>
  <c r="B58" i="13"/>
  <c r="H42" i="1" s="1"/>
  <c r="B63" i="13"/>
  <c r="H47" i="1" s="1"/>
  <c r="C48" i="13"/>
  <c r="I32" i="1" s="1"/>
  <c r="C24" i="13"/>
  <c r="I9" i="1" s="1"/>
  <c r="B40" i="13"/>
  <c r="H24" i="1" s="1"/>
  <c r="B25" i="13"/>
  <c r="H10" i="1" s="1"/>
  <c r="C23" i="13"/>
  <c r="I8" i="1" s="1"/>
  <c r="B67" i="13"/>
  <c r="H51" i="1" s="1"/>
  <c r="C55" i="13"/>
  <c r="I39" i="1" s="1"/>
  <c r="B45" i="13"/>
  <c r="H29" i="1" s="1"/>
  <c r="B55" i="13"/>
  <c r="H39" i="1" s="1"/>
  <c r="B21" i="13"/>
  <c r="H6" i="1" s="1"/>
  <c r="C60" i="13"/>
  <c r="I44" i="1" s="1"/>
  <c r="B52" i="13"/>
  <c r="B50" i="13"/>
  <c r="H34" i="1" s="1"/>
  <c r="C50" i="13"/>
  <c r="I34" i="1" s="1"/>
  <c r="H90" i="14"/>
  <c r="G90" i="14"/>
  <c r="F90" i="14"/>
  <c r="M11" i="17"/>
  <c r="B65" i="17"/>
  <c r="B49" i="1" s="1"/>
  <c r="B56" i="17"/>
  <c r="B40" i="1" s="1"/>
  <c r="C47" i="17"/>
  <c r="C31" i="1" s="1"/>
  <c r="B37" i="17"/>
  <c r="B21" i="1" s="1"/>
  <c r="B48" i="17"/>
  <c r="B32" i="1" s="1"/>
  <c r="C64" i="17"/>
  <c r="C48" i="1" s="1"/>
  <c r="C55" i="17"/>
  <c r="C39" i="1" s="1"/>
  <c r="B43" i="17"/>
  <c r="B27" i="1" s="1"/>
  <c r="C23" i="17"/>
  <c r="C8" i="1" s="1"/>
  <c r="B64" i="17"/>
  <c r="B48" i="1" s="1"/>
  <c r="B55" i="17"/>
  <c r="B39" i="1" s="1"/>
  <c r="B39" i="17"/>
  <c r="B23" i="1" s="1"/>
  <c r="C24" i="17"/>
  <c r="C9" i="1" s="1"/>
  <c r="B23" i="17"/>
  <c r="B8" i="1" s="1"/>
  <c r="B28" i="17"/>
  <c r="B13" i="1" s="1"/>
  <c r="C25" i="17"/>
  <c r="C10" i="1" s="1"/>
  <c r="B46" i="17"/>
  <c r="B30" i="1" s="1"/>
  <c r="C4" i="1"/>
  <c r="B32" i="17"/>
  <c r="B17" i="1" s="1"/>
  <c r="B20" i="17"/>
  <c r="B5" i="1" s="1"/>
  <c r="C58" i="17"/>
  <c r="C42" i="1" s="1"/>
  <c r="C48" i="17"/>
  <c r="C32" i="1" s="1"/>
  <c r="B58" i="17"/>
  <c r="B42" i="1" s="1"/>
  <c r="C39" i="17"/>
  <c r="C23" i="1" s="1"/>
  <c r="C38" i="17"/>
  <c r="C22" i="1" s="1"/>
  <c r="B19" i="17"/>
  <c r="B4" i="1" s="1"/>
  <c r="B24" i="17"/>
  <c r="B9" i="1" s="1"/>
  <c r="C23" i="14"/>
  <c r="AC8" i="1" s="1"/>
  <c r="B26" i="14"/>
  <c r="AB11" i="1" s="1"/>
  <c r="C38" i="14"/>
  <c r="AC22" i="1" s="1"/>
  <c r="B41" i="14"/>
  <c r="AB25" i="1" s="1"/>
  <c r="C44" i="14"/>
  <c r="AC28" i="1" s="1"/>
  <c r="C54" i="14"/>
  <c r="AC38" i="1" s="1"/>
  <c r="B57" i="14"/>
  <c r="AB41" i="1" s="1"/>
  <c r="C60" i="14"/>
  <c r="AC44" i="1" s="1"/>
  <c r="B63" i="14"/>
  <c r="AB47" i="1" s="1"/>
  <c r="E11" i="16"/>
  <c r="C11" i="16" s="1"/>
  <c r="B31" i="16"/>
  <c r="R16" i="1" s="1"/>
  <c r="C31" i="16"/>
  <c r="S16" i="1" s="1"/>
  <c r="C38" i="16"/>
  <c r="S22" i="1" s="1"/>
  <c r="C62" i="16"/>
  <c r="S46" i="1" s="1"/>
  <c r="C56" i="16"/>
  <c r="S40" i="1" s="1"/>
  <c r="B48" i="16"/>
  <c r="R32" i="1" s="1"/>
  <c r="C41" i="16"/>
  <c r="S25" i="1" s="1"/>
  <c r="C32" i="16"/>
  <c r="S17" i="1" s="1"/>
  <c r="C28" i="16"/>
  <c r="S13" i="1" s="1"/>
  <c r="B23" i="16"/>
  <c r="R8" i="1" s="1"/>
  <c r="C20" i="16"/>
  <c r="S5" i="1" s="1"/>
  <c r="B38" i="16"/>
  <c r="R22" i="1" s="1"/>
  <c r="C65" i="16"/>
  <c r="S49" i="1" s="1"/>
  <c r="B62" i="16"/>
  <c r="R46" i="1" s="1"/>
  <c r="B56" i="16"/>
  <c r="R40" i="1" s="1"/>
  <c r="C44" i="16"/>
  <c r="S28" i="1" s="1"/>
  <c r="B41" i="16"/>
  <c r="R25" i="1" s="1"/>
  <c r="B32" i="16"/>
  <c r="R17" i="1" s="1"/>
  <c r="B28" i="16"/>
  <c r="R13" i="1" s="1"/>
  <c r="C25" i="16"/>
  <c r="S10" i="1" s="1"/>
  <c r="B20" i="16"/>
  <c r="R5" i="1" s="1"/>
  <c r="B65" i="16"/>
  <c r="R49" i="1" s="1"/>
  <c r="C58" i="16"/>
  <c r="S42" i="1" s="1"/>
  <c r="B44" i="16"/>
  <c r="R28" i="1" s="1"/>
  <c r="C37" i="16"/>
  <c r="S21" i="1" s="1"/>
  <c r="B25" i="16"/>
  <c r="R10" i="1" s="1"/>
  <c r="C22" i="16"/>
  <c r="S7" i="1" s="1"/>
  <c r="C49" i="16"/>
  <c r="S33" i="1" s="1"/>
  <c r="C61" i="16"/>
  <c r="S45" i="1" s="1"/>
  <c r="B58" i="16"/>
  <c r="R42" i="1" s="1"/>
  <c r="C46" i="16"/>
  <c r="S30" i="1" s="1"/>
  <c r="C40" i="16"/>
  <c r="S24" i="1" s="1"/>
  <c r="B37" i="16"/>
  <c r="R21" i="1" s="1"/>
  <c r="C27" i="16"/>
  <c r="S12" i="1" s="1"/>
  <c r="B22" i="16"/>
  <c r="R7" i="1" s="1"/>
  <c r="C19" i="16"/>
  <c r="S4" i="1" s="1"/>
  <c r="C26" i="16"/>
  <c r="S11" i="1" s="1"/>
  <c r="B39" i="16"/>
  <c r="R23" i="1" s="1"/>
  <c r="C43" i="16"/>
  <c r="S27" i="1" s="1"/>
  <c r="B57" i="16"/>
  <c r="R41" i="1" s="1"/>
  <c r="B61" i="16"/>
  <c r="R45" i="1" s="1"/>
  <c r="C66" i="16"/>
  <c r="S50" i="1" s="1"/>
  <c r="C111" i="12"/>
  <c r="K16" i="7" s="1"/>
  <c r="B111" i="12"/>
  <c r="J16" i="7" s="1"/>
  <c r="C112" i="13"/>
  <c r="I17" i="7" s="1"/>
  <c r="C105" i="13"/>
  <c r="I10" i="7" s="1"/>
  <c r="B103" i="13"/>
  <c r="H8" i="7" s="1"/>
  <c r="C121" i="13"/>
  <c r="I25" i="7" s="1"/>
  <c r="B119" i="13"/>
  <c r="H23" i="7" s="1"/>
  <c r="C125" i="13"/>
  <c r="I29" i="7" s="1"/>
  <c r="C130" i="13"/>
  <c r="I34" i="7" s="1"/>
  <c r="B128" i="13"/>
  <c r="H32" i="7" s="1"/>
  <c r="C135" i="13"/>
  <c r="I39" i="7" s="1"/>
  <c r="B138" i="13"/>
  <c r="H42" i="7" s="1"/>
  <c r="C144" i="13"/>
  <c r="I48" i="7" s="1"/>
  <c r="B147" i="13"/>
  <c r="H51" i="7" s="1"/>
  <c r="B21" i="14"/>
  <c r="AB6" i="1" s="1"/>
  <c r="C26" i="14"/>
  <c r="AC11" i="1" s="1"/>
  <c r="B29" i="14"/>
  <c r="AB14" i="1" s="1"/>
  <c r="B33" i="14"/>
  <c r="AB18" i="1" s="1"/>
  <c r="C41" i="14"/>
  <c r="AC25" i="1" s="1"/>
  <c r="B48" i="14"/>
  <c r="AB32" i="1" s="1"/>
  <c r="C57" i="14"/>
  <c r="AC41" i="1" s="1"/>
  <c r="C63" i="14"/>
  <c r="AC47" i="1" s="1"/>
  <c r="C23" i="16"/>
  <c r="S8" i="1" s="1"/>
  <c r="C39" i="16"/>
  <c r="S23" i="1" s="1"/>
  <c r="C48" i="16"/>
  <c r="S32" i="1" s="1"/>
  <c r="C57" i="16"/>
  <c r="S41" i="1" s="1"/>
  <c r="C138" i="13"/>
  <c r="I42" i="7" s="1"/>
  <c r="B142" i="13"/>
  <c r="H46" i="7" s="1"/>
  <c r="C147" i="13"/>
  <c r="I51" i="7" s="1"/>
  <c r="C21" i="14"/>
  <c r="AC6" i="1" s="1"/>
  <c r="B24" i="14"/>
  <c r="AB9" i="1" s="1"/>
  <c r="C29" i="14"/>
  <c r="AC14" i="1" s="1"/>
  <c r="C33" i="14"/>
  <c r="AC18" i="1" s="1"/>
  <c r="B39" i="14"/>
  <c r="AB23" i="1" s="1"/>
  <c r="B45" i="14"/>
  <c r="AB29" i="1" s="1"/>
  <c r="C48" i="14"/>
  <c r="AC32" i="1" s="1"/>
  <c r="B55" i="14"/>
  <c r="AB39" i="1" s="1"/>
  <c r="B61" i="14"/>
  <c r="AB45" i="1" s="1"/>
  <c r="B50" i="14"/>
  <c r="AB34" i="1" s="1"/>
  <c r="B19" i="16"/>
  <c r="R4" i="1" s="1"/>
  <c r="B27" i="16"/>
  <c r="R12" i="1" s="1"/>
  <c r="B99" i="13"/>
  <c r="H4" i="7" s="1"/>
  <c r="B112" i="13"/>
  <c r="H17" i="7" s="1"/>
  <c r="C107" i="13"/>
  <c r="I12" i="7" s="1"/>
  <c r="B105" i="13"/>
  <c r="H10" i="7" s="1"/>
  <c r="C117" i="13"/>
  <c r="I21" i="7" s="1"/>
  <c r="B121" i="13"/>
  <c r="H25" i="7" s="1"/>
  <c r="C123" i="13"/>
  <c r="I27" i="7" s="1"/>
  <c r="B126" i="13"/>
  <c r="H30" i="7" s="1"/>
  <c r="B130" i="13"/>
  <c r="H34" i="7" s="1"/>
  <c r="C132" i="13"/>
  <c r="B136" i="13"/>
  <c r="H40" i="7" s="1"/>
  <c r="C142" i="13"/>
  <c r="I46" i="7" s="1"/>
  <c r="B145" i="13"/>
  <c r="H49" i="7" s="1"/>
  <c r="B19" i="14"/>
  <c r="AB4" i="1" s="1"/>
  <c r="C24" i="14"/>
  <c r="AC9" i="1" s="1"/>
  <c r="B27" i="14"/>
  <c r="AB12" i="1" s="1"/>
  <c r="C39" i="14"/>
  <c r="AC23" i="1" s="1"/>
  <c r="C45" i="14"/>
  <c r="AC29" i="1" s="1"/>
  <c r="C55" i="14"/>
  <c r="AC39" i="1" s="1"/>
  <c r="B58" i="14"/>
  <c r="AB42" i="1" s="1"/>
  <c r="C61" i="14"/>
  <c r="AC45" i="1" s="1"/>
  <c r="C50" i="14"/>
  <c r="AC34" i="1" s="1"/>
  <c r="B24" i="16"/>
  <c r="R9" i="1" s="1"/>
  <c r="B33" i="16"/>
  <c r="R18" i="1" s="1"/>
  <c r="B40" i="16"/>
  <c r="R24" i="1" s="1"/>
  <c r="B45" i="16"/>
  <c r="R29" i="1" s="1"/>
  <c r="B54" i="16"/>
  <c r="R38" i="1" s="1"/>
  <c r="B63" i="16"/>
  <c r="R47" i="1" s="1"/>
  <c r="B49" i="16"/>
  <c r="R33" i="1" s="1"/>
  <c r="C19" i="14"/>
  <c r="AC4" i="1" s="1"/>
  <c r="B22" i="14"/>
  <c r="AB7" i="1" s="1"/>
  <c r="C27" i="14"/>
  <c r="AC12" i="1" s="1"/>
  <c r="B37" i="14"/>
  <c r="AB21" i="1" s="1"/>
  <c r="B43" i="14"/>
  <c r="AB27" i="1" s="1"/>
  <c r="C58" i="14"/>
  <c r="AC42" i="1" s="1"/>
  <c r="C24" i="16"/>
  <c r="S9" i="1" s="1"/>
  <c r="C33" i="16"/>
  <c r="S18" i="1" s="1"/>
  <c r="C45" i="16"/>
  <c r="S29" i="1" s="1"/>
  <c r="C54" i="16"/>
  <c r="S38" i="1" s="1"/>
  <c r="C63" i="16"/>
  <c r="S47" i="1" s="1"/>
  <c r="B61" i="12"/>
  <c r="J45" i="1" s="1"/>
  <c r="R91" i="19"/>
  <c r="C112" i="19"/>
  <c r="G17" i="7" s="1"/>
  <c r="B103" i="19"/>
  <c r="F8" i="7" s="1"/>
  <c r="C107" i="19"/>
  <c r="G12" i="7" s="1"/>
  <c r="B107" i="19"/>
  <c r="F12" i="7" s="1"/>
  <c r="C40" i="12"/>
  <c r="K24" i="1" s="1"/>
  <c r="I11" i="17"/>
  <c r="B27" i="17"/>
  <c r="B12" i="1" s="1"/>
  <c r="C22" i="17"/>
  <c r="C7" i="1" s="1"/>
  <c r="C43" i="17"/>
  <c r="C27" i="1" s="1"/>
  <c r="C61" i="17"/>
  <c r="C45" i="1" s="1"/>
  <c r="C61" i="12"/>
  <c r="K45" i="1" s="1"/>
  <c r="C40" i="19"/>
  <c r="G24" i="1" s="1"/>
  <c r="B46" i="19"/>
  <c r="F30" i="1" s="1"/>
  <c r="B62" i="19"/>
  <c r="F46" i="1" s="1"/>
  <c r="C23" i="19"/>
  <c r="G8" i="1" s="1"/>
  <c r="B44" i="12"/>
  <c r="J28" i="1" s="1"/>
  <c r="C10" i="16"/>
  <c r="B10" i="16"/>
  <c r="C28" i="19"/>
  <c r="G13" i="1" s="1"/>
  <c r="C31" i="18"/>
  <c r="E16" i="1" s="1"/>
  <c r="B31" i="18"/>
  <c r="D16" i="1" s="1"/>
  <c r="B25" i="12"/>
  <c r="J10" i="1" s="1"/>
  <c r="B33" i="12"/>
  <c r="J18" i="1" s="1"/>
  <c r="C44" i="12"/>
  <c r="K28" i="1" s="1"/>
  <c r="C57" i="12"/>
  <c r="K41" i="1" s="1"/>
  <c r="C47" i="15"/>
  <c r="Y31" i="1" s="1"/>
  <c r="C137" i="17"/>
  <c r="C41" i="7" s="1"/>
  <c r="Q11" i="17"/>
  <c r="B26" i="17"/>
  <c r="B11" i="1" s="1"/>
  <c r="B22" i="17"/>
  <c r="B7" i="1" s="1"/>
  <c r="C29" i="17"/>
  <c r="C14" i="1" s="1"/>
  <c r="C21" i="17"/>
  <c r="C6" i="1" s="1"/>
  <c r="C41" i="17"/>
  <c r="C25" i="1" s="1"/>
  <c r="B44" i="17"/>
  <c r="B28" i="1" s="1"/>
  <c r="C46" i="17"/>
  <c r="C30" i="1" s="1"/>
  <c r="C56" i="17"/>
  <c r="C40" i="1" s="1"/>
  <c r="B60" i="17"/>
  <c r="B44" i="1" s="1"/>
  <c r="C65" i="17"/>
  <c r="C49" i="1" s="1"/>
  <c r="B60" i="12"/>
  <c r="J44" i="1" s="1"/>
  <c r="B54" i="12"/>
  <c r="J38" i="1" s="1"/>
  <c r="C48" i="12"/>
  <c r="K32" i="1" s="1"/>
  <c r="C43" i="12"/>
  <c r="K27" i="1" s="1"/>
  <c r="C38" i="12"/>
  <c r="K22" i="1" s="1"/>
  <c r="C32" i="12"/>
  <c r="K17" i="1" s="1"/>
  <c r="B22" i="12"/>
  <c r="J7" i="1" s="1"/>
  <c r="B26" i="12"/>
  <c r="J11" i="1" s="1"/>
  <c r="C62" i="12"/>
  <c r="K46" i="1" s="1"/>
  <c r="C56" i="12"/>
  <c r="K40" i="1" s="1"/>
  <c r="B48" i="12"/>
  <c r="J32" i="1" s="1"/>
  <c r="B43" i="12"/>
  <c r="J27" i="1" s="1"/>
  <c r="B38" i="12"/>
  <c r="J22" i="1" s="1"/>
  <c r="B32" i="12"/>
  <c r="J17" i="1" s="1"/>
  <c r="C22" i="12"/>
  <c r="K7" i="1" s="1"/>
  <c r="C26" i="12"/>
  <c r="K11" i="1" s="1"/>
  <c r="C65" i="12"/>
  <c r="K49" i="1" s="1"/>
  <c r="B62" i="12"/>
  <c r="J46" i="1" s="1"/>
  <c r="B56" i="12"/>
  <c r="J40" i="1" s="1"/>
  <c r="C46" i="12"/>
  <c r="K30" i="1" s="1"/>
  <c r="C41" i="12"/>
  <c r="K25" i="1" s="1"/>
  <c r="C37" i="12"/>
  <c r="K21" i="1" s="1"/>
  <c r="C29" i="12"/>
  <c r="K14" i="1" s="1"/>
  <c r="B23" i="12"/>
  <c r="J8" i="1" s="1"/>
  <c r="B27" i="12"/>
  <c r="J12" i="1" s="1"/>
  <c r="B65" i="12"/>
  <c r="J49" i="1" s="1"/>
  <c r="C58" i="12"/>
  <c r="K42" i="1" s="1"/>
  <c r="B46" i="12"/>
  <c r="J30" i="1" s="1"/>
  <c r="B41" i="12"/>
  <c r="J25" i="1" s="1"/>
  <c r="B37" i="12"/>
  <c r="J21" i="1" s="1"/>
  <c r="B29" i="12"/>
  <c r="J14" i="1" s="1"/>
  <c r="C23" i="12"/>
  <c r="K8" i="1" s="1"/>
  <c r="C27" i="12"/>
  <c r="K12" i="1" s="1"/>
  <c r="B40" i="19"/>
  <c r="F24" i="1" s="1"/>
  <c r="C45" i="19"/>
  <c r="G29" i="1" s="1"/>
  <c r="C46" i="19"/>
  <c r="G30" i="1" s="1"/>
  <c r="C57" i="19"/>
  <c r="G41" i="1" s="1"/>
  <c r="C62" i="19"/>
  <c r="G46" i="1" s="1"/>
  <c r="C66" i="19"/>
  <c r="G50" i="1" s="1"/>
  <c r="C27" i="19"/>
  <c r="G12" i="1" s="1"/>
  <c r="B25" i="19"/>
  <c r="F10" i="1" s="1"/>
  <c r="C22" i="19"/>
  <c r="G7" i="1" s="1"/>
  <c r="G4" i="1"/>
  <c r="B136" i="18"/>
  <c r="D40" i="7" s="1"/>
  <c r="M91" i="18"/>
  <c r="B25" i="18"/>
  <c r="D10" i="1" s="1"/>
  <c r="B43" i="18"/>
  <c r="D27" i="1" s="1"/>
  <c r="B64" i="18"/>
  <c r="D48" i="1" s="1"/>
  <c r="C24" i="12"/>
  <c r="K9" i="1" s="1"/>
  <c r="C33" i="12"/>
  <c r="K18" i="1" s="1"/>
  <c r="B45" i="12"/>
  <c r="J29" i="1" s="1"/>
  <c r="C54" i="12"/>
  <c r="K38" i="1" s="1"/>
  <c r="C28" i="17"/>
  <c r="C13" i="1" s="1"/>
  <c r="C20" i="17"/>
  <c r="C5" i="1" s="1"/>
  <c r="B41" i="17"/>
  <c r="B25" i="1" s="1"/>
  <c r="C44" i="17"/>
  <c r="C28" i="1" s="1"/>
  <c r="B54" i="17"/>
  <c r="B38" i="1" s="1"/>
  <c r="C60" i="17"/>
  <c r="C44" i="1" s="1"/>
  <c r="B63" i="17"/>
  <c r="B47" i="1" s="1"/>
  <c r="C11" i="19"/>
  <c r="B37" i="19"/>
  <c r="F21" i="1" s="1"/>
  <c r="C39" i="19"/>
  <c r="G23" i="1" s="1"/>
  <c r="B48" i="19"/>
  <c r="F32" i="1" s="1"/>
  <c r="B54" i="19"/>
  <c r="F38" i="1" s="1"/>
  <c r="B58" i="19"/>
  <c r="F42" i="1" s="1"/>
  <c r="B63" i="19"/>
  <c r="F47" i="1" s="1"/>
  <c r="C32" i="19"/>
  <c r="G17" i="1" s="1"/>
  <c r="C29" i="19"/>
  <c r="G14" i="1" s="1"/>
  <c r="B22" i="19"/>
  <c r="F7" i="1" s="1"/>
  <c r="E11" i="18"/>
  <c r="C58" i="18"/>
  <c r="E42" i="1" s="1"/>
  <c r="C54" i="18"/>
  <c r="E38" i="1" s="1"/>
  <c r="C48" i="18"/>
  <c r="E32" i="1" s="1"/>
  <c r="C41" i="18"/>
  <c r="E25" i="1" s="1"/>
  <c r="C37" i="18"/>
  <c r="E21" i="1" s="1"/>
  <c r="C29" i="18"/>
  <c r="E14" i="1" s="1"/>
  <c r="B20" i="18"/>
  <c r="D5" i="1" s="1"/>
  <c r="B58" i="18"/>
  <c r="D42" i="1" s="1"/>
  <c r="B54" i="18"/>
  <c r="D38" i="1" s="1"/>
  <c r="B48" i="18"/>
  <c r="D32" i="1" s="1"/>
  <c r="B41" i="18"/>
  <c r="D25" i="1" s="1"/>
  <c r="B37" i="18"/>
  <c r="D21" i="1" s="1"/>
  <c r="B29" i="18"/>
  <c r="D14" i="1" s="1"/>
  <c r="C19" i="18"/>
  <c r="E4" i="1" s="1"/>
  <c r="C62" i="18"/>
  <c r="E46" i="1" s="1"/>
  <c r="C57" i="18"/>
  <c r="E41" i="1" s="1"/>
  <c r="C45" i="18"/>
  <c r="E29" i="1" s="1"/>
  <c r="C40" i="18"/>
  <c r="E24" i="1" s="1"/>
  <c r="C27" i="18"/>
  <c r="E12" i="1" s="1"/>
  <c r="B19" i="18"/>
  <c r="D4" i="1" s="1"/>
  <c r="B62" i="18"/>
  <c r="D46" i="1" s="1"/>
  <c r="B57" i="18"/>
  <c r="D41" i="1" s="1"/>
  <c r="B45" i="18"/>
  <c r="D29" i="1" s="1"/>
  <c r="B40" i="18"/>
  <c r="D24" i="1" s="1"/>
  <c r="B27" i="18"/>
  <c r="D12" i="1" s="1"/>
  <c r="C22" i="18"/>
  <c r="E7" i="1" s="1"/>
  <c r="I91" i="18"/>
  <c r="B140" i="18"/>
  <c r="D44" i="7" s="1"/>
  <c r="B124" i="18"/>
  <c r="D28" i="7" s="1"/>
  <c r="B109" i="18"/>
  <c r="D14" i="7" s="1"/>
  <c r="B101" i="18"/>
  <c r="D6" i="7" s="1"/>
  <c r="C143" i="18"/>
  <c r="E47" i="7" s="1"/>
  <c r="C117" i="18"/>
  <c r="E21" i="7" s="1"/>
  <c r="C104" i="18"/>
  <c r="E9" i="7" s="1"/>
  <c r="C25" i="18"/>
  <c r="E10" i="1" s="1"/>
  <c r="C43" i="18"/>
  <c r="E27" i="1" s="1"/>
  <c r="C55" i="18"/>
  <c r="E39" i="1" s="1"/>
  <c r="C64" i="18"/>
  <c r="E48" i="1" s="1"/>
  <c r="B24" i="12"/>
  <c r="J9" i="1" s="1"/>
  <c r="C45" i="12"/>
  <c r="K29" i="1" s="1"/>
  <c r="B58" i="12"/>
  <c r="J42" i="1" s="1"/>
  <c r="B65" i="15"/>
  <c r="X49" i="1" s="1"/>
  <c r="C62" i="15"/>
  <c r="Y46" i="1" s="1"/>
  <c r="C56" i="15"/>
  <c r="Y40" i="1" s="1"/>
  <c r="C43" i="15"/>
  <c r="Y27" i="1" s="1"/>
  <c r="B62" i="15"/>
  <c r="X46" i="1" s="1"/>
  <c r="B56" i="15"/>
  <c r="X40" i="1" s="1"/>
  <c r="B43" i="15"/>
  <c r="X27" i="1" s="1"/>
  <c r="C33" i="15"/>
  <c r="Y18" i="1" s="1"/>
  <c r="B58" i="15"/>
  <c r="X42" i="1" s="1"/>
  <c r="B45" i="15"/>
  <c r="X29" i="1" s="1"/>
  <c r="C41" i="15"/>
  <c r="Y25" i="1" s="1"/>
  <c r="C25" i="15"/>
  <c r="Y10" i="1" s="1"/>
  <c r="B41" i="15"/>
  <c r="X25" i="1" s="1"/>
  <c r="C32" i="15"/>
  <c r="Y17" i="1" s="1"/>
  <c r="B25" i="15"/>
  <c r="X10" i="1" s="1"/>
  <c r="C19" i="15"/>
  <c r="Y4" i="1" s="1"/>
  <c r="C44" i="15"/>
  <c r="Y28" i="1" s="1"/>
  <c r="B32" i="15"/>
  <c r="X17" i="1" s="1"/>
  <c r="C27" i="15"/>
  <c r="Y12" i="1" s="1"/>
  <c r="B19" i="15"/>
  <c r="X4" i="1" s="1"/>
  <c r="C46" i="15"/>
  <c r="Y30" i="1" s="1"/>
  <c r="B40" i="15"/>
  <c r="X24" i="1" s="1"/>
  <c r="B37" i="15"/>
  <c r="X21" i="1" s="1"/>
  <c r="B24" i="15"/>
  <c r="X9" i="1" s="1"/>
  <c r="B39" i="15"/>
  <c r="X23" i="1" s="1"/>
  <c r="C28" i="15"/>
  <c r="Y13" i="1" s="1"/>
  <c r="B23" i="15"/>
  <c r="X8" i="1" s="1"/>
  <c r="B44" i="15"/>
  <c r="X28" i="1" s="1"/>
  <c r="B30" i="15"/>
  <c r="X15" i="1" s="1"/>
  <c r="B33" i="15"/>
  <c r="X18" i="1" s="1"/>
  <c r="C20" i="15"/>
  <c r="Y5" i="1" s="1"/>
  <c r="C24" i="15"/>
  <c r="Y9" i="1" s="1"/>
  <c r="B126" i="18"/>
  <c r="D30" i="7" s="1"/>
  <c r="B137" i="18"/>
  <c r="D41" i="7" s="1"/>
  <c r="C40" i="15"/>
  <c r="Y24" i="1" s="1"/>
  <c r="B29" i="17"/>
  <c r="B14" i="1" s="1"/>
  <c r="B25" i="17"/>
  <c r="B10" i="1" s="1"/>
  <c r="B21" i="17"/>
  <c r="B6" i="1" s="1"/>
  <c r="C27" i="17"/>
  <c r="C12" i="1" s="1"/>
  <c r="C32" i="17"/>
  <c r="C17" i="1" s="1"/>
  <c r="C40" i="17"/>
  <c r="C24" i="1" s="1"/>
  <c r="B45" i="17"/>
  <c r="B29" i="1" s="1"/>
  <c r="C54" i="17"/>
  <c r="C38" i="1" s="1"/>
  <c r="B57" i="17"/>
  <c r="B41" i="1" s="1"/>
  <c r="C63" i="17"/>
  <c r="C47" i="1" s="1"/>
  <c r="B66" i="17"/>
  <c r="B50" i="1" s="1"/>
  <c r="C37" i="19"/>
  <c r="G21" i="1" s="1"/>
  <c r="B39" i="19"/>
  <c r="F23" i="1" s="1"/>
  <c r="C48" i="19"/>
  <c r="G32" i="1" s="1"/>
  <c r="C54" i="19"/>
  <c r="G38" i="1" s="1"/>
  <c r="C58" i="19"/>
  <c r="G42" i="1" s="1"/>
  <c r="C63" i="19"/>
  <c r="G47" i="1" s="1"/>
  <c r="B27" i="19"/>
  <c r="F12" i="1" s="1"/>
  <c r="C24" i="19"/>
  <c r="G9" i="1" s="1"/>
  <c r="C21" i="19"/>
  <c r="G6" i="1" s="1"/>
  <c r="F4" i="1"/>
  <c r="B26" i="18"/>
  <c r="D11" i="1" s="1"/>
  <c r="B44" i="18"/>
  <c r="D28" i="1" s="1"/>
  <c r="B56" i="18"/>
  <c r="D40" i="1" s="1"/>
  <c r="B65" i="18"/>
  <c r="D49" i="1" s="1"/>
  <c r="B19" i="12"/>
  <c r="J4" i="1" s="1"/>
  <c r="C21" i="12"/>
  <c r="K6" i="1" s="1"/>
  <c r="B39" i="12"/>
  <c r="J23" i="1" s="1"/>
  <c r="B55" i="12"/>
  <c r="J39" i="1" s="1"/>
  <c r="B63" i="12"/>
  <c r="J47" i="1" s="1"/>
  <c r="C38" i="15"/>
  <c r="Y22" i="1" s="1"/>
  <c r="B55" i="15"/>
  <c r="X39" i="1" s="1"/>
  <c r="B38" i="15"/>
  <c r="X22" i="1" s="1"/>
  <c r="U90" i="15"/>
  <c r="U89" i="15"/>
  <c r="E91" i="17"/>
  <c r="B146" i="17"/>
  <c r="B50" i="7" s="1"/>
  <c r="B142" i="17"/>
  <c r="B46" i="7" s="1"/>
  <c r="B137" i="17"/>
  <c r="B41" i="7" s="1"/>
  <c r="B129" i="17"/>
  <c r="B33" i="7" s="1"/>
  <c r="B113" i="17"/>
  <c r="B18" i="7" s="1"/>
  <c r="B108" i="17"/>
  <c r="B13" i="7" s="1"/>
  <c r="B104" i="17"/>
  <c r="B9" i="7" s="1"/>
  <c r="B125" i="17"/>
  <c r="B29" i="7" s="1"/>
  <c r="B118" i="17"/>
  <c r="B22" i="7" s="1"/>
  <c r="C145" i="17"/>
  <c r="C49" i="7" s="1"/>
  <c r="C141" i="17"/>
  <c r="C45" i="7" s="1"/>
  <c r="C136" i="17"/>
  <c r="C40" i="7" s="1"/>
  <c r="C128" i="17"/>
  <c r="C32" i="7" s="1"/>
  <c r="C112" i="17"/>
  <c r="C17" i="7" s="1"/>
  <c r="C107" i="17"/>
  <c r="C12" i="7" s="1"/>
  <c r="C102" i="17"/>
  <c r="C7" i="7" s="1"/>
  <c r="B145" i="17"/>
  <c r="B49" i="7" s="1"/>
  <c r="B141" i="17"/>
  <c r="B45" i="7" s="1"/>
  <c r="B136" i="17"/>
  <c r="B40" i="7" s="1"/>
  <c r="B128" i="17"/>
  <c r="B32" i="7" s="1"/>
  <c r="B112" i="17"/>
  <c r="B17" i="7" s="1"/>
  <c r="B107" i="17"/>
  <c r="B12" i="7" s="1"/>
  <c r="B102" i="17"/>
  <c r="B7" i="7" s="1"/>
  <c r="B123" i="17"/>
  <c r="B27" i="7" s="1"/>
  <c r="B117" i="17"/>
  <c r="B21" i="7" s="1"/>
  <c r="B99" i="17"/>
  <c r="B4" i="7" s="1"/>
  <c r="C144" i="17"/>
  <c r="C48" i="7" s="1"/>
  <c r="C140" i="17"/>
  <c r="C44" i="7" s="1"/>
  <c r="C135" i="17"/>
  <c r="C39" i="7" s="1"/>
  <c r="C124" i="17"/>
  <c r="C28" i="7" s="1"/>
  <c r="C106" i="17"/>
  <c r="C11" i="7" s="1"/>
  <c r="C101" i="17"/>
  <c r="C6" i="7" s="1"/>
  <c r="C127" i="17"/>
  <c r="C31" i="7" s="1"/>
  <c r="C121" i="17"/>
  <c r="C25" i="7" s="1"/>
  <c r="B144" i="17"/>
  <c r="B48" i="7" s="1"/>
  <c r="B140" i="17"/>
  <c r="B44" i="7" s="1"/>
  <c r="B135" i="17"/>
  <c r="B39" i="7" s="1"/>
  <c r="B124" i="17"/>
  <c r="B28" i="7" s="1"/>
  <c r="B106" i="17"/>
  <c r="B11" i="7" s="1"/>
  <c r="B101" i="17"/>
  <c r="B6" i="7" s="1"/>
  <c r="B127" i="17"/>
  <c r="B31" i="7" s="1"/>
  <c r="B121" i="17"/>
  <c r="B25" i="7" s="1"/>
  <c r="C143" i="17"/>
  <c r="C47" i="7" s="1"/>
  <c r="C138" i="17"/>
  <c r="C42" i="7" s="1"/>
  <c r="C134" i="17"/>
  <c r="C38" i="7" s="1"/>
  <c r="C120" i="17"/>
  <c r="C24" i="7" s="1"/>
  <c r="C109" i="17"/>
  <c r="C14" i="7" s="1"/>
  <c r="C105" i="17"/>
  <c r="C10" i="7" s="1"/>
  <c r="C100" i="17"/>
  <c r="C5" i="7" s="1"/>
  <c r="C129" i="17"/>
  <c r="C33" i="7" s="1"/>
  <c r="B100" i="17"/>
  <c r="B5" i="7" s="1"/>
  <c r="C123" i="17"/>
  <c r="C27" i="7" s="1"/>
  <c r="B120" i="17"/>
  <c r="B24" i="7" s="1"/>
  <c r="C119" i="17"/>
  <c r="C23" i="7" s="1"/>
  <c r="B103" i="17"/>
  <c r="B8" i="7" s="1"/>
  <c r="C146" i="17"/>
  <c r="C50" i="7" s="1"/>
  <c r="C113" i="17"/>
  <c r="C18" i="7" s="1"/>
  <c r="B119" i="17"/>
  <c r="B23" i="7" s="1"/>
  <c r="B143" i="17"/>
  <c r="B47" i="7" s="1"/>
  <c r="C118" i="17"/>
  <c r="C22" i="7" s="1"/>
  <c r="C103" i="17"/>
  <c r="C8" i="7" s="1"/>
  <c r="C99" i="17"/>
  <c r="C4" i="7" s="1"/>
  <c r="C142" i="17"/>
  <c r="C46" i="7" s="1"/>
  <c r="B109" i="17"/>
  <c r="B14" i="7" s="1"/>
  <c r="C117" i="17"/>
  <c r="C21" i="7" s="1"/>
  <c r="B138" i="17"/>
  <c r="B42" i="7" s="1"/>
  <c r="C108" i="17"/>
  <c r="C13" i="7" s="1"/>
  <c r="C126" i="17"/>
  <c r="C30" i="7" s="1"/>
  <c r="B47" i="17"/>
  <c r="B31" i="1" s="1"/>
  <c r="C26" i="17"/>
  <c r="C11" i="1" s="1"/>
  <c r="C33" i="17"/>
  <c r="C18" i="1" s="1"/>
  <c r="B40" i="17"/>
  <c r="B24" i="1" s="1"/>
  <c r="C45" i="17"/>
  <c r="C29" i="1" s="1"/>
  <c r="C57" i="17"/>
  <c r="C41" i="1" s="1"/>
  <c r="B61" i="17"/>
  <c r="B45" i="1" s="1"/>
  <c r="C66" i="17"/>
  <c r="C50" i="1" s="1"/>
  <c r="B38" i="19"/>
  <c r="F22" i="1" s="1"/>
  <c r="B43" i="19"/>
  <c r="F27" i="1" s="1"/>
  <c r="B49" i="19"/>
  <c r="F33" i="1" s="1"/>
  <c r="B55" i="19"/>
  <c r="F39" i="1" s="1"/>
  <c r="B60" i="19"/>
  <c r="F44" i="1" s="1"/>
  <c r="B64" i="19"/>
  <c r="F48" i="1" s="1"/>
  <c r="B32" i="19"/>
  <c r="F17" i="1" s="1"/>
  <c r="B29" i="19"/>
  <c r="F14" i="1" s="1"/>
  <c r="B24" i="19"/>
  <c r="F9" i="1" s="1"/>
  <c r="C26" i="18"/>
  <c r="E11" i="1" s="1"/>
  <c r="C44" i="18"/>
  <c r="E28" i="1" s="1"/>
  <c r="C56" i="18"/>
  <c r="E40" i="1" s="1"/>
  <c r="C65" i="18"/>
  <c r="E49" i="1" s="1"/>
  <c r="C28" i="12"/>
  <c r="K13" i="1" s="1"/>
  <c r="B21" i="12"/>
  <c r="J6" i="1" s="1"/>
  <c r="C39" i="12"/>
  <c r="K23" i="1" s="1"/>
  <c r="C55" i="12"/>
  <c r="K39" i="1" s="1"/>
  <c r="C63" i="12"/>
  <c r="K47" i="1" s="1"/>
  <c r="B111" i="17"/>
  <c r="B16" i="7" s="1"/>
  <c r="AA91" i="17"/>
  <c r="C111" i="17"/>
  <c r="C16" i="7" s="1"/>
  <c r="B126" i="17"/>
  <c r="B30" i="7" s="1"/>
  <c r="M91" i="16"/>
  <c r="B143" i="16"/>
  <c r="R47" i="7" s="1"/>
  <c r="B135" i="16"/>
  <c r="R39" i="7" s="1"/>
  <c r="B124" i="16"/>
  <c r="R28" i="7" s="1"/>
  <c r="C112" i="16"/>
  <c r="S17" i="7" s="1"/>
  <c r="C101" i="16"/>
  <c r="S6" i="7" s="1"/>
  <c r="C145" i="16"/>
  <c r="S49" i="7" s="1"/>
  <c r="B104" i="16"/>
  <c r="R9" i="7" s="1"/>
  <c r="C107" i="16"/>
  <c r="S12" i="7" s="1"/>
  <c r="C99" i="16"/>
  <c r="S4" i="7" s="1"/>
  <c r="C124" i="16"/>
  <c r="S28" i="7" s="1"/>
  <c r="C104" i="17"/>
  <c r="C9" i="7" s="1"/>
  <c r="B28" i="12"/>
  <c r="J13" i="1" s="1"/>
  <c r="C20" i="12"/>
  <c r="K5" i="1" s="1"/>
  <c r="B40" i="12"/>
  <c r="J24" i="1" s="1"/>
  <c r="C60" i="12"/>
  <c r="K44" i="1" s="1"/>
  <c r="Y90" i="6"/>
  <c r="Y89" i="6"/>
  <c r="C125" i="6" s="1"/>
  <c r="AA29" i="7" s="1"/>
  <c r="B105" i="17"/>
  <c r="B10" i="7" s="1"/>
  <c r="C49" i="15"/>
  <c r="Y33" i="1" s="1"/>
  <c r="B49" i="15"/>
  <c r="X33" i="1" s="1"/>
  <c r="B64" i="15"/>
  <c r="X48" i="1" s="1"/>
  <c r="C64" i="15"/>
  <c r="Y48" i="1" s="1"/>
  <c r="C111" i="15"/>
  <c r="Y16" i="7" s="1"/>
  <c r="C110" i="15"/>
  <c r="Y15" i="7" s="1"/>
  <c r="B111" i="15"/>
  <c r="X16" i="7" s="1"/>
  <c r="C104" i="19"/>
  <c r="G9" i="7" s="1"/>
  <c r="B113" i="19"/>
  <c r="F18" i="7" s="1"/>
  <c r="C124" i="19"/>
  <c r="G28" i="7" s="1"/>
  <c r="C136" i="19"/>
  <c r="G40" i="7" s="1"/>
  <c r="C145" i="19"/>
  <c r="G49" i="7" s="1"/>
  <c r="Q11" i="13"/>
  <c r="C31" i="13"/>
  <c r="I16" i="1" s="1"/>
  <c r="B31" i="13"/>
  <c r="H16" i="1" s="1"/>
  <c r="C59" i="13"/>
  <c r="I43" i="1" s="1"/>
  <c r="B59" i="13"/>
  <c r="H43" i="1" s="1"/>
  <c r="C42" i="13"/>
  <c r="I26" i="1" s="1"/>
  <c r="M11" i="18"/>
  <c r="Q91" i="18"/>
  <c r="B23" i="18"/>
  <c r="D8" i="1" s="1"/>
  <c r="B28" i="18"/>
  <c r="D13" i="1" s="1"/>
  <c r="B49" i="18"/>
  <c r="D33" i="1" s="1"/>
  <c r="B66" i="18"/>
  <c r="D50" i="1" s="1"/>
  <c r="B52" i="12"/>
  <c r="B101" i="19"/>
  <c r="F6" i="7" s="1"/>
  <c r="C108" i="19"/>
  <c r="G13" i="7" s="1"/>
  <c r="C119" i="19"/>
  <c r="G23" i="7" s="1"/>
  <c r="B142" i="19"/>
  <c r="F46" i="7" s="1"/>
  <c r="B105" i="18"/>
  <c r="D10" i="7" s="1"/>
  <c r="B118" i="18"/>
  <c r="D22" i="7" s="1"/>
  <c r="B134" i="18"/>
  <c r="D38" i="7" s="1"/>
  <c r="C103" i="16"/>
  <c r="S8" i="7" s="1"/>
  <c r="B120" i="16"/>
  <c r="R24" i="7" s="1"/>
  <c r="B126" i="16"/>
  <c r="R30" i="7" s="1"/>
  <c r="B137" i="16"/>
  <c r="R41" i="7" s="1"/>
  <c r="B141" i="16"/>
  <c r="R45" i="7" s="1"/>
  <c r="C23" i="18"/>
  <c r="E8" i="1" s="1"/>
  <c r="C28" i="18"/>
  <c r="E13" i="1" s="1"/>
  <c r="C49" i="18"/>
  <c r="E33" i="1" s="1"/>
  <c r="C66" i="18"/>
  <c r="E50" i="1" s="1"/>
  <c r="B110" i="15"/>
  <c r="X15" i="7" s="1"/>
  <c r="C111" i="19"/>
  <c r="G16" i="7" s="1"/>
  <c r="B111" i="19"/>
  <c r="F16" i="7" s="1"/>
  <c r="B144" i="19"/>
  <c r="F48" i="7" s="1"/>
  <c r="C146" i="19"/>
  <c r="G50" i="7" s="1"/>
  <c r="B146" i="19"/>
  <c r="F50" i="7" s="1"/>
  <c r="C127" i="19"/>
  <c r="G31" i="7" s="1"/>
  <c r="B105" i="19"/>
  <c r="F10" i="7" s="1"/>
  <c r="C129" i="19"/>
  <c r="G33" i="7" s="1"/>
  <c r="B99" i="18"/>
  <c r="D4" i="7" s="1"/>
  <c r="B107" i="18"/>
  <c r="D12" i="7" s="1"/>
  <c r="B121" i="18"/>
  <c r="D25" i="7" s="1"/>
  <c r="B142" i="16"/>
  <c r="R46" i="7" s="1"/>
  <c r="C100" i="16"/>
  <c r="S5" i="7" s="1"/>
  <c r="B107" i="16"/>
  <c r="R12" i="7" s="1"/>
  <c r="C141" i="16"/>
  <c r="S45" i="7" s="1"/>
  <c r="B147" i="6"/>
  <c r="Z51" i="7" s="1"/>
  <c r="C128" i="6"/>
  <c r="AA32" i="7" s="1"/>
  <c r="C109" i="6"/>
  <c r="AA14" i="7" s="1"/>
  <c r="C105" i="6"/>
  <c r="AA10" i="7" s="1"/>
  <c r="C101" i="6"/>
  <c r="AA6" i="7" s="1"/>
  <c r="C108" i="6"/>
  <c r="AA13" i="7" s="1"/>
  <c r="C104" i="6"/>
  <c r="AA9" i="7" s="1"/>
  <c r="C100" i="6"/>
  <c r="AA5" i="7" s="1"/>
  <c r="C113" i="6"/>
  <c r="AA18" i="7" s="1"/>
  <c r="C107" i="6"/>
  <c r="AA12" i="7" s="1"/>
  <c r="C103" i="6"/>
  <c r="AA8" i="7" s="1"/>
  <c r="C99" i="6"/>
  <c r="AA4" i="7" s="1"/>
  <c r="E91" i="19"/>
  <c r="C91" i="19" s="1"/>
  <c r="C141" i="19"/>
  <c r="G45" i="7" s="1"/>
  <c r="B138" i="19"/>
  <c r="F42" i="7" s="1"/>
  <c r="C135" i="19"/>
  <c r="G39" i="7" s="1"/>
  <c r="B126" i="19"/>
  <c r="F30" i="7" s="1"/>
  <c r="C123" i="19"/>
  <c r="G27" i="7" s="1"/>
  <c r="B120" i="19"/>
  <c r="F24" i="7" s="1"/>
  <c r="C109" i="19"/>
  <c r="G14" i="7" s="1"/>
  <c r="B104" i="19"/>
  <c r="F9" i="7" s="1"/>
  <c r="C101" i="19"/>
  <c r="G6" i="7" s="1"/>
  <c r="C137" i="19"/>
  <c r="G41" i="7" s="1"/>
  <c r="B128" i="19"/>
  <c r="F32" i="7" s="1"/>
  <c r="C125" i="19"/>
  <c r="G29" i="7" s="1"/>
  <c r="B118" i="19"/>
  <c r="F22" i="7" s="1"/>
  <c r="C120" i="19"/>
  <c r="G24" i="7" s="1"/>
  <c r="C113" i="19"/>
  <c r="G18" i="7" s="1"/>
  <c r="B106" i="19"/>
  <c r="F11" i="7" s="1"/>
  <c r="C103" i="19"/>
  <c r="G8" i="7" s="1"/>
  <c r="C140" i="19"/>
  <c r="G44" i="7" s="1"/>
  <c r="B137" i="19"/>
  <c r="F41" i="7" s="1"/>
  <c r="C134" i="19"/>
  <c r="G38" i="7" s="1"/>
  <c r="B125" i="19"/>
  <c r="F29" i="7" s="1"/>
  <c r="B140" i="19"/>
  <c r="F44" i="7" s="1"/>
  <c r="B134" i="19"/>
  <c r="F38" i="7" s="1"/>
  <c r="C118" i="19"/>
  <c r="G22" i="7" s="1"/>
  <c r="B108" i="19"/>
  <c r="F13" i="7" s="1"/>
  <c r="C105" i="19"/>
  <c r="G10" i="7" s="1"/>
  <c r="B100" i="19"/>
  <c r="F5" i="7" s="1"/>
  <c r="E91" i="18"/>
  <c r="B120" i="18"/>
  <c r="D24" i="7" s="1"/>
  <c r="C142" i="18"/>
  <c r="E46" i="7" s="1"/>
  <c r="C136" i="18"/>
  <c r="E40" i="7" s="1"/>
  <c r="C126" i="18"/>
  <c r="E30" i="7" s="1"/>
  <c r="C121" i="18"/>
  <c r="E25" i="7" s="1"/>
  <c r="C113" i="18"/>
  <c r="E18" i="7" s="1"/>
  <c r="C107" i="18"/>
  <c r="E12" i="7" s="1"/>
  <c r="C103" i="18"/>
  <c r="E8" i="7" s="1"/>
  <c r="C99" i="18"/>
  <c r="E4" i="7" s="1"/>
  <c r="C128" i="18"/>
  <c r="E32" i="7" s="1"/>
  <c r="B128" i="18"/>
  <c r="D32" i="7" s="1"/>
  <c r="C141" i="18"/>
  <c r="E45" i="7" s="1"/>
  <c r="C135" i="18"/>
  <c r="E39" i="7" s="1"/>
  <c r="C125" i="18"/>
  <c r="E29" i="7" s="1"/>
  <c r="C119" i="18"/>
  <c r="E23" i="7" s="1"/>
  <c r="C112" i="18"/>
  <c r="E17" i="7" s="1"/>
  <c r="C106" i="18"/>
  <c r="E11" i="7" s="1"/>
  <c r="C102" i="18"/>
  <c r="E7" i="7" s="1"/>
  <c r="C145" i="18"/>
  <c r="E49" i="7" s="1"/>
  <c r="B141" i="18"/>
  <c r="D45" i="7" s="1"/>
  <c r="B135" i="18"/>
  <c r="D39" i="7" s="1"/>
  <c r="B125" i="18"/>
  <c r="D29" i="7" s="1"/>
  <c r="B119" i="18"/>
  <c r="D23" i="7" s="1"/>
  <c r="B112" i="18"/>
  <c r="D17" i="7" s="1"/>
  <c r="B106" i="18"/>
  <c r="D11" i="7" s="1"/>
  <c r="B102" i="18"/>
  <c r="D7" i="7" s="1"/>
  <c r="B145" i="18"/>
  <c r="D49" i="7" s="1"/>
  <c r="C140" i="18"/>
  <c r="E44" i="7" s="1"/>
  <c r="C134" i="18"/>
  <c r="E38" i="7" s="1"/>
  <c r="C124" i="18"/>
  <c r="E28" i="7" s="1"/>
  <c r="C118" i="18"/>
  <c r="E22" i="7" s="1"/>
  <c r="C109" i="18"/>
  <c r="E14" i="7" s="1"/>
  <c r="C105" i="18"/>
  <c r="E10" i="7" s="1"/>
  <c r="C101" i="18"/>
  <c r="E6" i="7" s="1"/>
  <c r="C137" i="18"/>
  <c r="E41" i="7" s="1"/>
  <c r="U91" i="18"/>
  <c r="B24" i="18"/>
  <c r="D9" i="1" s="1"/>
  <c r="B63" i="18"/>
  <c r="D47" i="1" s="1"/>
  <c r="B47" i="15"/>
  <c r="X31" i="1" s="1"/>
  <c r="C31" i="15"/>
  <c r="Y16" i="1" s="1"/>
  <c r="B31" i="15"/>
  <c r="X16" i="1" s="1"/>
  <c r="B102" i="19"/>
  <c r="F7" i="7" s="1"/>
  <c r="B109" i="19"/>
  <c r="F14" i="7" s="1"/>
  <c r="B117" i="19"/>
  <c r="F21" i="7" s="1"/>
  <c r="B119" i="19"/>
  <c r="F23" i="7" s="1"/>
  <c r="C126" i="19"/>
  <c r="G30" i="7" s="1"/>
  <c r="C138" i="19"/>
  <c r="G42" i="7" s="1"/>
  <c r="B100" i="18"/>
  <c r="D5" i="7" s="1"/>
  <c r="B108" i="18"/>
  <c r="D13" i="7" s="1"/>
  <c r="B123" i="18"/>
  <c r="D27" i="7" s="1"/>
  <c r="B138" i="18"/>
  <c r="D42" i="7" s="1"/>
  <c r="C106" i="16"/>
  <c r="S11" i="7" s="1"/>
  <c r="B117" i="16"/>
  <c r="R21" i="7" s="1"/>
  <c r="C123" i="16"/>
  <c r="S27" i="7" s="1"/>
  <c r="B128" i="16"/>
  <c r="R32" i="7" s="1"/>
  <c r="C134" i="16"/>
  <c r="S38" i="7" s="1"/>
  <c r="B31" i="17"/>
  <c r="B16" i="1" s="1"/>
  <c r="B99" i="6"/>
  <c r="Z4" i="7" s="1"/>
  <c r="C145" i="6"/>
  <c r="AA49" i="7" s="1"/>
  <c r="Y90" i="15"/>
  <c r="Y89" i="15"/>
  <c r="U11" i="18"/>
  <c r="C24" i="18"/>
  <c r="E9" i="1" s="1"/>
  <c r="C63" i="18"/>
  <c r="E47" i="1" s="1"/>
  <c r="B99" i="19"/>
  <c r="F4" i="7" s="1"/>
  <c r="C102" i="19"/>
  <c r="G7" i="7" s="1"/>
  <c r="C106" i="19"/>
  <c r="G11" i="7" s="1"/>
  <c r="C117" i="19"/>
  <c r="G21" i="7" s="1"/>
  <c r="C100" i="18"/>
  <c r="E5" i="7" s="1"/>
  <c r="C108" i="18"/>
  <c r="E13" i="7" s="1"/>
  <c r="C123" i="18"/>
  <c r="E27" i="7" s="1"/>
  <c r="C138" i="18"/>
  <c r="E42" i="7" s="1"/>
  <c r="I91" i="16"/>
  <c r="C121" i="16"/>
  <c r="S25" i="7" s="1"/>
  <c r="B121" i="16"/>
  <c r="R25" i="7" s="1"/>
  <c r="B101" i="16"/>
  <c r="R6" i="7" s="1"/>
  <c r="B112" i="16"/>
  <c r="R17" i="7" s="1"/>
  <c r="C117" i="16"/>
  <c r="S21" i="7" s="1"/>
  <c r="C128" i="16"/>
  <c r="S32" i="7" s="1"/>
  <c r="C138" i="16"/>
  <c r="S42" i="7" s="1"/>
  <c r="AC89" i="15"/>
  <c r="C99" i="19"/>
  <c r="G4" i="7" s="1"/>
  <c r="B112" i="19"/>
  <c r="F17" i="7" s="1"/>
  <c r="C121" i="19"/>
  <c r="G25" i="7" s="1"/>
  <c r="B123" i="19"/>
  <c r="F27" i="7" s="1"/>
  <c r="B135" i="19"/>
  <c r="F39" i="7" s="1"/>
  <c r="B143" i="19"/>
  <c r="F47" i="7" s="1"/>
  <c r="C120" i="18"/>
  <c r="E24" i="7" s="1"/>
  <c r="B129" i="18"/>
  <c r="D33" i="7" s="1"/>
  <c r="C144" i="18"/>
  <c r="E48" i="7" s="1"/>
  <c r="C108" i="16"/>
  <c r="S13" i="7" s="1"/>
  <c r="B106" i="16"/>
  <c r="R11" i="7" s="1"/>
  <c r="B113" i="16"/>
  <c r="R18" i="7" s="1"/>
  <c r="C120" i="16"/>
  <c r="S24" i="7" s="1"/>
  <c r="B125" i="16"/>
  <c r="R29" i="7" s="1"/>
  <c r="B136" i="16"/>
  <c r="R40" i="7" s="1"/>
  <c r="B100" i="6"/>
  <c r="Z5" i="7" s="1"/>
  <c r="B104" i="6"/>
  <c r="Z9" i="7" s="1"/>
  <c r="B108" i="6"/>
  <c r="Z13" i="7" s="1"/>
  <c r="B118" i="6"/>
  <c r="Z22" i="7" s="1"/>
  <c r="C137" i="6"/>
  <c r="AA41" i="7" s="1"/>
  <c r="C143" i="6"/>
  <c r="AA47" i="7" s="1"/>
  <c r="B146" i="6"/>
  <c r="Z50" i="7" s="1"/>
  <c r="C149" i="6"/>
  <c r="B110" i="17"/>
  <c r="B15" i="7" s="1"/>
  <c r="C146" i="18"/>
  <c r="E50" i="7" s="1"/>
  <c r="E91" i="16"/>
  <c r="C91" i="16" s="1"/>
  <c r="C111" i="16"/>
  <c r="S16" i="7" s="1"/>
  <c r="B111" i="16"/>
  <c r="R16" i="7" s="1"/>
  <c r="B99" i="16"/>
  <c r="R4" i="7" s="1"/>
  <c r="C105" i="16"/>
  <c r="S10" i="7" s="1"/>
  <c r="B103" i="16"/>
  <c r="R8" i="7" s="1"/>
  <c r="C113" i="16"/>
  <c r="S18" i="7" s="1"/>
  <c r="B118" i="16"/>
  <c r="R22" i="7" s="1"/>
  <c r="C125" i="16"/>
  <c r="S29" i="7" s="1"/>
  <c r="B129" i="16"/>
  <c r="R33" i="7" s="1"/>
  <c r="C136" i="16"/>
  <c r="S40" i="7" s="1"/>
  <c r="C142" i="16"/>
  <c r="S46" i="7" s="1"/>
  <c r="B146" i="16"/>
  <c r="R50" i="7" s="1"/>
  <c r="C129" i="18"/>
  <c r="E33" i="7" s="1"/>
  <c r="C90" i="16"/>
  <c r="B90" i="16"/>
  <c r="B100" i="16"/>
  <c r="R5" i="7" s="1"/>
  <c r="B108" i="16"/>
  <c r="R13" i="7" s="1"/>
  <c r="C102" i="16"/>
  <c r="S7" i="7" s="1"/>
  <c r="C118" i="16"/>
  <c r="S22" i="7" s="1"/>
  <c r="B123" i="16"/>
  <c r="R27" i="7" s="1"/>
  <c r="C129" i="16"/>
  <c r="S33" i="7" s="1"/>
  <c r="B134" i="16"/>
  <c r="R38" i="7" s="1"/>
  <c r="B140" i="16"/>
  <c r="R44" i="7" s="1"/>
  <c r="C146" i="16"/>
  <c r="S50" i="7" s="1"/>
  <c r="B101" i="6"/>
  <c r="Z6" i="7" s="1"/>
  <c r="B105" i="6"/>
  <c r="Z10" i="7" s="1"/>
  <c r="B109" i="6"/>
  <c r="Z14" i="7" s="1"/>
  <c r="B119" i="6"/>
  <c r="Z23" i="7" s="1"/>
  <c r="B125" i="6"/>
  <c r="Z29" i="7" s="1"/>
  <c r="B144" i="6"/>
  <c r="Z48" i="7" s="1"/>
  <c r="C47" i="10"/>
  <c r="M31" i="1" s="1"/>
  <c r="C90" i="20"/>
  <c r="B90" i="20"/>
  <c r="C111" i="18"/>
  <c r="E16" i="7" s="1"/>
  <c r="C104" i="16"/>
  <c r="S9" i="7" s="1"/>
  <c r="B102" i="16"/>
  <c r="R7" i="7" s="1"/>
  <c r="B119" i="16"/>
  <c r="R23" i="7" s="1"/>
  <c r="C126" i="16"/>
  <c r="S30" i="7" s="1"/>
  <c r="C137" i="16"/>
  <c r="S41" i="7" s="1"/>
  <c r="C143" i="16"/>
  <c r="S47" i="7" s="1"/>
  <c r="B102" i="6"/>
  <c r="Z7" i="7" s="1"/>
  <c r="B106" i="6"/>
  <c r="Z11" i="7" s="1"/>
  <c r="B112" i="6"/>
  <c r="Z17" i="7" s="1"/>
  <c r="B136" i="6"/>
  <c r="Z40" i="7" s="1"/>
  <c r="B142" i="6"/>
  <c r="Z46" i="7" s="1"/>
  <c r="C105" i="20"/>
  <c r="U10" i="7" s="1"/>
  <c r="B103" i="20"/>
  <c r="T8" i="7" s="1"/>
  <c r="B111" i="20"/>
  <c r="T16" i="7" s="1"/>
  <c r="C118" i="20"/>
  <c r="U22" i="7" s="1"/>
  <c r="B121" i="20"/>
  <c r="T25" i="7" s="1"/>
  <c r="C128" i="20"/>
  <c r="U32" i="7" s="1"/>
  <c r="C134" i="20"/>
  <c r="U38" i="7" s="1"/>
  <c r="B137" i="20"/>
  <c r="T41" i="7" s="1"/>
  <c r="C143" i="20"/>
  <c r="U47" i="7" s="1"/>
  <c r="B47" i="10"/>
  <c r="L31" i="1" s="1"/>
  <c r="C66" i="8"/>
  <c r="Q50" i="1" s="1"/>
  <c r="C19" i="20"/>
  <c r="U4" i="1" s="1"/>
  <c r="C24" i="20"/>
  <c r="U9" i="1" s="1"/>
  <c r="B22" i="20"/>
  <c r="T7" i="1" s="1"/>
  <c r="C32" i="20"/>
  <c r="U17" i="1" s="1"/>
  <c r="B38" i="20"/>
  <c r="T22" i="1" s="1"/>
  <c r="C44" i="20"/>
  <c r="U28" i="1" s="1"/>
  <c r="B47" i="20"/>
  <c r="T31" i="1" s="1"/>
  <c r="B55" i="20"/>
  <c r="T39" i="1" s="1"/>
  <c r="B61" i="20"/>
  <c r="T45" i="1" s="1"/>
  <c r="C66" i="20"/>
  <c r="U50" i="1" s="1"/>
  <c r="C107" i="20"/>
  <c r="U12" i="7" s="1"/>
  <c r="B105" i="20"/>
  <c r="T10" i="7" s="1"/>
  <c r="B112" i="20"/>
  <c r="T17" i="7" s="1"/>
  <c r="B119" i="20"/>
  <c r="T23" i="7" s="1"/>
  <c r="C125" i="20"/>
  <c r="U29" i="7" s="1"/>
  <c r="B129" i="20"/>
  <c r="T33" i="7" s="1"/>
  <c r="B135" i="20"/>
  <c r="T39" i="7" s="1"/>
  <c r="C141" i="20"/>
  <c r="U45" i="7" s="1"/>
  <c r="B145" i="20"/>
  <c r="T49" i="7" s="1"/>
  <c r="B64" i="8"/>
  <c r="P48" i="1" s="1"/>
  <c r="C29" i="20"/>
  <c r="U14" i="1" s="1"/>
  <c r="B27" i="20"/>
  <c r="T12" i="1" s="1"/>
  <c r="C21" i="20"/>
  <c r="U6" i="1" s="1"/>
  <c r="C38" i="20"/>
  <c r="U22" i="1" s="1"/>
  <c r="B41" i="20"/>
  <c r="T25" i="1" s="1"/>
  <c r="C47" i="20"/>
  <c r="U31" i="1" s="1"/>
  <c r="C55" i="20"/>
  <c r="U39" i="1" s="1"/>
  <c r="B58" i="20"/>
  <c r="T42" i="1" s="1"/>
  <c r="C61" i="20"/>
  <c r="U45" i="1" s="1"/>
  <c r="B64" i="20"/>
  <c r="T48" i="1" s="1"/>
  <c r="C99" i="20"/>
  <c r="U4" i="7" s="1"/>
  <c r="C104" i="20"/>
  <c r="U9" i="7" s="1"/>
  <c r="B102" i="20"/>
  <c r="T7" i="7" s="1"/>
  <c r="C112" i="20"/>
  <c r="U17" i="7" s="1"/>
  <c r="C119" i="20"/>
  <c r="U23" i="7" s="1"/>
  <c r="B123" i="20"/>
  <c r="T27" i="7" s="1"/>
  <c r="C129" i="20"/>
  <c r="U33" i="7" s="1"/>
  <c r="C135" i="20"/>
  <c r="U39" i="7" s="1"/>
  <c r="B138" i="20"/>
  <c r="T42" i="7" s="1"/>
  <c r="C145" i="20"/>
  <c r="U49" i="7" s="1"/>
  <c r="E11" i="20"/>
  <c r="C11" i="20" s="1"/>
  <c r="C49" i="8"/>
  <c r="Q33" i="1" s="1"/>
  <c r="C64" i="8"/>
  <c r="Q48" i="1" s="1"/>
  <c r="C26" i="20"/>
  <c r="U11" i="1" s="1"/>
  <c r="B24" i="20"/>
  <c r="T9" i="1" s="1"/>
  <c r="B33" i="20"/>
  <c r="T18" i="1" s="1"/>
  <c r="C41" i="20"/>
  <c r="U25" i="1" s="1"/>
  <c r="B45" i="20"/>
  <c r="T29" i="1" s="1"/>
  <c r="C58" i="20"/>
  <c r="U42" i="1" s="1"/>
  <c r="C64" i="20"/>
  <c r="U48" i="1" s="1"/>
  <c r="C109" i="20"/>
  <c r="U14" i="7" s="1"/>
  <c r="B107" i="20"/>
  <c r="T12" i="7" s="1"/>
  <c r="C101" i="20"/>
  <c r="U6" i="7" s="1"/>
  <c r="B117" i="20"/>
  <c r="T21" i="7" s="1"/>
  <c r="C123" i="20"/>
  <c r="U27" i="7" s="1"/>
  <c r="B126" i="20"/>
  <c r="T30" i="7" s="1"/>
  <c r="C138" i="20"/>
  <c r="U42" i="7" s="1"/>
  <c r="B142" i="20"/>
  <c r="T46" i="7" s="1"/>
  <c r="B120" i="20"/>
  <c r="T24" i="7" s="1"/>
  <c r="C126" i="20"/>
  <c r="U30" i="7" s="1"/>
  <c r="B136" i="20"/>
  <c r="T40" i="7" s="1"/>
  <c r="C142" i="20"/>
  <c r="U46" i="7" s="1"/>
  <c r="B146" i="20"/>
  <c r="T50" i="7" s="1"/>
  <c r="C47" i="8"/>
  <c r="Q31" i="1" s="1"/>
  <c r="C28" i="20"/>
  <c r="U13" i="1" s="1"/>
  <c r="B26" i="20"/>
  <c r="T11" i="1" s="1"/>
  <c r="C20" i="20"/>
  <c r="U5" i="1" s="1"/>
  <c r="C39" i="20"/>
  <c r="U23" i="1" s="1"/>
  <c r="B43" i="20"/>
  <c r="T27" i="1" s="1"/>
  <c r="C48" i="20"/>
  <c r="U32" i="1" s="1"/>
  <c r="C56" i="20"/>
  <c r="U40" i="1" s="1"/>
  <c r="C62" i="20"/>
  <c r="U46" i="1" s="1"/>
  <c r="B65" i="20"/>
  <c r="T49" i="1" s="1"/>
  <c r="B109" i="20"/>
  <c r="T14" i="7" s="1"/>
  <c r="C103" i="20"/>
  <c r="U8" i="7" s="1"/>
  <c r="B101" i="20"/>
  <c r="T6" i="7" s="1"/>
  <c r="C113" i="20"/>
  <c r="U18" i="7" s="1"/>
  <c r="C120" i="20"/>
  <c r="U24" i="7" s="1"/>
  <c r="B124" i="20"/>
  <c r="T28" i="7" s="1"/>
  <c r="C136" i="20"/>
  <c r="U40" i="7" s="1"/>
  <c r="B140" i="20"/>
  <c r="T44" i="7" s="1"/>
  <c r="C146" i="20"/>
  <c r="U50" i="7" s="1"/>
  <c r="E91" i="20"/>
  <c r="C91" i="20" s="1"/>
  <c r="C25" i="20"/>
  <c r="U10" i="1" s="1"/>
  <c r="B23" i="20"/>
  <c r="T8" i="1" s="1"/>
  <c r="B37" i="20"/>
  <c r="T21" i="1" s="1"/>
  <c r="C43" i="20"/>
  <c r="U27" i="1" s="1"/>
  <c r="B46" i="20"/>
  <c r="T30" i="1" s="1"/>
  <c r="B54" i="20"/>
  <c r="T38" i="1" s="1"/>
  <c r="B60" i="20"/>
  <c r="T44" i="1" s="1"/>
  <c r="C108" i="20"/>
  <c r="U13" i="7" s="1"/>
  <c r="B106" i="20"/>
  <c r="T11" i="7" s="1"/>
  <c r="C100" i="20"/>
  <c r="U5" i="7" s="1"/>
  <c r="B118" i="20"/>
  <c r="T22" i="7" s="1"/>
  <c r="C124" i="20"/>
  <c r="U28" i="7" s="1"/>
  <c r="B128" i="20"/>
  <c r="T32" i="7" s="1"/>
  <c r="B134" i="20"/>
  <c r="T38" i="7" s="1"/>
  <c r="C140" i="20"/>
  <c r="U44" i="7" s="1"/>
  <c r="C11" i="17" l="1"/>
  <c r="B66" i="15"/>
  <c r="X50" i="1" s="1"/>
  <c r="C55" i="15"/>
  <c r="Y39" i="1" s="1"/>
  <c r="C54" i="15"/>
  <c r="Y38" i="1" s="1"/>
  <c r="C45" i="15"/>
  <c r="Y29" i="1" s="1"/>
  <c r="B54" i="15"/>
  <c r="X38" i="1" s="1"/>
  <c r="B48" i="15"/>
  <c r="X32" i="1" s="1"/>
  <c r="C48" i="15"/>
  <c r="Y32" i="1" s="1"/>
  <c r="C61" i="15"/>
  <c r="Y45" i="1" s="1"/>
  <c r="B21" i="15"/>
  <c r="X6" i="1" s="1"/>
  <c r="B27" i="15"/>
  <c r="X12" i="1" s="1"/>
  <c r="B57" i="15"/>
  <c r="X41" i="1" s="1"/>
  <c r="B60" i="15"/>
  <c r="X44" i="1" s="1"/>
  <c r="C57" i="15"/>
  <c r="Y41" i="1" s="1"/>
  <c r="B61" i="15"/>
  <c r="X45" i="1" s="1"/>
  <c r="C23" i="15"/>
  <c r="Y8" i="1" s="1"/>
  <c r="C26" i="15"/>
  <c r="Y11" i="1" s="1"/>
  <c r="C138" i="15"/>
  <c r="Y42" i="7" s="1"/>
  <c r="B63" i="15"/>
  <c r="X47" i="1" s="1"/>
  <c r="C37" i="15"/>
  <c r="Y21" i="1" s="1"/>
  <c r="C21" i="15"/>
  <c r="Y6" i="1" s="1"/>
  <c r="C65" i="15"/>
  <c r="Y49" i="1" s="1"/>
  <c r="C63" i="15"/>
  <c r="Y47" i="1" s="1"/>
  <c r="B20" i="15"/>
  <c r="X5" i="1" s="1"/>
  <c r="B26" i="15"/>
  <c r="X11" i="1" s="1"/>
  <c r="B29" i="15"/>
  <c r="X14" i="1" s="1"/>
  <c r="B129" i="15"/>
  <c r="X33" i="7" s="1"/>
  <c r="C58" i="15"/>
  <c r="Y42" i="1" s="1"/>
  <c r="C60" i="15"/>
  <c r="Y44" i="1" s="1"/>
  <c r="C29" i="15"/>
  <c r="Y14" i="1" s="1"/>
  <c r="B22" i="15"/>
  <c r="X7" i="1" s="1"/>
  <c r="C22" i="15"/>
  <c r="Y7" i="1" s="1"/>
  <c r="B28" i="15"/>
  <c r="X13" i="1" s="1"/>
  <c r="C39" i="15"/>
  <c r="Y23" i="1" s="1"/>
  <c r="B46" i="15"/>
  <c r="X30" i="1" s="1"/>
  <c r="B113" i="6"/>
  <c r="Z18" i="7" s="1"/>
  <c r="C112" i="6"/>
  <c r="AA17" i="7" s="1"/>
  <c r="C125" i="15"/>
  <c r="Y29" i="7" s="1"/>
  <c r="C129" i="15"/>
  <c r="Y33" i="7" s="1"/>
  <c r="B126" i="10"/>
  <c r="L30" i="7" s="1"/>
  <c r="C142" i="10"/>
  <c r="M46" i="7" s="1"/>
  <c r="B143" i="10"/>
  <c r="L47" i="7" s="1"/>
  <c r="C134" i="10"/>
  <c r="M38" i="7" s="1"/>
  <c r="C125" i="10"/>
  <c r="M29" i="7" s="1"/>
  <c r="B123" i="10"/>
  <c r="L27" i="7" s="1"/>
  <c r="C123" i="10"/>
  <c r="M27" i="7" s="1"/>
  <c r="C10" i="8"/>
  <c r="B90" i="10"/>
  <c r="B135" i="6"/>
  <c r="Z39" i="7" s="1"/>
  <c r="B113" i="10"/>
  <c r="L18" i="7" s="1"/>
  <c r="B99" i="10"/>
  <c r="L4" i="7" s="1"/>
  <c r="C146" i="10"/>
  <c r="M50" i="7" s="1"/>
  <c r="B137" i="10"/>
  <c r="L41" i="7" s="1"/>
  <c r="C137" i="10"/>
  <c r="M41" i="7" s="1"/>
  <c r="B135" i="10"/>
  <c r="L39" i="7" s="1"/>
  <c r="B141" i="6"/>
  <c r="Z45" i="7" s="1"/>
  <c r="B104" i="15"/>
  <c r="X9" i="7" s="1"/>
  <c r="B140" i="6"/>
  <c r="Z44" i="7" s="1"/>
  <c r="B127" i="6"/>
  <c r="Z31" i="7" s="1"/>
  <c r="C132" i="6"/>
  <c r="C141" i="6"/>
  <c r="AA45" i="7" s="1"/>
  <c r="B130" i="6"/>
  <c r="Z34" i="7" s="1"/>
  <c r="B145" i="15"/>
  <c r="X49" i="7" s="1"/>
  <c r="B134" i="6"/>
  <c r="Z38" i="7" s="1"/>
  <c r="C140" i="6"/>
  <c r="AA44" i="7" s="1"/>
  <c r="C107" i="15"/>
  <c r="Y12" i="7" s="1"/>
  <c r="B123" i="6"/>
  <c r="Z27" i="7" s="1"/>
  <c r="B138" i="6"/>
  <c r="Z42" i="7" s="1"/>
  <c r="B143" i="6"/>
  <c r="Z47" i="7" s="1"/>
  <c r="B124" i="8"/>
  <c r="P28" i="7" s="1"/>
  <c r="B112" i="8"/>
  <c r="P17" i="7" s="1"/>
  <c r="C142" i="8"/>
  <c r="Q46" i="7" s="1"/>
  <c r="C138" i="8"/>
  <c r="Q42" i="7" s="1"/>
  <c r="C127" i="6"/>
  <c r="AA31" i="7" s="1"/>
  <c r="C126" i="6"/>
  <c r="AA30" i="7" s="1"/>
  <c r="C146" i="15"/>
  <c r="Y50" i="7" s="1"/>
  <c r="C134" i="15"/>
  <c r="Y38" i="7" s="1"/>
  <c r="C135" i="6"/>
  <c r="AA39" i="7" s="1"/>
  <c r="C124" i="6"/>
  <c r="AA28" i="7" s="1"/>
  <c r="C120" i="6"/>
  <c r="AA24" i="7" s="1"/>
  <c r="B126" i="6"/>
  <c r="Z30" i="7" s="1"/>
  <c r="B149" i="6"/>
  <c r="B128" i="6"/>
  <c r="Z32" i="7" s="1"/>
  <c r="B120" i="6"/>
  <c r="Z24" i="7" s="1"/>
  <c r="B100" i="15"/>
  <c r="X5" i="7" s="1"/>
  <c r="B142" i="15"/>
  <c r="X46" i="7" s="1"/>
  <c r="C149" i="15"/>
  <c r="B140" i="15"/>
  <c r="X44" i="7" s="1"/>
  <c r="B103" i="15"/>
  <c r="X8" i="7" s="1"/>
  <c r="C135" i="15"/>
  <c r="Y39" i="7" s="1"/>
  <c r="B118" i="15"/>
  <c r="X22" i="7" s="1"/>
  <c r="B121" i="15"/>
  <c r="X25" i="7" s="1"/>
  <c r="B124" i="15"/>
  <c r="X28" i="7" s="1"/>
  <c r="B149" i="15"/>
  <c r="C126" i="15"/>
  <c r="Y30" i="7" s="1"/>
  <c r="B135" i="15"/>
  <c r="X39" i="7" s="1"/>
  <c r="B143" i="15"/>
  <c r="X47" i="7" s="1"/>
  <c r="B119" i="15"/>
  <c r="X23" i="7" s="1"/>
  <c r="B123" i="15"/>
  <c r="X27" i="7" s="1"/>
  <c r="B126" i="15"/>
  <c r="X30" i="7" s="1"/>
  <c r="B132" i="15"/>
  <c r="B117" i="15"/>
  <c r="X21" i="7" s="1"/>
  <c r="C119" i="15"/>
  <c r="Y23" i="7" s="1"/>
  <c r="B136" i="15"/>
  <c r="X40" i="7" s="1"/>
  <c r="B141" i="15"/>
  <c r="X45" i="7" s="1"/>
  <c r="C103" i="15"/>
  <c r="Y8" i="7" s="1"/>
  <c r="C117" i="15"/>
  <c r="Y21" i="7" s="1"/>
  <c r="C124" i="15"/>
  <c r="Y28" i="7" s="1"/>
  <c r="B138" i="15"/>
  <c r="X42" i="7" s="1"/>
  <c r="C121" i="15"/>
  <c r="Y25" i="7" s="1"/>
  <c r="B134" i="15"/>
  <c r="X38" i="7" s="1"/>
  <c r="C141" i="15"/>
  <c r="Y45" i="7" s="1"/>
  <c r="C118" i="15"/>
  <c r="Y22" i="7" s="1"/>
  <c r="B125" i="15"/>
  <c r="X29" i="7" s="1"/>
  <c r="C132" i="15"/>
  <c r="D90" i="14"/>
  <c r="C90" i="14"/>
  <c r="B90" i="14"/>
  <c r="B112" i="15"/>
  <c r="X17" i="7" s="1"/>
  <c r="B99" i="15"/>
  <c r="X4" i="7" s="1"/>
  <c r="C102" i="15"/>
  <c r="Y7" i="7" s="1"/>
  <c r="B146" i="15"/>
  <c r="X50" i="7" s="1"/>
  <c r="C123" i="6"/>
  <c r="AA27" i="7" s="1"/>
  <c r="C129" i="6"/>
  <c r="AA33" i="7" s="1"/>
  <c r="B129" i="6"/>
  <c r="Z33" i="7" s="1"/>
  <c r="C136" i="6"/>
  <c r="AA40" i="7" s="1"/>
  <c r="B117" i="6"/>
  <c r="Z21" i="7" s="1"/>
  <c r="C142" i="6"/>
  <c r="AA46" i="7" s="1"/>
  <c r="D90" i="10"/>
  <c r="C90" i="10" s="1"/>
  <c r="C146" i="6"/>
  <c r="AA50" i="7" s="1"/>
  <c r="B132" i="6"/>
  <c r="C147" i="6"/>
  <c r="AA51" i="7" s="1"/>
  <c r="B128" i="15"/>
  <c r="X32" i="7" s="1"/>
  <c r="C105" i="15"/>
  <c r="Y10" i="7" s="1"/>
  <c r="B106" i="15"/>
  <c r="X11" i="7" s="1"/>
  <c r="B104" i="10"/>
  <c r="L9" i="7" s="1"/>
  <c r="B120" i="10"/>
  <c r="L24" i="7" s="1"/>
  <c r="T90" i="14"/>
  <c r="S90" i="14"/>
  <c r="R90" i="14"/>
  <c r="U90" i="14"/>
  <c r="C117" i="6"/>
  <c r="AA21" i="7" s="1"/>
  <c r="C138" i="6"/>
  <c r="AA42" i="7" s="1"/>
  <c r="C104" i="15"/>
  <c r="Y9" i="7" s="1"/>
  <c r="B108" i="15"/>
  <c r="X13" i="7" s="1"/>
  <c r="C113" i="15"/>
  <c r="Y18" i="7" s="1"/>
  <c r="C111" i="10"/>
  <c r="M16" i="7" s="1"/>
  <c r="B111" i="10"/>
  <c r="L16" i="7" s="1"/>
  <c r="B128" i="10"/>
  <c r="L32" i="7" s="1"/>
  <c r="C138" i="10"/>
  <c r="M42" i="7" s="1"/>
  <c r="C32" i="8"/>
  <c r="Q17" i="1" s="1"/>
  <c r="B145" i="6"/>
  <c r="Z49" i="7" s="1"/>
  <c r="B124" i="6"/>
  <c r="Z28" i="7" s="1"/>
  <c r="C144" i="6"/>
  <c r="AA48" i="7" s="1"/>
  <c r="B107" i="15"/>
  <c r="X12" i="7" s="1"/>
  <c r="C101" i="15"/>
  <c r="Y6" i="7" s="1"/>
  <c r="C99" i="15"/>
  <c r="Y4" i="7" s="1"/>
  <c r="B137" i="15"/>
  <c r="X41" i="7" s="1"/>
  <c r="C106" i="15"/>
  <c r="Y11" i="7" s="1"/>
  <c r="C117" i="10"/>
  <c r="M21" i="7" s="1"/>
  <c r="C129" i="10"/>
  <c r="M33" i="7" s="1"/>
  <c r="B109" i="15"/>
  <c r="X14" i="7" s="1"/>
  <c r="C120" i="15"/>
  <c r="Y24" i="7" s="1"/>
  <c r="B105" i="15"/>
  <c r="X10" i="7" s="1"/>
  <c r="B102" i="15"/>
  <c r="X7" i="7" s="1"/>
  <c r="C137" i="15"/>
  <c r="Y41" i="7" s="1"/>
  <c r="C91" i="17"/>
  <c r="C11" i="18"/>
  <c r="C63" i="10"/>
  <c r="M47" i="1" s="1"/>
  <c r="C58" i="10"/>
  <c r="M42" i="1" s="1"/>
  <c r="C54" i="10"/>
  <c r="M38" i="1" s="1"/>
  <c r="C48" i="10"/>
  <c r="M32" i="1" s="1"/>
  <c r="C41" i="10"/>
  <c r="M25" i="1" s="1"/>
  <c r="B37" i="10"/>
  <c r="L21" i="1" s="1"/>
  <c r="B63" i="10"/>
  <c r="L47" i="1" s="1"/>
  <c r="B58" i="10"/>
  <c r="L42" i="1" s="1"/>
  <c r="B54" i="10"/>
  <c r="L38" i="1" s="1"/>
  <c r="B48" i="10"/>
  <c r="L32" i="1" s="1"/>
  <c r="B41" i="10"/>
  <c r="L25" i="1" s="1"/>
  <c r="C37" i="10"/>
  <c r="M21" i="1" s="1"/>
  <c r="B62" i="10"/>
  <c r="L46" i="1" s="1"/>
  <c r="B57" i="10"/>
  <c r="L41" i="1" s="1"/>
  <c r="B46" i="10"/>
  <c r="L30" i="1" s="1"/>
  <c r="B45" i="10"/>
  <c r="L29" i="1" s="1"/>
  <c r="B40" i="10"/>
  <c r="L24" i="1" s="1"/>
  <c r="C65" i="10"/>
  <c r="M49" i="1" s="1"/>
  <c r="C61" i="10"/>
  <c r="M45" i="1" s="1"/>
  <c r="C56" i="10"/>
  <c r="M40" i="1" s="1"/>
  <c r="C44" i="10"/>
  <c r="M28" i="1" s="1"/>
  <c r="C39" i="10"/>
  <c r="M23" i="1" s="1"/>
  <c r="B65" i="10"/>
  <c r="L49" i="1" s="1"/>
  <c r="B61" i="10"/>
  <c r="L45" i="1" s="1"/>
  <c r="B56" i="10"/>
  <c r="L40" i="1" s="1"/>
  <c r="B44" i="10"/>
  <c r="L28" i="1" s="1"/>
  <c r="B39" i="10"/>
  <c r="L23" i="1" s="1"/>
  <c r="B60" i="10"/>
  <c r="L44" i="1" s="1"/>
  <c r="B55" i="10"/>
  <c r="L39" i="1" s="1"/>
  <c r="B43" i="10"/>
  <c r="L27" i="1" s="1"/>
  <c r="B38" i="10"/>
  <c r="L22" i="1" s="1"/>
  <c r="C60" i="10"/>
  <c r="M44" i="1" s="1"/>
  <c r="C38" i="10"/>
  <c r="M22" i="1" s="1"/>
  <c r="C57" i="10"/>
  <c r="M41" i="1" s="1"/>
  <c r="C55" i="10"/>
  <c r="M39" i="1" s="1"/>
  <c r="C46" i="10"/>
  <c r="M30" i="1" s="1"/>
  <c r="C45" i="10"/>
  <c r="M29" i="1" s="1"/>
  <c r="C62" i="10"/>
  <c r="M46" i="1" s="1"/>
  <c r="C43" i="10"/>
  <c r="M27" i="1" s="1"/>
  <c r="C40" i="10"/>
  <c r="M24" i="1" s="1"/>
  <c r="C33" i="10"/>
  <c r="M18" i="1" s="1"/>
  <c r="B22" i="10"/>
  <c r="L7" i="1" s="1"/>
  <c r="B26" i="10"/>
  <c r="L11" i="1" s="1"/>
  <c r="C19" i="10"/>
  <c r="M4" i="1" s="1"/>
  <c r="B33" i="10"/>
  <c r="L18" i="1" s="1"/>
  <c r="C22" i="10"/>
  <c r="M7" i="1" s="1"/>
  <c r="C26" i="10"/>
  <c r="M11" i="1" s="1"/>
  <c r="B19" i="10"/>
  <c r="L4" i="1" s="1"/>
  <c r="C32" i="10"/>
  <c r="M17" i="1" s="1"/>
  <c r="B23" i="10"/>
  <c r="L8" i="1" s="1"/>
  <c r="B27" i="10"/>
  <c r="L12" i="1" s="1"/>
  <c r="B32" i="10"/>
  <c r="L17" i="1" s="1"/>
  <c r="C23" i="10"/>
  <c r="M8" i="1" s="1"/>
  <c r="C27" i="10"/>
  <c r="M12" i="1" s="1"/>
  <c r="B20" i="10"/>
  <c r="L5" i="1" s="1"/>
  <c r="B24" i="10"/>
  <c r="L9" i="1" s="1"/>
  <c r="B28" i="10"/>
  <c r="L13" i="1" s="1"/>
  <c r="B25" i="10"/>
  <c r="L10" i="1" s="1"/>
  <c r="C25" i="10"/>
  <c r="M10" i="1" s="1"/>
  <c r="C28" i="10"/>
  <c r="M13" i="1" s="1"/>
  <c r="B21" i="10"/>
  <c r="L6" i="1" s="1"/>
  <c r="C21" i="10"/>
  <c r="M6" i="1" s="1"/>
  <c r="C20" i="10"/>
  <c r="M5" i="1" s="1"/>
  <c r="C29" i="10"/>
  <c r="M14" i="1" s="1"/>
  <c r="C24" i="10"/>
  <c r="M9" i="1" s="1"/>
  <c r="B29" i="10"/>
  <c r="L14" i="1" s="1"/>
  <c r="B121" i="6"/>
  <c r="Z25" i="7" s="1"/>
  <c r="C134" i="6"/>
  <c r="AA38" i="7" s="1"/>
  <c r="C118" i="6"/>
  <c r="AA22" i="7" s="1"/>
  <c r="C121" i="6"/>
  <c r="AA25" i="7" s="1"/>
  <c r="B120" i="15"/>
  <c r="X24" i="7" s="1"/>
  <c r="C145" i="15"/>
  <c r="Y49" i="7" s="1"/>
  <c r="C112" i="15"/>
  <c r="Y17" i="7" s="1"/>
  <c r="C108" i="15"/>
  <c r="Y13" i="7" s="1"/>
  <c r="D10" i="10"/>
  <c r="C10" i="10" s="1"/>
  <c r="B10" i="10"/>
  <c r="C112" i="10"/>
  <c r="M17" i="7" s="1"/>
  <c r="B145" i="10"/>
  <c r="L49" i="7" s="1"/>
  <c r="C109" i="15"/>
  <c r="Y14" i="7" s="1"/>
  <c r="C91" i="18"/>
  <c r="B137" i="6"/>
  <c r="Z41" i="7" s="1"/>
  <c r="C130" i="6"/>
  <c r="AA34" i="7" s="1"/>
  <c r="C119" i="6"/>
  <c r="AA23" i="7" s="1"/>
  <c r="C100" i="15"/>
  <c r="Y5" i="7" s="1"/>
  <c r="B101" i="15"/>
  <c r="X6" i="7" s="1"/>
  <c r="C128" i="15"/>
  <c r="Y32" i="7" s="1"/>
  <c r="B113" i="15"/>
  <c r="X18" i="7" s="1"/>
  <c r="C11" i="13"/>
</calcChain>
</file>

<file path=xl/sharedStrings.xml><?xml version="1.0" encoding="utf-8"?>
<sst xmlns="http://schemas.openxmlformats.org/spreadsheetml/2006/main" count="4170" uniqueCount="298">
  <si>
    <t>Serum</t>
  </si>
  <si>
    <t>Glucose infusion</t>
  </si>
  <si>
    <t>Lactate infusion</t>
  </si>
  <si>
    <t>Glutamine infusion</t>
  </si>
  <si>
    <t>Alanine Infusion</t>
  </si>
  <si>
    <t>Mean</t>
  </si>
  <si>
    <t>SEM</t>
  </si>
  <si>
    <t>Brain</t>
  </si>
  <si>
    <t>Muscle</t>
  </si>
  <si>
    <t>Kidney</t>
  </si>
  <si>
    <t>Liver</t>
  </si>
  <si>
    <t>Spleen</t>
  </si>
  <si>
    <t>Pancreas</t>
  </si>
  <si>
    <t>Lung</t>
  </si>
  <si>
    <t>Heart</t>
  </si>
  <si>
    <t>Small intestine</t>
  </si>
  <si>
    <t>Tissue malate</t>
  </si>
  <si>
    <t>Tissue succinate</t>
  </si>
  <si>
    <t>3HB infusion</t>
  </si>
  <si>
    <t>Palmitic acid infusion</t>
  </si>
  <si>
    <t>Oleic acid infusion</t>
  </si>
  <si>
    <t>Linoleic acid infusion</t>
  </si>
  <si>
    <t>Brown fat</t>
  </si>
  <si>
    <t>BCAAs</t>
  </si>
  <si>
    <t>6AAs</t>
  </si>
  <si>
    <t>Acetate infusion</t>
  </si>
  <si>
    <t>Citrate infusion</t>
  </si>
  <si>
    <t>BCAAs infusion</t>
  </si>
  <si>
    <t>6AAs infusion</t>
  </si>
  <si>
    <t>Glycerol infusion</t>
  </si>
  <si>
    <t>NaN</t>
  </si>
  <si>
    <t>Folder</t>
  </si>
  <si>
    <t>When</t>
  </si>
  <si>
    <t>Who</t>
  </si>
  <si>
    <t>Mouse</t>
  </si>
  <si>
    <t>State</t>
  </si>
  <si>
    <t>Infusate</t>
  </si>
  <si>
    <t>Concentration (mM)</t>
  </si>
  <si>
    <t>Rate (µl/min/g)</t>
  </si>
  <si>
    <t>SH</t>
  </si>
  <si>
    <t>M1</t>
  </si>
  <si>
    <t>fasted</t>
  </si>
  <si>
    <t>[U-13C]glycerol</t>
  </si>
  <si>
    <t>Enrichment</t>
  </si>
  <si>
    <t>Fcirc</t>
  </si>
  <si>
    <t>Machine</t>
  </si>
  <si>
    <t>20181001_GlycerolInfusion</t>
  </si>
  <si>
    <t>QE+</t>
  </si>
  <si>
    <t>20190425_GlycerolMeasurement_GlycerolInf</t>
  </si>
  <si>
    <t>Skin</t>
  </si>
  <si>
    <t>Note</t>
  </si>
  <si>
    <t>M4</t>
  </si>
  <si>
    <t>refed</t>
  </si>
  <si>
    <t>Avg C enrichment</t>
  </si>
  <si>
    <t>Avg. C enrichment</t>
  </si>
  <si>
    <t>N</t>
  </si>
  <si>
    <t>gWAT</t>
  </si>
  <si>
    <t>iWAT</t>
  </si>
  <si>
    <t>Bone</t>
  </si>
  <si>
    <t>Stomach</t>
  </si>
  <si>
    <t>glucose</t>
  </si>
  <si>
    <t>lactate</t>
  </si>
  <si>
    <t>glutamine</t>
  </si>
  <si>
    <t>alanine</t>
  </si>
  <si>
    <t>3-hydroxybutyrate</t>
  </si>
  <si>
    <t>palmitic acid</t>
  </si>
  <si>
    <t>oleic acid</t>
  </si>
  <si>
    <t>linoleic acid</t>
  </si>
  <si>
    <t>acetate</t>
  </si>
  <si>
    <t>citrate</t>
  </si>
  <si>
    <t>glycerol</t>
  </si>
  <si>
    <t>serine</t>
  </si>
  <si>
    <t>glycine</t>
  </si>
  <si>
    <t>M2</t>
  </si>
  <si>
    <t>20181114_GlycerolInfusion</t>
  </si>
  <si>
    <t>M3</t>
  </si>
  <si>
    <t>Seine infusion</t>
  </si>
  <si>
    <t>Glycine infusion</t>
  </si>
  <si>
    <t>20181121_GlycerolInfusion_refed</t>
  </si>
  <si>
    <t>2x</t>
  </si>
  <si>
    <t>20171114_6AAInfusion</t>
  </si>
  <si>
    <t>20190124_GlycerolMeasurement</t>
  </si>
  <si>
    <t>20190218_6AAsInfusion</t>
  </si>
  <si>
    <t>20190425_GlycerolMeasurement_6AAInf</t>
  </si>
  <si>
    <t>20180812_6AAsInfusion</t>
  </si>
  <si>
    <t>Exactive</t>
  </si>
  <si>
    <t>20190209_6AAsInfusion_refed</t>
  </si>
  <si>
    <t>20190215_6AAsInfusion_refed</t>
  </si>
  <si>
    <t>qexactiv/</t>
  </si>
  <si>
    <t>[U-13C]potassium linoleate</t>
  </si>
  <si>
    <t>M5</t>
  </si>
  <si>
    <t>20170924_LinoleateInfusion_watersoluble</t>
  </si>
  <si>
    <t>M6</t>
  </si>
  <si>
    <t>20171217_LinoleateInfusion_watersoluble</t>
  </si>
  <si>
    <t>20171009_LinoleateInfusion_watersoluble</t>
  </si>
  <si>
    <t>20191024_GlycerolMeasurement</t>
  </si>
  <si>
    <t>20180328_LinoleateInfusion</t>
  </si>
  <si>
    <t>20180405_LinoleateInfusion_serum</t>
  </si>
  <si>
    <t>QTOF</t>
  </si>
  <si>
    <t>20180326_FattyAcidsInfusion</t>
  </si>
  <si>
    <t>20170907_OleateInfusion_watersoluble</t>
  </si>
  <si>
    <t>[U-13C]sodium oleate</t>
  </si>
  <si>
    <t>20171001_OleateInfusion_watersoluble</t>
  </si>
  <si>
    <t>20180730_OleateInfusion_Serum</t>
  </si>
  <si>
    <t>20181201_OleatePalmitateInfusion_refed</t>
  </si>
  <si>
    <t>20190203_OleateInfusion_refed</t>
  </si>
  <si>
    <t>QE2</t>
  </si>
  <si>
    <t>[U-13C]sodium palmitate</t>
  </si>
  <si>
    <t>20170901_PalmitateInfusion</t>
  </si>
  <si>
    <t>20190117_PalmitateInfusion_refed</t>
  </si>
  <si>
    <t>20171001_PalmitateInfusion_fed_FFA</t>
  </si>
  <si>
    <t>20171029_PalmitateInfusion_FFA</t>
  </si>
  <si>
    <t>20180320_PalmitateInfusion</t>
  </si>
  <si>
    <t>XZ</t>
  </si>
  <si>
    <t>[U-13C]citric acid</t>
  </si>
  <si>
    <t>20180312_CitrateInfusion</t>
  </si>
  <si>
    <t>CB</t>
  </si>
  <si>
    <t>122118_293_citrateinf</t>
  </si>
  <si>
    <t>010918_citratefed</t>
  </si>
  <si>
    <t>011719_citratefed</t>
  </si>
  <si>
    <t>Thymus</t>
  </si>
  <si>
    <t>110418(HILIC nega 13C 3hydroxybutyrate fasted xz307-309)</t>
  </si>
  <si>
    <t>xz307</t>
  </si>
  <si>
    <t>[U-13C] 3-hydroxybutyrate</t>
  </si>
  <si>
    <t>xz308</t>
  </si>
  <si>
    <t>xz309</t>
  </si>
  <si>
    <t>xz387</t>
  </si>
  <si>
    <t>190330(HILIC nega xz375-386 13C inulin portal tail fast vs fed gavage); 190401(HILIC neg 13C 3-hydroxybutyrate fed state infusion xz387-389)</t>
  </si>
  <si>
    <t>xz388</t>
  </si>
  <si>
    <t>xz389</t>
  </si>
  <si>
    <t>somehow there is substantial M+18 oleic acid in tissues</t>
  </si>
  <si>
    <t>20190629_PalmitateInfusion</t>
  </si>
  <si>
    <t>TT</t>
  </si>
  <si>
    <t>ala1</t>
  </si>
  <si>
    <t>[U-13C]alanine</t>
  </si>
  <si>
    <t>20181113-alanine 1-2; 20181125-alanine 1-2</t>
  </si>
  <si>
    <t>ala2</t>
  </si>
  <si>
    <t>Soleus</t>
  </si>
  <si>
    <t>xz417</t>
  </si>
  <si>
    <t>xz418</t>
  </si>
  <si>
    <t>AC</t>
  </si>
  <si>
    <t>catheter might be partially blocked</t>
  </si>
  <si>
    <t>fed-ala1</t>
  </si>
  <si>
    <t>20181203-fed-alanine1-2</t>
  </si>
  <si>
    <t>fed-ala2</t>
  </si>
  <si>
    <t>fed-ala3</t>
  </si>
  <si>
    <t>20181230-serum-24hglycerol-fedalalact; 20181230-fed-ala-lact</t>
  </si>
  <si>
    <t>20160526_Ala_Gln_serum</t>
  </si>
  <si>
    <t>bad peaks for most metabolites</t>
  </si>
  <si>
    <t>AL</t>
  </si>
  <si>
    <t>20170913_BCAAinfusion</t>
  </si>
  <si>
    <t>Colon</t>
  </si>
  <si>
    <t>10 mM [U-13C]Val; 12 mM [U-13C]Leu;6 mM [U-13C]Ile</t>
  </si>
  <si>
    <t>40 mM [U-13C]Val; 48 mM [U-13C, 15N]Leu;24 mM [U-13C, 15N]Ile</t>
  </si>
  <si>
    <t>80 mM [U-13C]Val; 96 mM [U-13C, 15N]Leu;48 mM [U-13C, 15N]Ile</t>
  </si>
  <si>
    <t>20181212_Dec10_FastedInf_3LabBCAA_tissue</t>
  </si>
  <si>
    <t>10 mM [U-13C]Val; 12 mM [U-13C]Leu;6.75 mM [U-13C]Ile</t>
  </si>
  <si>
    <t>20181121-Refed</t>
  </si>
  <si>
    <t>20 mM [U-13C]Val; 24 mM [U-13C]Leu; 13.5 mM [U-13C]Ile</t>
  </si>
  <si>
    <t>20181210_Refed_TissueLab_Dec4Dec5</t>
  </si>
  <si>
    <t>20190301_3labeledBCAA_20mM_Refed</t>
  </si>
  <si>
    <t>110418(HILIC nega 13C acetate fasted xz209-210 251)</t>
  </si>
  <si>
    <t>xz209</t>
  </si>
  <si>
    <t>[U-13C]sodium acetate</t>
  </si>
  <si>
    <t>xz210</t>
  </si>
  <si>
    <t>xz338</t>
  </si>
  <si>
    <t>190208(HILIC nega 13C acetate fed infusion xz338-339)</t>
  </si>
  <si>
    <t>xz339</t>
  </si>
  <si>
    <t>xz357</t>
  </si>
  <si>
    <t>190314(HILIC neg 13C acetate fed state infusion xz357-358)</t>
  </si>
  <si>
    <t>xz358</t>
  </si>
  <si>
    <t>xz413</t>
  </si>
  <si>
    <t>[U-13C]serine</t>
  </si>
  <si>
    <t>190425(HILIC neg serum serine oleate infusion fruc iv xz413-417)</t>
  </si>
  <si>
    <t>xz414</t>
  </si>
  <si>
    <t>[U-13C]glucose</t>
  </si>
  <si>
    <t>20160701_GlcInfusion</t>
  </si>
  <si>
    <t>two biological samples were run for each tissue</t>
  </si>
  <si>
    <t>M7</t>
  </si>
  <si>
    <t>20160808_GlcInfusion</t>
  </si>
  <si>
    <t>M9</t>
  </si>
  <si>
    <t>20160818_GlcInfusion</t>
  </si>
  <si>
    <t>20160624_GlcInfusion_fastedvsfed</t>
  </si>
  <si>
    <t>20160928_GlcInfusion_fedvsfasted</t>
  </si>
  <si>
    <t>M8</t>
  </si>
  <si>
    <t>[U-13C]glutamine</t>
  </si>
  <si>
    <t>20160709_GlnInfusion</t>
  </si>
  <si>
    <t>20160831_GlnGlc5hr</t>
  </si>
  <si>
    <t>20170414_GlnInfusion_fed</t>
  </si>
  <si>
    <t>20170315_GlnInfusion_fed</t>
  </si>
  <si>
    <t>MB1</t>
  </si>
  <si>
    <t>20170430_AsnGlnInfusion_serum</t>
  </si>
  <si>
    <t>MB3</t>
  </si>
  <si>
    <t>SrTC5</t>
  </si>
  <si>
    <t>[U-13C]sodium lactate</t>
  </si>
  <si>
    <t>20160513_LacInfusion; 20160518_LacInfusion</t>
  </si>
  <si>
    <t>SrTC4</t>
  </si>
  <si>
    <t>20160716_LacInfusion_M5</t>
  </si>
  <si>
    <t>20160716_LacInfusion_M6</t>
  </si>
  <si>
    <t>M10</t>
  </si>
  <si>
    <t>20160730_LacInfusion</t>
  </si>
  <si>
    <t>20160818_LacInfusion</t>
  </si>
  <si>
    <t>20161027_LacInfusion_fed</t>
  </si>
  <si>
    <t>20161103_LacInfusion_fed</t>
  </si>
  <si>
    <t>20161115_LacInfusion_fed</t>
  </si>
  <si>
    <t>23NOV2018-3HB-KD-tissues</t>
  </si>
  <si>
    <t>gln1</t>
  </si>
  <si>
    <t>gln2</t>
  </si>
  <si>
    <t>glc2</t>
  </si>
  <si>
    <t>glc1</t>
  </si>
  <si>
    <t>lact1</t>
  </si>
  <si>
    <t>lact3</t>
  </si>
  <si>
    <t>lact4</t>
  </si>
  <si>
    <t>lact2</t>
  </si>
  <si>
    <t>20190106_Glycerol</t>
  </si>
  <si>
    <t>ala3</t>
  </si>
  <si>
    <t>glc3</t>
  </si>
  <si>
    <t>20181022_TT_Glycerol</t>
  </si>
  <si>
    <t>CJ</t>
  </si>
  <si>
    <t>083118(HILIC XS 13c-acetate inf tissue TCA Ace1-3)</t>
  </si>
  <si>
    <t>Ace1</t>
  </si>
  <si>
    <t>Ace2</t>
  </si>
  <si>
    <t>Ace3</t>
  </si>
  <si>
    <t>fed</t>
  </si>
  <si>
    <t>xz525</t>
  </si>
  <si>
    <t>xz526</t>
  </si>
  <si>
    <t>20190303_glycerolkinase;20190310-fed-gln1-pc2-3</t>
  </si>
  <si>
    <t>20190529-refed-serum (QE2); 20190520-refedgln3-4</t>
  </si>
  <si>
    <t>gln3</t>
  </si>
  <si>
    <t>gln4</t>
  </si>
  <si>
    <t>20190225-serum-fedglc2-3-glyc1-2-ala3-4 (QE2); 20190222-fed-glc1-2; 20190303_glycerolkinase (glycerol measurement)</t>
  </si>
  <si>
    <t>20190217-fed-lact2-3</t>
  </si>
  <si>
    <t>Lact2</t>
  </si>
  <si>
    <t>Lact3</t>
  </si>
  <si>
    <t>20181230-fed-ala-lact; 20181230-serum-24hglycerol-fedalalact (serum measurement); 20190106_Glycerol (glycerol measurement)</t>
  </si>
  <si>
    <t>xz434</t>
  </si>
  <si>
    <t>XZ; SH</t>
  </si>
  <si>
    <t>190516(HILIC neg 13C-serine fed state serum xz434-436); 20190719_SerInfusion_refed_fromXZ</t>
  </si>
  <si>
    <t>xz435</t>
  </si>
  <si>
    <t>xz436</t>
  </si>
  <si>
    <t>20190324-ala3-4 (serum); 20190325-ala3-4</t>
  </si>
  <si>
    <t>QE2; QE+</t>
  </si>
  <si>
    <t>03/xx/19</t>
  </si>
  <si>
    <t>ala4</t>
  </si>
  <si>
    <t>20190302-fed-glc1-glycr1-2; 20190225-serum-fedglc2-3-glyc1-2-ala3-4</t>
  </si>
  <si>
    <t>20190303_glycerolkinase</t>
  </si>
  <si>
    <t>QE+; QE2</t>
  </si>
  <si>
    <t>glyc1</t>
  </si>
  <si>
    <t>glyc2</t>
  </si>
  <si>
    <t>glyc3</t>
  </si>
  <si>
    <t>20190430-gln3-4-refedglyc3</t>
  </si>
  <si>
    <t>hilic serum result wasn't found</t>
  </si>
  <si>
    <t>ZZ</t>
  </si>
  <si>
    <t>20190427-refed-3hrs</t>
  </si>
  <si>
    <t>LAC1</t>
  </si>
  <si>
    <t>LAC2</t>
  </si>
  <si>
    <t>LAC3</t>
  </si>
  <si>
    <t>ACT1</t>
  </si>
  <si>
    <t>serum lactate enrichment is much lower than tissue lactate enrichment. use the portal vein enrichment instead</t>
  </si>
  <si>
    <t>ACT2</t>
  </si>
  <si>
    <t>ACT3</t>
  </si>
  <si>
    <t>SrTC1</t>
  </si>
  <si>
    <t>SrTC2</t>
  </si>
  <si>
    <t>190717(HILIC neg 13C-acetate Linoleate N-gln glc serum xz525-530); 190722(HILIC neg 13C-acetate infusion xz525-527 rerun)</t>
  </si>
  <si>
    <t>use the average enrichment for samples measured using QE</t>
  </si>
  <si>
    <t>[U-13C]glycine</t>
  </si>
  <si>
    <t>20190725_GlycineInfusion_refed</t>
  </si>
  <si>
    <t>20180406_LinoleateInfusion; 20190725_LinoleateInfusion_refed_serum (QE2)</t>
  </si>
  <si>
    <t>QE+, QE2</t>
  </si>
  <si>
    <t>072618(QE 10min TCA 13c-palmitate linoleate inf FA7-10)</t>
  </si>
  <si>
    <t>FA8</t>
  </si>
  <si>
    <t>FA10</t>
  </si>
  <si>
    <t>LW</t>
  </si>
  <si>
    <t>FA7</t>
  </si>
  <si>
    <t>FA9</t>
  </si>
  <si>
    <t>gWAT malate data from 6min method</t>
  </si>
  <si>
    <t>20190729-serum-MALDI-15N-Gln-13C-Linoleate (LW)</t>
  </si>
  <si>
    <t>very high infusion rate</t>
  </si>
  <si>
    <t>20FEB2019-linoleate-KD</t>
  </si>
  <si>
    <t>20190725_Glycerolmeasurement</t>
  </si>
  <si>
    <t>20190211-MALDI-serum-GlycerolKinase</t>
  </si>
  <si>
    <t>190204-Fed-Lac2-t2</t>
  </si>
  <si>
    <t>Tara-181228-Fed-Lac-t2</t>
  </si>
  <si>
    <t>Tara-20190204-FedLac3-t2</t>
  </si>
  <si>
    <t>Citrate-M1</t>
  </si>
  <si>
    <t>Citrate-M2</t>
  </si>
  <si>
    <t>190204-Fed-glc1-t2</t>
  </si>
  <si>
    <t>20190731_Glycerolmeasurement</t>
  </si>
  <si>
    <t>20190629_OleateInfusion_XZ; 20190731_Glycerolmeasurement (Exactive; SH)</t>
  </si>
  <si>
    <t>28MAY2019-oleate-and-palmitate-controls; 28MAY2019-oleate-and-palmitate-controls-2; 20190731_Glycerolmeasurement (Exactive; SH)</t>
  </si>
  <si>
    <t>place holder; not measured</t>
  </si>
  <si>
    <t>20190808_GlycineInfusion</t>
  </si>
  <si>
    <t>factor between Fcirc and Fcirc'</t>
  </si>
  <si>
    <t>QE</t>
  </si>
  <si>
    <t>20190325_3labeledBCAA_fasted</t>
  </si>
  <si>
    <t>tracer enrichment is very low</t>
  </si>
  <si>
    <t>why M1 not used?</t>
  </si>
  <si>
    <t>missing folder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</si>
</sst>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2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name val="Arial"/>
      <family val="2"/>
    </font>
    <font>
      <sz val="12"/>
      <color rgb="FF000000"/>
      <name val="Calibri"/>
      <family val="2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</font>
    <font>
      <sz val="12"/>
      <color rgb="FFFF0000"/>
      <name val="Calibri"/>
      <family val="2"/>
      <scheme val="minor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2"/>
      <name val="Calibri"/>
      <family val="2"/>
      <scheme val="minor"/>
    </font>
    <font>
      <sz val="13"/>
      <color theme="1"/>
      <name val="ArialMT"/>
    </font>
    <font>
      <sz val="12"/>
      <color rgb="FF00B050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rgb="FFC00000"/>
      <name val="Calibri"/>
      <family val="2"/>
      <scheme val="minor"/>
    </font>
    <font>
      <b/>
      <sz val="10"/>
      <color rgb="FF000000"/>
      <name val="Arial"/>
      <family val="2"/>
    </font>
    <font>
      <b/>
      <sz val="12"/>
      <color rgb="FFFF0000"/>
      <name val="Calibri"/>
      <family val="2"/>
      <scheme val="minor"/>
    </font>
    <font>
      <sz val="10"/>
      <color theme="1"/>
      <name val="Arial"/>
      <family val="2"/>
    </font>
    <font>
      <b/>
      <sz val="16"/>
      <color theme="0"/>
      <name val="Calibri"/>
      <family val="2"/>
      <scheme val="minor"/>
    </font>
    <font>
      <b/>
      <sz val="12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81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84">
    <xf numFmtId="0" fontId="0" fillId="0" borderId="0" xfId="0"/>
    <xf numFmtId="0" fontId="1" fillId="0" borderId="0" xfId="0" applyFont="1"/>
    <xf numFmtId="0" fontId="0" fillId="2" borderId="0" xfId="0" applyFill="1"/>
    <xf numFmtId="164" fontId="0" fillId="0" borderId="0" xfId="0" applyNumberFormat="1"/>
    <xf numFmtId="164" fontId="4" fillId="0" borderId="0" xfId="0" applyNumberFormat="1" applyFont="1"/>
    <xf numFmtId="0" fontId="0" fillId="3" borderId="0" xfId="0" applyFill="1"/>
    <xf numFmtId="0" fontId="1" fillId="3" borderId="0" xfId="0" applyFont="1" applyFill="1"/>
    <xf numFmtId="164" fontId="4" fillId="3" borderId="0" xfId="0" applyNumberFormat="1" applyFont="1" applyFill="1"/>
    <xf numFmtId="14" fontId="5" fillId="0" borderId="0" xfId="0" applyNumberFormat="1" applyFont="1"/>
    <xf numFmtId="0" fontId="5" fillId="0" borderId="0" xfId="0" applyFont="1"/>
    <xf numFmtId="0" fontId="0" fillId="0" borderId="0" xfId="0" applyAlignment="1">
      <alignment wrapText="1"/>
    </xf>
    <xf numFmtId="0" fontId="6" fillId="0" borderId="0" xfId="0" applyFont="1" applyAlignment="1">
      <alignment wrapText="1"/>
    </xf>
    <xf numFmtId="0" fontId="1" fillId="0" borderId="0" xfId="0" applyFont="1" applyAlignment="1">
      <alignment wrapText="1"/>
    </xf>
    <xf numFmtId="14" fontId="5" fillId="2" borderId="0" xfId="0" applyNumberFormat="1" applyFont="1" applyFill="1"/>
    <xf numFmtId="0" fontId="5" fillId="2" borderId="0" xfId="0" applyFont="1" applyFill="1"/>
    <xf numFmtId="11" fontId="0" fillId="0" borderId="0" xfId="0" applyNumberFormat="1"/>
    <xf numFmtId="0" fontId="7" fillId="2" borderId="0" xfId="0" applyFont="1" applyFill="1"/>
    <xf numFmtId="0" fontId="8" fillId="0" borderId="0" xfId="0" applyFont="1"/>
    <xf numFmtId="164" fontId="0" fillId="3" borderId="0" xfId="0" applyNumberFormat="1" applyFill="1"/>
    <xf numFmtId="0" fontId="9" fillId="0" borderId="0" xfId="0" applyFont="1"/>
    <xf numFmtId="0" fontId="9" fillId="0" borderId="0" xfId="0" applyFont="1" applyAlignment="1">
      <alignment wrapText="1"/>
    </xf>
    <xf numFmtId="1" fontId="0" fillId="0" borderId="0" xfId="0" applyNumberFormat="1"/>
    <xf numFmtId="165" fontId="1" fillId="0" borderId="0" xfId="0" applyNumberFormat="1" applyFont="1"/>
    <xf numFmtId="1" fontId="8" fillId="0" borderId="0" xfId="0" applyNumberFormat="1" applyFont="1"/>
    <xf numFmtId="164" fontId="1" fillId="0" borderId="0" xfId="0" applyNumberFormat="1" applyFont="1"/>
    <xf numFmtId="0" fontId="7" fillId="0" borderId="0" xfId="0" applyFont="1"/>
    <xf numFmtId="0" fontId="5" fillId="2" borderId="0" xfId="0" applyFont="1" applyFill="1" applyAlignment="1">
      <alignment wrapText="1"/>
    </xf>
    <xf numFmtId="0" fontId="6" fillId="0" borderId="0" xfId="0" applyFont="1"/>
    <xf numFmtId="0" fontId="10" fillId="2" borderId="0" xfId="0" applyFont="1" applyFill="1"/>
    <xf numFmtId="0" fontId="9" fillId="2" borderId="0" xfId="0" applyFont="1" applyFill="1"/>
    <xf numFmtId="11" fontId="8" fillId="0" borderId="0" xfId="0" applyNumberFormat="1" applyFont="1"/>
    <xf numFmtId="0" fontId="11" fillId="0" borderId="0" xfId="0" applyFont="1"/>
    <xf numFmtId="1" fontId="11" fillId="0" borderId="0" xfId="0" applyNumberFormat="1" applyFont="1"/>
    <xf numFmtId="0" fontId="0" fillId="0" borderId="0" xfId="0" applyAlignment="1">
      <alignment vertical="center" wrapText="1"/>
    </xf>
    <xf numFmtId="0" fontId="8" fillId="2" borderId="0" xfId="0" applyFont="1" applyFill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4" fillId="2" borderId="0" xfId="0" applyFont="1" applyFill="1" applyAlignment="1">
      <alignment wrapText="1"/>
    </xf>
    <xf numFmtId="0" fontId="10" fillId="0" borderId="0" xfId="0" applyFont="1"/>
    <xf numFmtId="0" fontId="14" fillId="0" borderId="0" xfId="0" applyFont="1" applyAlignment="1">
      <alignment wrapText="1"/>
    </xf>
    <xf numFmtId="164" fontId="6" fillId="0" borderId="0" xfId="0" applyNumberFormat="1" applyFont="1"/>
    <xf numFmtId="9" fontId="0" fillId="0" borderId="0" xfId="0" applyNumberFormat="1"/>
    <xf numFmtId="2" fontId="0" fillId="0" borderId="0" xfId="0" applyNumberFormat="1"/>
    <xf numFmtId="0" fontId="0" fillId="4" borderId="0" xfId="0" applyFill="1"/>
    <xf numFmtId="0" fontId="8" fillId="4" borderId="0" xfId="0" applyFont="1" applyFill="1"/>
    <xf numFmtId="164" fontId="0" fillId="4" borderId="0" xfId="0" applyNumberFormat="1" applyFill="1"/>
    <xf numFmtId="14" fontId="0" fillId="0" borderId="0" xfId="0" applyNumberFormat="1"/>
    <xf numFmtId="14" fontId="6" fillId="0" borderId="0" xfId="0" applyNumberFormat="1" applyFont="1" applyAlignment="1">
      <alignment wrapText="1"/>
    </xf>
    <xf numFmtId="10" fontId="0" fillId="0" borderId="0" xfId="0" applyNumberFormat="1"/>
    <xf numFmtId="0" fontId="15" fillId="2" borderId="0" xfId="0" applyFont="1" applyFill="1"/>
    <xf numFmtId="1" fontId="15" fillId="0" borderId="0" xfId="0" applyNumberFormat="1" applyFont="1"/>
    <xf numFmtId="0" fontId="15" fillId="0" borderId="0" xfId="0" applyFont="1"/>
    <xf numFmtId="0" fontId="0" fillId="2" borderId="0" xfId="0" applyFill="1" applyAlignment="1">
      <alignment wrapText="1"/>
    </xf>
    <xf numFmtId="0" fontId="0" fillId="5" borderId="0" xfId="0" applyFill="1"/>
    <xf numFmtId="164" fontId="0" fillId="5" borderId="0" xfId="0" applyNumberFormat="1" applyFill="1"/>
    <xf numFmtId="0" fontId="9" fillId="5" borderId="0" xfId="0" applyFont="1" applyFill="1"/>
    <xf numFmtId="0" fontId="11" fillId="2" borderId="0" xfId="0" applyFont="1" applyFill="1"/>
    <xf numFmtId="165" fontId="0" fillId="0" borderId="0" xfId="0" applyNumberFormat="1"/>
    <xf numFmtId="0" fontId="16" fillId="2" borderId="0" xfId="0" applyFont="1" applyFill="1"/>
    <xf numFmtId="0" fontId="1" fillId="6" borderId="0" xfId="0" applyFont="1" applyFill="1" applyAlignment="1">
      <alignment wrapText="1"/>
    </xf>
    <xf numFmtId="0" fontId="0" fillId="6" borderId="0" xfId="0" applyFill="1"/>
    <xf numFmtId="0" fontId="9" fillId="6" borderId="0" xfId="0" applyFont="1" applyFill="1" applyAlignment="1">
      <alignment wrapText="1"/>
    </xf>
    <xf numFmtId="0" fontId="0" fillId="6" borderId="0" xfId="0" applyFill="1" applyAlignment="1">
      <alignment wrapText="1"/>
    </xf>
    <xf numFmtId="0" fontId="6" fillId="6" borderId="0" xfId="0" applyFont="1" applyFill="1" applyAlignment="1">
      <alignment wrapText="1"/>
    </xf>
    <xf numFmtId="9" fontId="8" fillId="0" borderId="0" xfId="0" applyNumberFormat="1" applyFont="1"/>
    <xf numFmtId="10" fontId="8" fillId="0" borderId="0" xfId="0" applyNumberFormat="1" applyFont="1"/>
    <xf numFmtId="0" fontId="9" fillId="4" borderId="0" xfId="0" applyFont="1" applyFill="1"/>
    <xf numFmtId="0" fontId="9" fillId="4" borderId="0" xfId="0" applyFont="1" applyFill="1" applyAlignment="1">
      <alignment wrapText="1"/>
    </xf>
    <xf numFmtId="0" fontId="17" fillId="6" borderId="0" xfId="0" applyFont="1" applyFill="1"/>
    <xf numFmtId="0" fontId="18" fillId="4" borderId="0" xfId="0" applyFont="1" applyFill="1" applyAlignment="1">
      <alignment wrapText="1"/>
    </xf>
    <xf numFmtId="0" fontId="0" fillId="7" borderId="0" xfId="0" applyFill="1"/>
    <xf numFmtId="0" fontId="19" fillId="7" borderId="0" xfId="0" applyFont="1" applyFill="1"/>
    <xf numFmtId="0" fontId="6" fillId="4" borderId="0" xfId="0" applyFont="1" applyFill="1" applyAlignment="1">
      <alignment wrapText="1"/>
    </xf>
    <xf numFmtId="14" fontId="5" fillId="4" borderId="0" xfId="0" applyNumberFormat="1" applyFont="1" applyFill="1"/>
    <xf numFmtId="0" fontId="5" fillId="4" borderId="0" xfId="0" applyFont="1" applyFill="1"/>
    <xf numFmtId="0" fontId="10" fillId="4" borderId="0" xfId="0" applyFont="1" applyFill="1"/>
    <xf numFmtId="0" fontId="14" fillId="4" borderId="0" xfId="0" applyFont="1" applyFill="1" applyAlignment="1">
      <alignment wrapText="1"/>
    </xf>
    <xf numFmtId="0" fontId="17" fillId="4" borderId="0" xfId="0" applyFont="1" applyFill="1"/>
    <xf numFmtId="0" fontId="7" fillId="4" borderId="0" xfId="0" applyFont="1" applyFill="1"/>
    <xf numFmtId="0" fontId="1" fillId="4" borderId="0" xfId="0" applyFont="1" applyFill="1"/>
    <xf numFmtId="164" fontId="1" fillId="3" borderId="0" xfId="0" applyNumberFormat="1" applyFont="1" applyFill="1"/>
    <xf numFmtId="164" fontId="20" fillId="3" borderId="0" xfId="0" applyNumberFormat="1" applyFont="1" applyFill="1"/>
    <xf numFmtId="164" fontId="20" fillId="0" borderId="0" xfId="0" applyNumberFormat="1" applyFont="1"/>
  </cellXfs>
  <cellStyles count="81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E55"/>
  <sheetViews>
    <sheetView workbookViewId="0">
      <selection activeCell="A33" sqref="A33:XFD33"/>
    </sheetView>
  </sheetViews>
  <sheetFormatPr baseColWidth="10" defaultRowHeight="16"/>
  <cols>
    <col min="1" max="1" width="16.1640625" bestFit="1" customWidth="1"/>
    <col min="2" max="2" width="10.5" style="5" customWidth="1"/>
    <col min="3" max="3" width="6" style="5" customWidth="1"/>
    <col min="4" max="4" width="7.1640625" customWidth="1"/>
    <col min="5" max="5" width="9.6640625" customWidth="1"/>
    <col min="6" max="6" width="12.6640625" style="5" customWidth="1"/>
    <col min="7" max="7" width="7.83203125" style="5" customWidth="1"/>
    <col min="8" max="8" width="9.5" customWidth="1"/>
    <col min="9" max="9" width="7.33203125" customWidth="1"/>
    <col min="10" max="10" width="10.83203125" style="5"/>
    <col min="11" max="11" width="5.83203125" style="5" customWidth="1"/>
    <col min="13" max="13" width="7.33203125" customWidth="1"/>
    <col min="14" max="15" width="10.83203125" style="5"/>
    <col min="18" max="18" width="10.83203125" style="5"/>
    <col min="19" max="19" width="6.5" style="5" customWidth="1"/>
    <col min="21" max="21" width="7.1640625" customWidth="1"/>
    <col min="22" max="22" width="10.83203125" style="5"/>
    <col min="23" max="23" width="6" style="5" customWidth="1"/>
    <col min="25" max="25" width="6.33203125" customWidth="1"/>
    <col min="26" max="27" width="10.83203125" style="5"/>
    <col min="30" max="31" width="10.83203125" style="5"/>
  </cols>
  <sheetData>
    <row r="1" spans="1:31" s="1" customFormat="1">
      <c r="B1" s="6" t="s">
        <v>1</v>
      </c>
      <c r="C1" s="6"/>
      <c r="D1" s="1" t="s">
        <v>2</v>
      </c>
      <c r="F1" s="6" t="s">
        <v>3</v>
      </c>
      <c r="G1" s="6"/>
      <c r="H1" s="1" t="s">
        <v>4</v>
      </c>
      <c r="J1" s="6" t="s">
        <v>18</v>
      </c>
      <c r="K1" s="6"/>
      <c r="L1" s="1" t="s">
        <v>19</v>
      </c>
      <c r="N1" s="6" t="s">
        <v>20</v>
      </c>
      <c r="O1" s="6"/>
      <c r="P1" s="1" t="s">
        <v>21</v>
      </c>
      <c r="R1" s="6" t="s">
        <v>76</v>
      </c>
      <c r="S1" s="6"/>
      <c r="T1" s="1" t="s">
        <v>77</v>
      </c>
      <c r="V1" s="6" t="s">
        <v>26</v>
      </c>
      <c r="W1" s="6"/>
      <c r="X1" s="1" t="s">
        <v>25</v>
      </c>
      <c r="Z1" s="6" t="s">
        <v>29</v>
      </c>
      <c r="AA1" s="6"/>
      <c r="AB1" s="1" t="s">
        <v>27</v>
      </c>
      <c r="AD1" s="6" t="s">
        <v>28</v>
      </c>
      <c r="AE1" s="6"/>
    </row>
    <row r="2" spans="1:31">
      <c r="B2" s="5" t="s">
        <v>5</v>
      </c>
      <c r="C2" s="5" t="s">
        <v>6</v>
      </c>
      <c r="D2" t="s">
        <v>5</v>
      </c>
      <c r="E2" t="s">
        <v>6</v>
      </c>
      <c r="F2" s="5" t="s">
        <v>5</v>
      </c>
      <c r="G2" s="5" t="s">
        <v>6</v>
      </c>
      <c r="H2" t="s">
        <v>5</v>
      </c>
      <c r="I2" t="s">
        <v>6</v>
      </c>
      <c r="J2" s="5" t="s">
        <v>5</v>
      </c>
      <c r="K2" s="5" t="s">
        <v>6</v>
      </c>
      <c r="L2" t="s">
        <v>5</v>
      </c>
      <c r="M2" t="s">
        <v>6</v>
      </c>
      <c r="N2" s="5" t="s">
        <v>5</v>
      </c>
      <c r="O2" s="5" t="s">
        <v>6</v>
      </c>
      <c r="P2" t="s">
        <v>5</v>
      </c>
      <c r="Q2" t="s">
        <v>6</v>
      </c>
      <c r="R2" s="5" t="s">
        <v>5</v>
      </c>
      <c r="S2" s="5" t="s">
        <v>6</v>
      </c>
      <c r="T2" t="s">
        <v>5</v>
      </c>
      <c r="U2" t="s">
        <v>6</v>
      </c>
      <c r="V2" s="5" t="s">
        <v>5</v>
      </c>
      <c r="W2" s="5" t="s">
        <v>6</v>
      </c>
      <c r="X2" t="s">
        <v>5</v>
      </c>
      <c r="Y2" t="s">
        <v>6</v>
      </c>
      <c r="Z2" s="5" t="s">
        <v>5</v>
      </c>
      <c r="AA2" s="5" t="s">
        <v>6</v>
      </c>
      <c r="AB2" t="s">
        <v>5</v>
      </c>
      <c r="AC2" t="s">
        <v>6</v>
      </c>
      <c r="AD2" t="s">
        <v>5</v>
      </c>
      <c r="AE2" t="s">
        <v>6</v>
      </c>
    </row>
    <row r="3" spans="1:31">
      <c r="A3" s="1" t="s">
        <v>0</v>
      </c>
    </row>
    <row r="4" spans="1:31">
      <c r="A4" t="s">
        <v>60</v>
      </c>
      <c r="B4" s="18">
        <f>Glucose!B19</f>
        <v>1</v>
      </c>
      <c r="C4" s="18">
        <f>Glucose!C19</f>
        <v>2.2032872108515764E-2</v>
      </c>
      <c r="D4" s="3">
        <f>Lactate!B19</f>
        <v>0.28711972212319509</v>
      </c>
      <c r="E4" s="3">
        <f>Lactate!C19</f>
        <v>3.8587615754874592E-2</v>
      </c>
      <c r="F4" s="18">
        <f>Glutamine!B19</f>
        <v>6.4880126086291984E-2</v>
      </c>
      <c r="G4" s="18">
        <f>Glutamine!C19</f>
        <v>7.7764139130578839E-3</v>
      </c>
      <c r="H4" s="3">
        <f>Alanine!B19</f>
        <v>0.19798248274006544</v>
      </c>
      <c r="I4" s="3">
        <f>Alanine!C19</f>
        <v>2.4143090761754651E-2</v>
      </c>
      <c r="J4" s="18">
        <f>'3HB'!B19</f>
        <v>2.7422258394168238E-2</v>
      </c>
      <c r="K4" s="18">
        <f>'3HB'!C19</f>
        <v>5.4043152795315618E-3</v>
      </c>
      <c r="L4" s="3">
        <f>Palmitate!B19</f>
        <v>3.4488788518427703E-2</v>
      </c>
      <c r="M4" s="3">
        <f>Palmitate!C19</f>
        <v>7.9642209846792541E-3</v>
      </c>
      <c r="N4" s="7">
        <f>Oleate!B19</f>
        <v>4.7279587145348301E-2</v>
      </c>
      <c r="O4" s="7">
        <f>Oleate!C19</f>
        <v>1.1719734699519502E-2</v>
      </c>
      <c r="P4" s="4">
        <f>Linoleate!B19</f>
        <v>8.3047278082189396E-2</v>
      </c>
      <c r="Q4" s="4">
        <f>Linoleate!C19</f>
        <v>1.749902571601164E-2</v>
      </c>
      <c r="R4" s="7">
        <f>Serine!B19</f>
        <v>1.5827762149765855E-2</v>
      </c>
      <c r="S4" s="7">
        <f>Serine!C19</f>
        <v>1.8707165761671111E-3</v>
      </c>
      <c r="T4" s="3">
        <f>Glycine!B19</f>
        <v>5.7040408263869663E-3</v>
      </c>
      <c r="U4" s="3">
        <f>Glycine!C19</f>
        <v>1.645279294596202E-4</v>
      </c>
      <c r="V4" s="18">
        <f>Citrate!B19</f>
        <v>3.2813108394642514E-2</v>
      </c>
      <c r="W4" s="18">
        <f>Citrate!C19</f>
        <v>5.3539999114710799E-3</v>
      </c>
      <c r="X4" s="3">
        <f>Acetate!B19</f>
        <v>1.5804595590831964E-2</v>
      </c>
      <c r="Y4" s="3">
        <f>Acetate!C19</f>
        <v>2.0742474226141481E-3</v>
      </c>
      <c r="Z4" s="18">
        <f>Glycerol!B19</f>
        <v>0.34882156590009372</v>
      </c>
      <c r="AA4" s="18">
        <f>Glycerol!C19</f>
        <v>5.75918475676915E-2</v>
      </c>
      <c r="AB4" s="3">
        <f>BCAAs!B19</f>
        <v>6.8492865251899258E-3</v>
      </c>
      <c r="AC4" s="3">
        <f>BCAAs!C19</f>
        <v>1.439714414780435E-3</v>
      </c>
      <c r="AD4" s="18">
        <f>'6AAs'!B19</f>
        <v>9.9326995280379117E-3</v>
      </c>
      <c r="AE4" s="18">
        <f>'6AAs'!C19</f>
        <v>8.1778094476649523E-4</v>
      </c>
    </row>
    <row r="5" spans="1:31">
      <c r="A5" t="s">
        <v>61</v>
      </c>
      <c r="B5" s="18">
        <f>Glucose!B20</f>
        <v>0.64790843456567537</v>
      </c>
      <c r="C5" s="18">
        <f>Glucose!C20</f>
        <v>1.7780970163920898E-2</v>
      </c>
      <c r="D5" s="3">
        <f>Lactate!B20</f>
        <v>1</v>
      </c>
      <c r="E5" s="3">
        <f>Lactate!C20</f>
        <v>5.0907085294362176E-17</v>
      </c>
      <c r="F5" s="18">
        <f>Glutamine!B20</f>
        <v>5.5569964313547951E-2</v>
      </c>
      <c r="G5" s="18">
        <f>Glutamine!C20</f>
        <v>5.4639647271454081E-3</v>
      </c>
      <c r="H5" s="3">
        <f>Alanine!B20</f>
        <v>0.21608123089021208</v>
      </c>
      <c r="I5" s="3">
        <f>Alanine!C20</f>
        <v>1.6244571212990076E-2</v>
      </c>
      <c r="J5" s="18">
        <f>'3HB'!B20</f>
        <v>2.4499840142166412E-2</v>
      </c>
      <c r="K5" s="18">
        <f>'3HB'!C20</f>
        <v>5.7172150000844926E-3</v>
      </c>
      <c r="L5" s="3">
        <f>Palmitate!B20</f>
        <v>2.8673069106954087E-2</v>
      </c>
      <c r="M5" s="3">
        <f>Palmitate!C20</f>
        <v>4.6820574795154082E-3</v>
      </c>
      <c r="N5" s="7">
        <f>Oleate!B20</f>
        <v>9.3401089460101935E-2</v>
      </c>
      <c r="O5" s="7">
        <f>Oleate!C20</f>
        <v>2.7573954957447962E-2</v>
      </c>
      <c r="P5" s="4">
        <f>Linoleate!B20</f>
        <v>9.4258412256757268E-2</v>
      </c>
      <c r="Q5" s="4">
        <f>Linoleate!C20</f>
        <v>1.6453090123654382E-2</v>
      </c>
      <c r="R5" s="7">
        <f>Serine!B20</f>
        <v>3.0673073397547362E-2</v>
      </c>
      <c r="S5" s="7">
        <f>Serine!C20</f>
        <v>2.5491652060023354E-2</v>
      </c>
      <c r="T5" s="3">
        <f>Glycine!B20</f>
        <v>8.0060356037656173E-3</v>
      </c>
      <c r="U5" s="3">
        <f>Glycine!C20</f>
        <v>1.2108999629798359E-3</v>
      </c>
      <c r="V5" s="18">
        <f>Citrate!B20</f>
        <v>2.3710617283659172E-2</v>
      </c>
      <c r="W5" s="18">
        <f>Citrate!C20</f>
        <v>1.1057455716147158E-3</v>
      </c>
      <c r="X5" s="3">
        <f>Acetate!B20</f>
        <v>1.6317965916386169E-2</v>
      </c>
      <c r="Y5" s="3">
        <f>Acetate!C20</f>
        <v>2.7282918631984158E-3</v>
      </c>
      <c r="Z5" s="18">
        <f>Glycerol!B20</f>
        <v>0.24734321087925304</v>
      </c>
      <c r="AA5" s="18">
        <f>Glycerol!C20</f>
        <v>3.1306849450874023E-2</v>
      </c>
      <c r="AB5" s="3">
        <f>BCAAs!B20</f>
        <v>1.1731304836083334E-2</v>
      </c>
      <c r="AC5" s="3">
        <f>BCAAs!C20</f>
        <v>3.5329345083844109E-4</v>
      </c>
      <c r="AD5" s="18">
        <f>'6AAs'!B20</f>
        <v>1.6036684239645861E-2</v>
      </c>
      <c r="AE5" s="18">
        <f>'6AAs'!C20</f>
        <v>4.0692361065773914E-3</v>
      </c>
    </row>
    <row r="6" spans="1:31">
      <c r="A6" t="s">
        <v>62</v>
      </c>
      <c r="B6" s="18">
        <f>Glucose!B21</f>
        <v>0.12237446148488847</v>
      </c>
      <c r="C6" s="18">
        <f>Glucose!C21</f>
        <v>1.0740744973081877E-2</v>
      </c>
      <c r="D6" s="3">
        <f>Lactate!B21</f>
        <v>0.24343369088733188</v>
      </c>
      <c r="E6" s="3">
        <f>Lactate!C21</f>
        <v>1.5981670284199598E-2</v>
      </c>
      <c r="F6" s="18">
        <f>Glutamine!B21</f>
        <v>1</v>
      </c>
      <c r="G6" s="18">
        <f>Glutamine!C21</f>
        <v>0</v>
      </c>
      <c r="H6" s="3">
        <f>Alanine!B21</f>
        <v>7.7417373794485045E-2</v>
      </c>
      <c r="I6" s="3">
        <f>Alanine!C21</f>
        <v>1.1516131479017432E-2</v>
      </c>
      <c r="J6" s="18">
        <f>'3HB'!B21</f>
        <v>3.9662529918358939E-2</v>
      </c>
      <c r="K6" s="18">
        <f>'3HB'!C21</f>
        <v>5.867948250059654E-3</v>
      </c>
      <c r="L6" s="3">
        <f>Palmitate!B21</f>
        <v>6.21586726782027E-2</v>
      </c>
      <c r="M6" s="3">
        <f>Palmitate!C21</f>
        <v>7.2655165795043834E-3</v>
      </c>
      <c r="N6" s="7">
        <f>Oleate!B21</f>
        <v>9.5851213509088956E-2</v>
      </c>
      <c r="O6" s="7">
        <f>Oleate!C21</f>
        <v>1.0611912058141848E-2</v>
      </c>
      <c r="P6" s="4">
        <f>Linoleate!B21</f>
        <v>0.14034472689955477</v>
      </c>
      <c r="Q6" s="4">
        <f>Linoleate!C21</f>
        <v>1.1950887900297434E-2</v>
      </c>
      <c r="R6" s="7">
        <f>Serine!B21</f>
        <v>1.1697398288807404E-4</v>
      </c>
      <c r="S6" s="7">
        <f>Serine!C21</f>
        <v>1.1697398288807404E-4</v>
      </c>
      <c r="T6" s="3">
        <f>Glycine!B21</f>
        <v>4.0809891531207246E-3</v>
      </c>
      <c r="U6" s="3">
        <f>Glycine!C21</f>
        <v>1.1344625524840632E-5</v>
      </c>
      <c r="V6" s="18">
        <f>Citrate!B21</f>
        <v>2.3720332511547676E-2</v>
      </c>
      <c r="W6" s="18">
        <f>Citrate!C21</f>
        <v>1.7429740644683549E-3</v>
      </c>
      <c r="X6" s="3">
        <f>Acetate!B21</f>
        <v>2.5758264540648189E-2</v>
      </c>
      <c r="Y6" s="3">
        <f>Acetate!C21</f>
        <v>8.2269821467277696E-3</v>
      </c>
      <c r="Z6" s="18">
        <f>Glycerol!B21</f>
        <v>3.7771838057140315E-2</v>
      </c>
      <c r="AA6" s="18">
        <f>Glycerol!C21</f>
        <v>3.8787285642943301E-3</v>
      </c>
      <c r="AB6" s="3">
        <f>BCAAs!B21</f>
        <v>1.4597735330527216E-2</v>
      </c>
      <c r="AC6" s="3">
        <f>BCAAs!C21</f>
        <v>2.1598771271834657E-3</v>
      </c>
      <c r="AD6" s="18">
        <f>'6AAs'!B21</f>
        <v>1.5198042003032805E-2</v>
      </c>
      <c r="AE6" s="18">
        <f>'6AAs'!C21</f>
        <v>2.0949722765222899E-3</v>
      </c>
    </row>
    <row r="7" spans="1:31">
      <c r="A7" t="s">
        <v>63</v>
      </c>
      <c r="B7" s="18">
        <f>Glucose!B22</f>
        <v>0.44702171079025027</v>
      </c>
      <c r="C7" s="18">
        <f>Glucose!C22</f>
        <v>1.4909844519505775E-2</v>
      </c>
      <c r="D7" s="3">
        <f>Lactate!B22</f>
        <v>0.57315637645802575</v>
      </c>
      <c r="E7" s="3">
        <f>Lactate!C22</f>
        <v>7.7682825135341679E-2</v>
      </c>
      <c r="F7" s="18">
        <f>Glutamine!B22</f>
        <v>3.726890034842617E-2</v>
      </c>
      <c r="G7" s="18">
        <f>Glutamine!C22</f>
        <v>4.5030804668286847E-3</v>
      </c>
      <c r="H7" s="3">
        <f>Alanine!B22</f>
        <v>1</v>
      </c>
      <c r="I7" s="3">
        <f>Alanine!C22</f>
        <v>0</v>
      </c>
      <c r="J7" s="18">
        <f>'3HB'!B22</f>
        <v>7.9163286015847766E-4</v>
      </c>
      <c r="K7" s="18">
        <f>'3HB'!C22</f>
        <v>5.1638826821717113E-4</v>
      </c>
      <c r="L7" s="3">
        <f>Palmitate!B22</f>
        <v>1.130207998339783E-2</v>
      </c>
      <c r="M7" s="3">
        <f>Palmitate!C22</f>
        <v>4.6681153603991095E-3</v>
      </c>
      <c r="N7" s="7">
        <f>Oleate!B22</f>
        <v>4.6499527791584269E-2</v>
      </c>
      <c r="O7" s="7">
        <f>Oleate!C22</f>
        <v>1.0885413928916871E-2</v>
      </c>
      <c r="P7" s="4">
        <f>Linoleate!B22</f>
        <v>3.9384869934344771E-2</v>
      </c>
      <c r="Q7" s="4">
        <f>Linoleate!C22</f>
        <v>1.1447347230544023E-2</v>
      </c>
      <c r="R7" s="7">
        <f>Serine!B22</f>
        <v>2.3948943062999306E-3</v>
      </c>
      <c r="S7" s="7">
        <f>Serine!C22</f>
        <v>1.238072342905587E-3</v>
      </c>
      <c r="T7" s="3">
        <f>Glycine!B22</f>
        <v>2.1865987005547451E-2</v>
      </c>
      <c r="U7" s="3">
        <f>Glycine!C22</f>
        <v>1.14368466856668E-4</v>
      </c>
      <c r="V7" s="18">
        <f>Citrate!B22</f>
        <v>8.089539222799107E-3</v>
      </c>
      <c r="W7" s="18">
        <f>Citrate!C22</f>
        <v>1.9070690593851554E-3</v>
      </c>
      <c r="X7" s="3">
        <f>Acetate!B22</f>
        <v>1.8428355326112079E-3</v>
      </c>
      <c r="Y7" s="3">
        <f>Acetate!C22</f>
        <v>1.0499617426987789E-3</v>
      </c>
      <c r="Z7" s="18">
        <f>Glycerol!B22</f>
        <v>0.13531248610823696</v>
      </c>
      <c r="AA7" s="18">
        <f>Glycerol!C22</f>
        <v>4.543869822680717E-2</v>
      </c>
      <c r="AB7" s="3">
        <f>BCAAs!B22</f>
        <v>1.4927405296399854E-2</v>
      </c>
      <c r="AC7" s="3">
        <f>BCAAs!C22</f>
        <v>7.2778937847703343E-3</v>
      </c>
      <c r="AD7" s="18">
        <f>'6AAs'!B22</f>
        <v>2.2915996082284441E-2</v>
      </c>
      <c r="AE7" s="18">
        <f>'6AAs'!C22</f>
        <v>7.311378007688025E-3</v>
      </c>
    </row>
    <row r="8" spans="1:31">
      <c r="A8" t="s">
        <v>64</v>
      </c>
      <c r="B8" s="18">
        <f>Glucose!B23</f>
        <v>6.8719553491184762E-3</v>
      </c>
      <c r="C8" s="18">
        <f>Glucose!C23</f>
        <v>2.0126254568460589E-3</v>
      </c>
      <c r="D8" s="3">
        <f>Lactate!B23</f>
        <v>1.035596572005033E-2</v>
      </c>
      <c r="E8" s="3">
        <f>Lactate!C23</f>
        <v>3.1879040372342505E-3</v>
      </c>
      <c r="F8" s="18">
        <f>Glutamine!B23</f>
        <v>1.8664053213492495E-3</v>
      </c>
      <c r="G8" s="18">
        <f>Glutamine!C23</f>
        <v>3.943306961426126E-4</v>
      </c>
      <c r="H8" s="3">
        <f>Alanine!B23</f>
        <v>0</v>
      </c>
      <c r="I8" s="3">
        <f>Alanine!C23</f>
        <v>0</v>
      </c>
      <c r="J8" s="18">
        <f>'3HB'!B23</f>
        <v>1</v>
      </c>
      <c r="K8" s="18">
        <f>'3HB'!C23</f>
        <v>0</v>
      </c>
      <c r="L8" s="3">
        <f>Palmitate!B23</f>
        <v>0.16948041143632023</v>
      </c>
      <c r="M8" s="3">
        <f>Palmitate!C23</f>
        <v>2.8635724812562241E-2</v>
      </c>
      <c r="N8" s="7">
        <f>Oleate!B23</f>
        <v>0.22609600237714528</v>
      </c>
      <c r="O8" s="7">
        <f>Oleate!C23</f>
        <v>2.3086020375177079E-2</v>
      </c>
      <c r="P8" s="4">
        <f>Linoleate!B23</f>
        <v>0.31594964470752857</v>
      </c>
      <c r="Q8" s="4">
        <f>Linoleate!C23</f>
        <v>3.1034239077269966E-2</v>
      </c>
      <c r="R8" s="7">
        <f>Serine!B23</f>
        <v>2.3420639078051335E-4</v>
      </c>
      <c r="S8" s="7">
        <f>Serine!C23</f>
        <v>2.3420639078051335E-4</v>
      </c>
      <c r="T8" s="3">
        <f>Glycine!B23</f>
        <v>2.5638423594697363E-3</v>
      </c>
      <c r="U8" s="3">
        <f>Glycine!C23</f>
        <v>2.5638423594697359E-3</v>
      </c>
      <c r="V8" s="18">
        <f>Citrate!B23</f>
        <v>1.200868821746652E-3</v>
      </c>
      <c r="W8" s="18">
        <f>Citrate!C23</f>
        <v>5.9854090829584386E-4</v>
      </c>
      <c r="X8" s="3">
        <f>Acetate!B23</f>
        <v>8.5043384900989547E-3</v>
      </c>
      <c r="Y8" s="3">
        <f>Acetate!C23</f>
        <v>2.998092191188646E-3</v>
      </c>
      <c r="Z8" s="18">
        <f>Glycerol!B23</f>
        <v>2.5754905556574365E-3</v>
      </c>
      <c r="AA8" s="18">
        <f>Glycerol!C23</f>
        <v>1.4890871254314465E-3</v>
      </c>
      <c r="AB8" s="3">
        <f>BCAAs!B23</f>
        <v>2.639060671719147E-2</v>
      </c>
      <c r="AC8" s="3">
        <f>BCAAs!C23</f>
        <v>4.0272721349513766E-3</v>
      </c>
      <c r="AD8" s="18">
        <f>'6AAs'!B23</f>
        <v>2.2700309021163594E-2</v>
      </c>
      <c r="AE8" s="18">
        <f>'6AAs'!C23</f>
        <v>6.7919153373181907E-3</v>
      </c>
    </row>
    <row r="9" spans="1:31">
      <c r="A9" t="s">
        <v>65</v>
      </c>
      <c r="B9" s="18">
        <f>Glucose!B24</f>
        <v>7.5895517910307838E-5</v>
      </c>
      <c r="C9" s="18">
        <f>Glucose!C24</f>
        <v>4.156760087140766E-5</v>
      </c>
      <c r="D9" s="3">
        <f>Lactate!B24</f>
        <v>1.2146901707330163E-3</v>
      </c>
      <c r="E9" s="3">
        <f>Lactate!C24</f>
        <v>1.2146901707330163E-3</v>
      </c>
      <c r="F9" s="18">
        <f>Glutamine!B24</f>
        <v>0</v>
      </c>
      <c r="G9" s="18">
        <f>Glutamine!C24</f>
        <v>0</v>
      </c>
      <c r="H9" s="3">
        <f>Alanine!B24</f>
        <v>2.0187744067287478E-5</v>
      </c>
      <c r="I9" s="3">
        <f>Alanine!C24</f>
        <v>2.0187744067287478E-5</v>
      </c>
      <c r="J9" s="18">
        <f>'3HB'!B24</f>
        <v>0</v>
      </c>
      <c r="K9" s="18">
        <f>'3HB'!C24</f>
        <v>0</v>
      </c>
      <c r="L9" s="3">
        <f>Palmitate!B24</f>
        <v>1</v>
      </c>
      <c r="M9" s="3">
        <f>Palmitate!C24</f>
        <v>0</v>
      </c>
      <c r="N9" s="7">
        <f>Oleate!B24</f>
        <v>1.9584966995929849E-4</v>
      </c>
      <c r="O9" s="7">
        <f>Oleate!C24</f>
        <v>1.5754895345654308E-4</v>
      </c>
      <c r="P9" s="4">
        <f>Linoleate!B24</f>
        <v>4.0970928283692691E-4</v>
      </c>
      <c r="Q9" s="4">
        <f>Linoleate!C24</f>
        <v>2.0421033214672836E-4</v>
      </c>
      <c r="R9" s="7">
        <f>Serine!B24</f>
        <v>0</v>
      </c>
      <c r="S9" s="7">
        <f>Serine!C24</f>
        <v>0</v>
      </c>
      <c r="T9" s="3">
        <f>Glycine!B24</f>
        <v>0</v>
      </c>
      <c r="U9" s="3">
        <f>Glycine!C24</f>
        <v>0</v>
      </c>
      <c r="V9" s="18">
        <f>Citrate!B24</f>
        <v>1.459776907675065E-4</v>
      </c>
      <c r="W9" s="18">
        <f>Citrate!C24</f>
        <v>1.3866627217356072E-4</v>
      </c>
      <c r="X9" s="3">
        <f>Acetate!B24</f>
        <v>2.7647743696082659E-4</v>
      </c>
      <c r="Y9" s="3">
        <f>Acetate!C24</f>
        <v>1.2830359073738077E-4</v>
      </c>
      <c r="Z9" s="18">
        <f>Glycerol!B24</f>
        <v>9.9057931413900594E-4</v>
      </c>
      <c r="AA9" s="18">
        <f>Glycerol!C24</f>
        <v>8.5534291803749144E-4</v>
      </c>
      <c r="AB9" s="3">
        <f>BCAAs!B24</f>
        <v>0</v>
      </c>
      <c r="AC9" s="3">
        <f>BCAAs!C24</f>
        <v>0</v>
      </c>
      <c r="AD9" s="18">
        <f>'6AAs'!B24</f>
        <v>1.5657142857142855E-4</v>
      </c>
      <c r="AE9" s="18">
        <f>'6AAs'!C24</f>
        <v>1.5657142857142858E-4</v>
      </c>
    </row>
    <row r="10" spans="1:31">
      <c r="A10" t="s">
        <v>66</v>
      </c>
      <c r="B10" s="18">
        <f>Glucose!B25</f>
        <v>1.240860218339604E-4</v>
      </c>
      <c r="C10" s="18">
        <f>Glucose!C25</f>
        <v>6.4894752422716857E-5</v>
      </c>
      <c r="D10" s="3">
        <f>Lactate!B25</f>
        <v>2.8767447982308862E-4</v>
      </c>
      <c r="E10" s="3">
        <f>Lactate!C25</f>
        <v>6.591572487730489E-5</v>
      </c>
      <c r="F10" s="18">
        <f>Glutamine!B25</f>
        <v>2.4124686566525397E-4</v>
      </c>
      <c r="G10" s="18">
        <f>Glutamine!C25</f>
        <v>1.7765491612794075E-4</v>
      </c>
      <c r="H10" s="3">
        <f>Alanine!B25</f>
        <v>6.1947115384615377E-5</v>
      </c>
      <c r="I10" s="3">
        <f>Alanine!C25</f>
        <v>6.1947115384615377E-5</v>
      </c>
      <c r="J10" s="18">
        <f>'3HB'!B25</f>
        <v>0</v>
      </c>
      <c r="K10" s="18">
        <f>'3HB'!C25</f>
        <v>0</v>
      </c>
      <c r="L10" s="3">
        <f>Palmitate!B25</f>
        <v>2.6361854400502515E-3</v>
      </c>
      <c r="M10" s="3">
        <f>Palmitate!C25</f>
        <v>1.8971580364583844E-3</v>
      </c>
      <c r="N10" s="7">
        <f>Oleate!B25</f>
        <v>1</v>
      </c>
      <c r="O10" s="7">
        <f>Oleate!C25</f>
        <v>0</v>
      </c>
      <c r="P10" s="4">
        <f>Linoleate!B25</f>
        <v>4.4265357930546815E-3</v>
      </c>
      <c r="Q10" s="4">
        <f>Linoleate!C25</f>
        <v>1.6205425691195095E-3</v>
      </c>
      <c r="R10" s="7">
        <f>Serine!B25</f>
        <v>3.4899002485692292E-4</v>
      </c>
      <c r="S10" s="7">
        <f>Serine!C25</f>
        <v>5.2686245441662711E-5</v>
      </c>
      <c r="T10" s="3">
        <f>Glycine!B25</f>
        <v>0</v>
      </c>
      <c r="U10" s="3">
        <f>Glycine!C25</f>
        <v>0</v>
      </c>
      <c r="V10" s="18">
        <f>Citrate!B25</f>
        <v>2.7748771973184222E-5</v>
      </c>
      <c r="W10" s="18">
        <f>Citrate!C25</f>
        <v>2.7748771973184222E-5</v>
      </c>
      <c r="X10" s="3">
        <f>Acetate!B25</f>
        <v>6.7629947517644937E-5</v>
      </c>
      <c r="Y10" s="3">
        <f>Acetate!C25</f>
        <v>5.1465682394014507E-5</v>
      </c>
      <c r="Z10" s="18">
        <f>Glycerol!B25</f>
        <v>5.3150219394050872E-4</v>
      </c>
      <c r="AA10" s="18">
        <f>Glycerol!C25</f>
        <v>2.4186318812434863E-4</v>
      </c>
      <c r="AB10" s="3">
        <f>BCAAs!B25</f>
        <v>1.7165971081624745E-4</v>
      </c>
      <c r="AC10" s="3">
        <f>BCAAs!C25</f>
        <v>1.1649806275443043E-4</v>
      </c>
      <c r="AD10" s="18">
        <f>'6AAs'!B25</f>
        <v>1.8569055299539169E-4</v>
      </c>
      <c r="AE10" s="18">
        <f>'6AAs'!C25</f>
        <v>1.7626146395877015E-4</v>
      </c>
    </row>
    <row r="11" spans="1:31">
      <c r="A11" t="s">
        <v>67</v>
      </c>
      <c r="B11" s="18">
        <f>Glucose!B26</f>
        <v>0</v>
      </c>
      <c r="C11" s="18">
        <f>Glucose!C26</f>
        <v>0</v>
      </c>
      <c r="D11" s="3">
        <f>Lactate!B26</f>
        <v>0</v>
      </c>
      <c r="E11" s="3">
        <f>Lactate!C26</f>
        <v>0</v>
      </c>
      <c r="F11" s="18">
        <f>Glutamine!B26</f>
        <v>0</v>
      </c>
      <c r="G11" s="18">
        <f>Glutamine!C26</f>
        <v>0</v>
      </c>
      <c r="H11" s="3">
        <f>Alanine!B26</f>
        <v>0</v>
      </c>
      <c r="I11" s="3">
        <f>Alanine!C26</f>
        <v>0</v>
      </c>
      <c r="J11" s="18">
        <f>'3HB'!B26</f>
        <v>0</v>
      </c>
      <c r="K11" s="18">
        <f>'3HB'!C26</f>
        <v>0</v>
      </c>
      <c r="L11" s="3">
        <f>Palmitate!B26</f>
        <v>1.6269625782080037E-4</v>
      </c>
      <c r="M11" s="3">
        <f>Palmitate!C26</f>
        <v>1.6269625782080037E-4</v>
      </c>
      <c r="N11" s="7">
        <f>Oleate!B26</f>
        <v>0</v>
      </c>
      <c r="O11" s="7">
        <f>Oleate!C26</f>
        <v>0</v>
      </c>
      <c r="P11" s="4">
        <f>Linoleate!B26</f>
        <v>1</v>
      </c>
      <c r="Q11" s="4">
        <f>Linoleate!C26</f>
        <v>0</v>
      </c>
      <c r="R11" s="7">
        <f>Serine!B26</f>
        <v>3.1707700366684129E-5</v>
      </c>
      <c r="S11" s="7">
        <f>Serine!C26</f>
        <v>3.1707700366684122E-5</v>
      </c>
      <c r="T11" s="3">
        <f>Glycine!B26</f>
        <v>2.7221750230883354E-3</v>
      </c>
      <c r="U11" s="3">
        <f>Glycine!C26</f>
        <v>3.4373152776959355E-5</v>
      </c>
      <c r="V11" s="18">
        <f>Citrate!B26</f>
        <v>0</v>
      </c>
      <c r="W11" s="18">
        <f>Citrate!C26</f>
        <v>0</v>
      </c>
      <c r="X11" s="3">
        <f>Acetate!B26</f>
        <v>0</v>
      </c>
      <c r="Y11" s="3">
        <f>Acetate!C26</f>
        <v>0</v>
      </c>
      <c r="Z11" s="18">
        <f>Glycerol!B26</f>
        <v>2.4148066813374897E-3</v>
      </c>
      <c r="AA11" s="18">
        <f>Glycerol!C26</f>
        <v>2.1518839561825791E-3</v>
      </c>
      <c r="AB11" s="3">
        <f>BCAAs!B26</f>
        <v>0</v>
      </c>
      <c r="AC11" s="3">
        <f>BCAAs!C26</f>
        <v>0</v>
      </c>
      <c r="AD11" s="18">
        <f>'6AAs'!B26</f>
        <v>0</v>
      </c>
      <c r="AE11" s="18">
        <f>'6AAs'!C26</f>
        <v>0</v>
      </c>
    </row>
    <row r="12" spans="1:31">
      <c r="A12" t="s">
        <v>71</v>
      </c>
      <c r="B12" s="18">
        <f>Glucose!B27</f>
        <v>9.8022080559933819E-2</v>
      </c>
      <c r="C12" s="18">
        <f>Glucose!C27</f>
        <v>9.0668805820886128E-3</v>
      </c>
      <c r="D12" s="3">
        <f>Lactate!B27</f>
        <v>5.2723546351052891E-2</v>
      </c>
      <c r="E12" s="3">
        <f>Lactate!C27</f>
        <v>4.1674722098474703E-3</v>
      </c>
      <c r="F12" s="18">
        <f>Glutamine!B27</f>
        <v>7.3851225855086026E-3</v>
      </c>
      <c r="G12" s="18">
        <f>Glutamine!C27</f>
        <v>1.872720008466723E-3</v>
      </c>
      <c r="H12" s="3">
        <f>Alanine!B27</f>
        <v>0</v>
      </c>
      <c r="I12" s="3">
        <f>Alanine!C27</f>
        <v>0</v>
      </c>
      <c r="J12" s="18">
        <f>'3HB'!B27</f>
        <v>3.1040210715311444E-2</v>
      </c>
      <c r="K12" s="18">
        <f>'3HB'!C27</f>
        <v>2.9615916446800318E-2</v>
      </c>
      <c r="L12" s="3">
        <f>Palmitate!B27</f>
        <v>0</v>
      </c>
      <c r="M12" s="3">
        <f>Palmitate!C27</f>
        <v>0</v>
      </c>
      <c r="N12" s="7">
        <f>Oleate!B27</f>
        <v>6.0299977068164878E-3</v>
      </c>
      <c r="O12" s="7">
        <f>Oleate!C27</f>
        <v>6.0299977068164878E-3</v>
      </c>
      <c r="P12" s="4">
        <f>Linoleate!B27</f>
        <v>2.4729811928772594E-2</v>
      </c>
      <c r="Q12" s="4">
        <f>Linoleate!C27</f>
        <v>1.6188023099636836E-2</v>
      </c>
      <c r="R12" s="7">
        <f>Serine!B27</f>
        <v>1</v>
      </c>
      <c r="S12" s="7">
        <f>Serine!C27</f>
        <v>0</v>
      </c>
      <c r="T12" s="3">
        <f>Glycine!B27</f>
        <v>0.11363167762867921</v>
      </c>
      <c r="U12" s="3">
        <f>Glycine!C27</f>
        <v>3.7252229981833973E-3</v>
      </c>
      <c r="V12" s="18">
        <f>Citrate!B27</f>
        <v>3.3259445766010688E-4</v>
      </c>
      <c r="W12" s="18">
        <f>Citrate!C27</f>
        <v>3.3259445766010688E-4</v>
      </c>
      <c r="X12" s="3">
        <f>Acetate!B27</f>
        <v>2.1012244444444444E-3</v>
      </c>
      <c r="Y12" s="3">
        <f>Acetate!C27</f>
        <v>2.1012244444444444E-3</v>
      </c>
      <c r="Z12" s="18">
        <f>Glycerol!B27</f>
        <v>4.0525321802866235E-2</v>
      </c>
      <c r="AA12" s="18">
        <f>Glycerol!C27</f>
        <v>1.0607779336649765E-2</v>
      </c>
      <c r="AB12" s="3">
        <f>BCAAs!B27</f>
        <v>4.925236085671564E-3</v>
      </c>
      <c r="AC12" s="3">
        <f>BCAAs!C27</f>
        <v>3.0730301148279722E-3</v>
      </c>
      <c r="AD12" s="18">
        <f>'6AAs'!B27</f>
        <v>0</v>
      </c>
      <c r="AE12" s="18">
        <f>'6AAs'!C27</f>
        <v>0</v>
      </c>
    </row>
    <row r="13" spans="1:31">
      <c r="A13" t="s">
        <v>72</v>
      </c>
      <c r="B13" s="18">
        <f>Glucose!B28</f>
        <v>3.9638624822276522E-2</v>
      </c>
      <c r="C13" s="18">
        <f>Glucose!C28</f>
        <v>1.2097855670500122E-2</v>
      </c>
      <c r="D13" s="3">
        <f>Lactate!B28</f>
        <v>1.3428710119094484E-2</v>
      </c>
      <c r="E13" s="3">
        <f>Lactate!C28</f>
        <v>2.01416906169617E-3</v>
      </c>
      <c r="F13" s="18">
        <f>Glutamine!B28</f>
        <v>3.4859272670874596E-3</v>
      </c>
      <c r="G13" s="18">
        <f>Glutamine!C28</f>
        <v>1.5068568580833611E-3</v>
      </c>
      <c r="H13" s="3">
        <f>Alanine!B28</f>
        <v>0</v>
      </c>
      <c r="I13" s="3">
        <f>Alanine!C28</f>
        <v>0</v>
      </c>
      <c r="J13" s="18">
        <f>'3HB'!B28</f>
        <v>0</v>
      </c>
      <c r="K13" s="18">
        <f>'3HB'!C28</f>
        <v>0</v>
      </c>
      <c r="L13" s="3">
        <f>Palmitate!B28</f>
        <v>1.469685946404753E-3</v>
      </c>
      <c r="M13" s="3">
        <f>Palmitate!C28</f>
        <v>1.469685946404753E-3</v>
      </c>
      <c r="N13" s="7">
        <f>Oleate!B28</f>
        <v>1.6735144218340287E-2</v>
      </c>
      <c r="O13" s="7">
        <f>Oleate!C28</f>
        <v>1.6735144218340287E-2</v>
      </c>
      <c r="P13" s="4">
        <f>Linoleate!B28</f>
        <v>6.99075699049863E-3</v>
      </c>
      <c r="Q13" s="4">
        <f>Linoleate!C28</f>
        <v>4.3549291786936836E-3</v>
      </c>
      <c r="R13" s="7">
        <f>Serine!B28</f>
        <v>0.24518448843170865</v>
      </c>
      <c r="S13" s="7">
        <f>Serine!C28</f>
        <v>3.4218886895127511E-2</v>
      </c>
      <c r="T13" s="4">
        <f>Glycine!B28</f>
        <v>1</v>
      </c>
      <c r="U13" s="4">
        <f>Glycine!C28</f>
        <v>0</v>
      </c>
      <c r="V13" s="7">
        <f>Citrate!B28</f>
        <v>2.1954748105990625E-3</v>
      </c>
      <c r="W13" s="7">
        <f>Citrate!C28</f>
        <v>1.6737433956851796E-3</v>
      </c>
      <c r="X13" s="4">
        <f>Acetate!B28</f>
        <v>1.4050881481481483E-3</v>
      </c>
      <c r="Y13" s="4">
        <f>Acetate!C28</f>
        <v>1.4050881481481483E-3</v>
      </c>
      <c r="Z13" s="7">
        <f>Glycerol!B28</f>
        <v>1.2477295668873086E-2</v>
      </c>
      <c r="AA13" s="7">
        <f>Glycerol!C28</f>
        <v>2.9889581660168148E-3</v>
      </c>
      <c r="AB13" s="3">
        <f>BCAAs!B28</f>
        <v>4.841815913609224E-3</v>
      </c>
      <c r="AC13" s="3">
        <f>BCAAs!C28</f>
        <v>4.841815913609224E-3</v>
      </c>
      <c r="AD13" s="18">
        <f>'6AAs'!B28</f>
        <v>0</v>
      </c>
      <c r="AE13" s="18">
        <f>'6AAs'!C28</f>
        <v>0</v>
      </c>
    </row>
    <row r="14" spans="1:31">
      <c r="A14" t="s">
        <v>69</v>
      </c>
      <c r="B14" s="18">
        <f>Glucose!B29</f>
        <v>0.11567133372623004</v>
      </c>
      <c r="C14" s="18">
        <f>Glucose!C29</f>
        <v>1.1397593272697935E-2</v>
      </c>
      <c r="D14" s="3">
        <f>Lactate!B29</f>
        <v>0.20216049150370366</v>
      </c>
      <c r="E14" s="3">
        <f>Lactate!C29</f>
        <v>3.1065465312118817E-2</v>
      </c>
      <c r="F14" s="18">
        <f>Glutamine!B29</f>
        <v>8.9601782423284565E-2</v>
      </c>
      <c r="G14" s="18">
        <f>Glutamine!C29</f>
        <v>1.5289855778027096E-3</v>
      </c>
      <c r="H14" s="3">
        <f>Alanine!B29</f>
        <v>2.5551412410674067E-2</v>
      </c>
      <c r="I14" s="3">
        <f>Alanine!C29</f>
        <v>9.6279301444534074E-3</v>
      </c>
      <c r="J14" s="18">
        <f>'3HB'!B29</f>
        <v>5.2381990892445038E-2</v>
      </c>
      <c r="K14" s="18">
        <f>'3HB'!C29</f>
        <v>1.1072960700301039E-2</v>
      </c>
      <c r="L14" s="3">
        <f>Palmitate!B29</f>
        <v>4.6823481539372012E-2</v>
      </c>
      <c r="M14" s="3">
        <f>Palmitate!C29</f>
        <v>1.1529898557459161E-2</v>
      </c>
      <c r="N14" s="7">
        <f>Oleate!B29</f>
        <v>4.9100738429794226E-2</v>
      </c>
      <c r="O14" s="7">
        <f>Oleate!C29</f>
        <v>1.8403677792406859E-2</v>
      </c>
      <c r="P14" s="4">
        <f>Linoleate!B29</f>
        <v>3.5465933711335454E-2</v>
      </c>
      <c r="Q14" s="4">
        <f>Linoleate!C29</f>
        <v>3.5465933711335454E-2</v>
      </c>
      <c r="R14" s="7">
        <f>Serine!B29</f>
        <v>2.8140347170142112E-2</v>
      </c>
      <c r="S14" s="7">
        <f>Serine!C29</f>
        <v>8.3709152709265169E-3</v>
      </c>
      <c r="T14" s="4">
        <f>Glycine!B29</f>
        <v>3.9447255542666489E-2</v>
      </c>
      <c r="U14" s="4">
        <f>Glycine!C29</f>
        <v>1.2161006711983604E-2</v>
      </c>
      <c r="V14" s="7">
        <f>Citrate!B29</f>
        <v>1</v>
      </c>
      <c r="W14" s="7">
        <f>Citrate!C29</f>
        <v>0</v>
      </c>
      <c r="X14" s="4">
        <f>Acetate!B29</f>
        <v>3.314088577218452E-2</v>
      </c>
      <c r="Y14" s="4">
        <f>Acetate!C29</f>
        <v>1.0265236696361419E-2</v>
      </c>
      <c r="Z14" s="7">
        <f>Glycerol!B29</f>
        <v>1.4515216282482889E-2</v>
      </c>
      <c r="AA14" s="7">
        <f>Glycerol!C29</f>
        <v>6.9690627460084224E-3</v>
      </c>
      <c r="AB14" s="3">
        <f>BCAAs!B29</f>
        <v>1.3186577677972438E-2</v>
      </c>
      <c r="AC14" s="3">
        <f>BCAAs!C29</f>
        <v>2.5009136598437083E-3</v>
      </c>
      <c r="AD14" s="18">
        <f>'6AAs'!B29</f>
        <v>2.6103466000453744E-3</v>
      </c>
      <c r="AE14" s="18">
        <f>'6AAs'!C29</f>
        <v>6.7641546243393834E-4</v>
      </c>
    </row>
    <row r="15" spans="1:31">
      <c r="A15" t="s">
        <v>68</v>
      </c>
      <c r="B15" s="18" t="e">
        <f>Glucose!B30</f>
        <v>#REF!</v>
      </c>
      <c r="C15" s="18" t="e">
        <f>Glucose!C30</f>
        <v>#REF!</v>
      </c>
      <c r="D15" s="3">
        <f>Lactate!B30</f>
        <v>0.11511102074408756</v>
      </c>
      <c r="E15" s="3">
        <f>Lactate!C30</f>
        <v>1.4552898400129298E-2</v>
      </c>
      <c r="F15" s="18">
        <f>Glutamine!B30</f>
        <v>3.5826049826518845E-2</v>
      </c>
      <c r="G15" s="18">
        <f>Glutamine!C30</f>
        <v>9.8035528515198755E-3</v>
      </c>
      <c r="H15" s="3" t="str">
        <f>Alanine!B30</f>
        <v>NaN</v>
      </c>
      <c r="I15" s="3" t="str">
        <f>Alanine!C30</f>
        <v>NaN</v>
      </c>
      <c r="J15" s="18">
        <f>'3HB'!B30</f>
        <v>6.9471312342573519E-2</v>
      </c>
      <c r="K15" s="18">
        <f>'3HB'!C30</f>
        <v>8.3023139294385057E-3</v>
      </c>
      <c r="L15" s="3">
        <f>Palmitate!B30</f>
        <v>7.9309273272577571E-2</v>
      </c>
      <c r="M15" s="3">
        <f>Palmitate!C30</f>
        <v>9.9164978390431317E-3</v>
      </c>
      <c r="N15" s="7">
        <f>Oleate!B30</f>
        <v>0.14010425012171557</v>
      </c>
      <c r="O15" s="7">
        <f>Oleate!C30</f>
        <v>9.2337710747453887E-3</v>
      </c>
      <c r="P15" s="4" t="str">
        <f>Linoleate!B30</f>
        <v>NaN</v>
      </c>
      <c r="Q15" s="4" t="str">
        <f>Linoleate!C30</f>
        <v>NaN</v>
      </c>
      <c r="R15" s="7" t="str">
        <f>Serine!B30</f>
        <v>NaN</v>
      </c>
      <c r="S15" s="7" t="str">
        <f>Serine!C30</f>
        <v>NaN</v>
      </c>
      <c r="T15" s="4" t="str">
        <f>Glycine!B30</f>
        <v>NaN</v>
      </c>
      <c r="U15" s="4" t="str">
        <f>Glycine!C30</f>
        <v>NaN</v>
      </c>
      <c r="V15" s="7">
        <f>Citrate!B30</f>
        <v>4.8783296987780146E-2</v>
      </c>
      <c r="W15" s="7">
        <f>Citrate!C30</f>
        <v>3.0907491996584137E-2</v>
      </c>
      <c r="X15" s="4">
        <f>Acetate!B30</f>
        <v>0.99999999999999989</v>
      </c>
      <c r="Y15" s="4">
        <f>Acetate!C30</f>
        <v>0</v>
      </c>
      <c r="Z15" s="7">
        <f>Glycerol!B30</f>
        <v>2.4823164000783358E-2</v>
      </c>
      <c r="AA15" s="7">
        <f>Glycerol!C30</f>
        <v>9.8466812113487678E-3</v>
      </c>
      <c r="AB15" s="3" t="str">
        <f>BCAAs!B30</f>
        <v>NaN</v>
      </c>
      <c r="AC15" s="3" t="str">
        <f>BCAAs!C30</f>
        <v>NaN</v>
      </c>
      <c r="AD15" s="18" t="str">
        <f>'6AAs'!B30</f>
        <v>NaN</v>
      </c>
      <c r="AE15" s="18" t="str">
        <f>'6AAs'!C30</f>
        <v>NaN</v>
      </c>
    </row>
    <row r="16" spans="1:31">
      <c r="A16" t="s">
        <v>70</v>
      </c>
      <c r="B16" s="18" t="e">
        <f>Glucose!B31</f>
        <v>#REF!</v>
      </c>
      <c r="C16" s="18" t="e">
        <f>Glucose!C31</f>
        <v>#REF!</v>
      </c>
      <c r="D16" s="3">
        <f>Lactate!B31</f>
        <v>7.3333446857977144E-2</v>
      </c>
      <c r="E16" s="3">
        <f>Lactate!C31</f>
        <v>6.6709797190923495E-3</v>
      </c>
      <c r="F16" s="18">
        <f>Glutamine!B31</f>
        <v>1.721763094286499E-3</v>
      </c>
      <c r="G16" s="18">
        <f>Glutamine!C31</f>
        <v>1.2701449774768262E-3</v>
      </c>
      <c r="H16" s="3">
        <f>Alanine!B31</f>
        <v>9.1052157813301705E-3</v>
      </c>
      <c r="I16" s="3">
        <f>Alanine!C31</f>
        <v>3.6921002616205289E-3</v>
      </c>
      <c r="J16" s="18" t="str">
        <f>'3HB'!B31</f>
        <v>NaN</v>
      </c>
      <c r="K16" s="18" t="str">
        <f>'3HB'!C31</f>
        <v>NaN</v>
      </c>
      <c r="L16" s="3">
        <f>Palmitate!B31</f>
        <v>3.462597882973281E-4</v>
      </c>
      <c r="M16" s="3">
        <f>Palmitate!C31</f>
        <v>3.462597882973281E-4</v>
      </c>
      <c r="N16" s="7">
        <f>Oleate!B31</f>
        <v>0</v>
      </c>
      <c r="O16" s="7">
        <f>Oleate!C31</f>
        <v>0</v>
      </c>
      <c r="P16" s="4">
        <f>Linoleate!B31</f>
        <v>0</v>
      </c>
      <c r="Q16" s="4">
        <f>Linoleate!C31</f>
        <v>0</v>
      </c>
      <c r="R16" s="7">
        <f>Serine!B31</f>
        <v>0</v>
      </c>
      <c r="S16" s="7">
        <f>Serine!C31</f>
        <v>0</v>
      </c>
      <c r="T16" s="4" t="str">
        <f>Glycine!B31</f>
        <v>NaN</v>
      </c>
      <c r="U16" s="4" t="str">
        <f>Glycine!C31</f>
        <v>NaN</v>
      </c>
      <c r="V16" s="7">
        <f>Citrate!B31</f>
        <v>5.6725018269112729E-3</v>
      </c>
      <c r="W16" s="7">
        <f>Citrate!C31</f>
        <v>4.1695411362882061E-3</v>
      </c>
      <c r="X16" s="4">
        <f>Acetate!B31</f>
        <v>3.7978760330578519E-4</v>
      </c>
      <c r="Y16" s="4">
        <f>Acetate!C31</f>
        <v>3.7978760330578519E-4</v>
      </c>
      <c r="Z16" s="7">
        <f>Glycerol!B31</f>
        <v>1</v>
      </c>
      <c r="AA16" s="7">
        <f>Glycerol!C31</f>
        <v>0</v>
      </c>
      <c r="AB16" s="3" t="str">
        <f>BCAAs!B31</f>
        <v>NaN</v>
      </c>
      <c r="AC16" s="3" t="str">
        <f>BCAAs!C31</f>
        <v>NaN</v>
      </c>
      <c r="AD16" s="18">
        <f>'6AAs'!B31</f>
        <v>0</v>
      </c>
      <c r="AE16" s="18">
        <f>'6AAs'!C31</f>
        <v>0</v>
      </c>
    </row>
    <row r="17" spans="1:31">
      <c r="A17" t="s">
        <v>23</v>
      </c>
      <c r="B17" s="18">
        <f>Glucose!B32</f>
        <v>0</v>
      </c>
      <c r="C17" s="18">
        <f>Glucose!C32</f>
        <v>0</v>
      </c>
      <c r="D17" s="3">
        <f>Lactate!B32</f>
        <v>0</v>
      </c>
      <c r="E17" s="3">
        <f>Lactate!C32</f>
        <v>0</v>
      </c>
      <c r="F17" s="18">
        <f>Glutamine!B32</f>
        <v>0</v>
      </c>
      <c r="G17" s="18">
        <f>Glutamine!C32</f>
        <v>0</v>
      </c>
      <c r="H17" s="3">
        <f>Alanine!B32</f>
        <v>0</v>
      </c>
      <c r="I17" s="3">
        <f>Alanine!C32</f>
        <v>0</v>
      </c>
      <c r="J17" s="18">
        <f>'3HB'!B32</f>
        <v>0</v>
      </c>
      <c r="K17" s="18">
        <f>'3HB'!C32</f>
        <v>0</v>
      </c>
      <c r="L17" s="3">
        <f>Palmitate!B32</f>
        <v>0</v>
      </c>
      <c r="M17" s="3">
        <f>Palmitate!C32</f>
        <v>0</v>
      </c>
      <c r="N17" s="18">
        <f>Oleate!B32</f>
        <v>0</v>
      </c>
      <c r="O17" s="18">
        <f>Oleate!C32</f>
        <v>0</v>
      </c>
      <c r="P17" s="3">
        <f>Linoleate!B32</f>
        <v>0</v>
      </c>
      <c r="Q17" s="3">
        <f>Linoleate!C32</f>
        <v>0</v>
      </c>
      <c r="R17" s="18">
        <f>Serine!B32</f>
        <v>0</v>
      </c>
      <c r="S17" s="18">
        <f>Serine!C32</f>
        <v>0</v>
      </c>
      <c r="T17" s="3">
        <f>Glycine!B32</f>
        <v>0</v>
      </c>
      <c r="U17" s="3">
        <f>Glycine!C32</f>
        <v>0</v>
      </c>
      <c r="V17" s="18">
        <f>Citrate!B32</f>
        <v>0</v>
      </c>
      <c r="W17" s="18">
        <f>Citrate!C32</f>
        <v>0</v>
      </c>
      <c r="X17" s="3">
        <f>Acetate!B32</f>
        <v>0</v>
      </c>
      <c r="Y17" s="3">
        <f>Acetate!C32</f>
        <v>0</v>
      </c>
      <c r="Z17" s="18">
        <f>Glycerol!B32</f>
        <v>0</v>
      </c>
      <c r="AA17" s="18">
        <f>Glycerol!C32</f>
        <v>0</v>
      </c>
      <c r="AB17" s="3">
        <f>BCAAs!B32</f>
        <v>1</v>
      </c>
      <c r="AC17" s="3">
        <f>BCAAs!C32</f>
        <v>0</v>
      </c>
      <c r="AD17" s="18">
        <f>'6AAs'!B32</f>
        <v>0</v>
      </c>
      <c r="AE17" s="18">
        <f>'6AAs'!C32</f>
        <v>0</v>
      </c>
    </row>
    <row r="18" spans="1:31">
      <c r="A18" t="s">
        <v>24</v>
      </c>
      <c r="B18" s="18">
        <f>Glucose!B33</f>
        <v>0</v>
      </c>
      <c r="C18" s="18">
        <f>Glucose!C33</f>
        <v>0</v>
      </c>
      <c r="D18" s="3">
        <f>Lactate!B33</f>
        <v>0</v>
      </c>
      <c r="E18" s="3">
        <f>Lactate!C33</f>
        <v>0</v>
      </c>
      <c r="F18" s="18">
        <f>Glutamine!B33</f>
        <v>0</v>
      </c>
      <c r="G18" s="18">
        <f>Glutamine!C33</f>
        <v>0</v>
      </c>
      <c r="H18" s="3">
        <f>Alanine!B33</f>
        <v>0</v>
      </c>
      <c r="I18" s="3">
        <f>Alanine!C33</f>
        <v>0</v>
      </c>
      <c r="J18" s="18">
        <f>'3HB'!B33</f>
        <v>0</v>
      </c>
      <c r="K18" s="18">
        <f>'3HB'!C33</f>
        <v>0</v>
      </c>
      <c r="L18" s="3">
        <f>Palmitate!B33</f>
        <v>0</v>
      </c>
      <c r="M18" s="3">
        <f>Palmitate!C33</f>
        <v>0</v>
      </c>
      <c r="N18" s="18">
        <f>Oleate!B33</f>
        <v>0</v>
      </c>
      <c r="O18" s="18">
        <f>Oleate!C33</f>
        <v>0</v>
      </c>
      <c r="P18" s="3">
        <f>Linoleate!B33</f>
        <v>0</v>
      </c>
      <c r="Q18" s="3">
        <f>Linoleate!C33</f>
        <v>0</v>
      </c>
      <c r="R18" s="18">
        <f>Serine!B33</f>
        <v>0</v>
      </c>
      <c r="S18" s="18">
        <f>Serine!C33</f>
        <v>0</v>
      </c>
      <c r="T18" s="3">
        <f>Glycine!B33</f>
        <v>0</v>
      </c>
      <c r="U18" s="3">
        <f>Glycine!C33</f>
        <v>0</v>
      </c>
      <c r="V18" s="18">
        <f>Citrate!B33</f>
        <v>0</v>
      </c>
      <c r="W18" s="18">
        <f>Citrate!C33</f>
        <v>0</v>
      </c>
      <c r="X18" s="3">
        <f>Acetate!B33</f>
        <v>0</v>
      </c>
      <c r="Y18" s="3">
        <f>Acetate!C33</f>
        <v>0</v>
      </c>
      <c r="Z18" s="18">
        <f>Glycerol!B33</f>
        <v>0</v>
      </c>
      <c r="AA18" s="18">
        <f>Glycerol!C33</f>
        <v>0</v>
      </c>
      <c r="AB18" s="3">
        <f>BCAAs!B33</f>
        <v>0</v>
      </c>
      <c r="AC18" s="3">
        <f>BCAAs!C33</f>
        <v>0</v>
      </c>
      <c r="AD18" s="18">
        <f>'6AAs'!B33</f>
        <v>1</v>
      </c>
      <c r="AE18" s="18">
        <f>'6AAs'!C33</f>
        <v>0</v>
      </c>
    </row>
    <row r="19" spans="1:31">
      <c r="B19" s="18"/>
      <c r="C19" s="18"/>
      <c r="D19" s="3"/>
      <c r="E19" s="3"/>
      <c r="F19" s="18"/>
      <c r="G19" s="18"/>
      <c r="H19" s="3"/>
      <c r="I19" s="3"/>
      <c r="J19" s="18"/>
      <c r="K19" s="18"/>
      <c r="L19" s="3"/>
      <c r="M19" s="3"/>
      <c r="N19" s="18"/>
      <c r="O19" s="18"/>
      <c r="P19" s="3"/>
      <c r="Q19" s="3"/>
      <c r="R19" s="18"/>
      <c r="S19" s="18"/>
      <c r="T19" s="3"/>
      <c r="U19" s="3"/>
      <c r="V19" s="18"/>
      <c r="W19" s="18"/>
      <c r="X19" s="3"/>
      <c r="Y19" s="3"/>
      <c r="Z19" s="18"/>
      <c r="AA19" s="18"/>
      <c r="AB19" s="3"/>
      <c r="AC19" s="3"/>
      <c r="AD19" s="18"/>
      <c r="AE19" s="18"/>
    </row>
    <row r="20" spans="1:31">
      <c r="A20" s="1" t="s">
        <v>16</v>
      </c>
      <c r="B20" s="18"/>
      <c r="C20" s="18"/>
      <c r="D20" s="3"/>
      <c r="E20" s="3"/>
      <c r="F20" s="18"/>
      <c r="G20" s="18"/>
      <c r="H20" s="3"/>
      <c r="I20" s="3"/>
      <c r="J20" s="18"/>
      <c r="K20" s="18"/>
      <c r="L20" s="3"/>
      <c r="M20" s="3"/>
      <c r="N20" s="18"/>
      <c r="O20" s="18"/>
      <c r="P20" s="3"/>
      <c r="Q20" s="3"/>
      <c r="R20" s="18"/>
      <c r="S20" s="18"/>
      <c r="T20" s="3"/>
      <c r="U20" s="3"/>
      <c r="V20" s="18"/>
      <c r="W20" s="18"/>
      <c r="X20" s="3"/>
      <c r="Y20" s="3"/>
      <c r="Z20" s="18"/>
      <c r="AA20" s="18"/>
      <c r="AB20" s="3"/>
      <c r="AC20" s="3"/>
      <c r="AD20" s="18"/>
      <c r="AE20" s="18"/>
    </row>
    <row r="21" spans="1:31">
      <c r="A21" t="s">
        <v>7</v>
      </c>
      <c r="B21" s="18">
        <f>Glucose!B37</f>
        <v>0.76561281869244391</v>
      </c>
      <c r="C21" s="18">
        <f>Glucose!C37</f>
        <v>5.1759706731853662E-3</v>
      </c>
      <c r="D21" s="3">
        <f>Lactate!B37</f>
        <v>0.35816666271291225</v>
      </c>
      <c r="E21" s="3">
        <f>Lactate!C37</f>
        <v>2.4253983725074372E-2</v>
      </c>
      <c r="F21" s="18">
        <f>Glutamine!B37</f>
        <v>6.6781420192267182E-2</v>
      </c>
      <c r="G21" s="18">
        <f>Glutamine!C37</f>
        <v>5.0527458665844422E-3</v>
      </c>
      <c r="H21" s="3">
        <f>Alanine!B37</f>
        <v>0.18917946971759614</v>
      </c>
      <c r="I21" s="3">
        <f>Alanine!C37</f>
        <v>2.0534082826039909E-2</v>
      </c>
      <c r="J21" s="18">
        <f>'3HB'!B37</f>
        <v>3.5200094771371121E-2</v>
      </c>
      <c r="K21" s="18">
        <f>'3HB'!C37</f>
        <v>9.7730625148335932E-3</v>
      </c>
      <c r="L21" s="3">
        <f>Palmitate!B37</f>
        <v>2.7903712915805456E-2</v>
      </c>
      <c r="M21" s="3">
        <f>Palmitate!C37</f>
        <v>6.6701329712633584E-3</v>
      </c>
      <c r="N21" s="18">
        <f>Oleate!B37</f>
        <v>6.4508944552148451E-2</v>
      </c>
      <c r="O21" s="18">
        <f>Oleate!C37</f>
        <v>1.6806960474979742E-2</v>
      </c>
      <c r="P21" s="3">
        <f>Linoleate!B37</f>
        <v>8.5541847705573049E-2</v>
      </c>
      <c r="Q21" s="3">
        <f>Linoleate!C37</f>
        <v>1.8173645859777772E-2</v>
      </c>
      <c r="R21" s="18">
        <f>Serine!B37</f>
        <v>1.2537287397437539E-2</v>
      </c>
      <c r="S21" s="18">
        <f>Serine!C37</f>
        <v>2.9535611882529774E-3</v>
      </c>
      <c r="T21" s="3">
        <f>Glycine!B37</f>
        <v>5.268247523489443E-3</v>
      </c>
      <c r="U21" s="3">
        <f>Glycine!C37</f>
        <v>2.8976295847541128E-4</v>
      </c>
      <c r="V21" s="18">
        <f>Citrate!B37</f>
        <v>2.3191080218312336E-2</v>
      </c>
      <c r="W21" s="18">
        <f>Citrate!C37</f>
        <v>3.2838974958714104E-3</v>
      </c>
      <c r="X21" s="3">
        <f>Acetate!B37</f>
        <v>2.5974487626353644E-2</v>
      </c>
      <c r="Y21" s="3">
        <f>Acetate!C37</f>
        <v>1.6273644921723687E-3</v>
      </c>
      <c r="Z21" s="18">
        <f>Glycerol!B37</f>
        <v>0.29015823764179105</v>
      </c>
      <c r="AA21" s="18">
        <f>Glycerol!C37</f>
        <v>2.9995724665962932E-2</v>
      </c>
      <c r="AB21" s="3">
        <f>BCAAs!B37</f>
        <v>3.7180176650494813E-2</v>
      </c>
      <c r="AC21" s="3">
        <f>BCAAs!C37</f>
        <v>2.1559513877588889E-2</v>
      </c>
      <c r="AD21" s="18">
        <f>'6AAs'!B37</f>
        <v>1.7837733914955783E-2</v>
      </c>
      <c r="AE21" s="18">
        <f>'6AAs'!C37</f>
        <v>2.0021325739112846E-3</v>
      </c>
    </row>
    <row r="22" spans="1:31">
      <c r="A22" t="s">
        <v>8</v>
      </c>
      <c r="B22" s="18">
        <f>Glucose!B38</f>
        <v>0.22203293787076497</v>
      </c>
      <c r="C22" s="18">
        <f>Glucose!C38</f>
        <v>2.1853155944346562E-2</v>
      </c>
      <c r="D22" s="3">
        <f>Lactate!B38</f>
        <v>0.27843329104364517</v>
      </c>
      <c r="E22" s="3">
        <f>Lactate!C38</f>
        <v>2.0357755670328322E-2</v>
      </c>
      <c r="F22" s="18">
        <f>Glutamine!B38</f>
        <v>8.5584097282946622E-2</v>
      </c>
      <c r="G22" s="18">
        <f>Glutamine!C38</f>
        <v>8.3740120734872251E-3</v>
      </c>
      <c r="H22" s="3">
        <f>Alanine!B38</f>
        <v>4.6455180237515742E-2</v>
      </c>
      <c r="I22" s="3">
        <f>Alanine!C38</f>
        <v>4.2337748018918091E-3</v>
      </c>
      <c r="J22" s="18">
        <f>'3HB'!B38</f>
        <v>3.401268928679034E-2</v>
      </c>
      <c r="K22" s="18">
        <f>'3HB'!C38</f>
        <v>6.7361287862712504E-3</v>
      </c>
      <c r="L22" s="3">
        <f>Palmitate!B38</f>
        <v>8.2958898250235794E-2</v>
      </c>
      <c r="M22" s="3">
        <f>Palmitate!C38</f>
        <v>6.6700395298253407E-3</v>
      </c>
      <c r="N22" s="18">
        <f>Oleate!B38</f>
        <v>0.19223820576919737</v>
      </c>
      <c r="O22" s="18">
        <f>Oleate!C38</f>
        <v>1.383602317638793E-2</v>
      </c>
      <c r="P22" s="3">
        <f>Linoleate!B38</f>
        <v>0.19733172798418838</v>
      </c>
      <c r="Q22" s="3">
        <f>Linoleate!C38</f>
        <v>2.3989047645707032E-2</v>
      </c>
      <c r="R22" s="18">
        <f>Serine!B38</f>
        <v>1.2871938581622611E-3</v>
      </c>
      <c r="S22" s="18">
        <f>Serine!C38</f>
        <v>7.703231664579588E-4</v>
      </c>
      <c r="T22" s="3">
        <f>Glycine!B38</f>
        <v>8.4609444309166337E-3</v>
      </c>
      <c r="U22" s="3">
        <f>Glycine!C38</f>
        <v>6.2559397536481589E-3</v>
      </c>
      <c r="V22" s="18">
        <f>Citrate!B38</f>
        <v>6.8080003938416327E-3</v>
      </c>
      <c r="W22" s="18">
        <f>Citrate!C38</f>
        <v>1.0765159626651443E-3</v>
      </c>
      <c r="X22" s="3">
        <f>Acetate!B38</f>
        <v>6.96659274902999E-2</v>
      </c>
      <c r="Y22" s="3">
        <f>Acetate!C38</f>
        <v>7.8244337682440938E-3</v>
      </c>
      <c r="Z22" s="18">
        <f>Glycerol!B38</f>
        <v>3.9045748440523997E-2</v>
      </c>
      <c r="AA22" s="18">
        <f>Glycerol!C38</f>
        <v>8.0680430848793193E-3</v>
      </c>
      <c r="AB22" s="3">
        <f>BCAAs!B38</f>
        <v>4.0433719698013855E-2</v>
      </c>
      <c r="AC22" s="3">
        <f>BCAAs!C38</f>
        <v>9.4033200183154322E-3</v>
      </c>
      <c r="AD22" s="18">
        <f>'6AAs'!B38</f>
        <v>6.3304415412979076E-3</v>
      </c>
      <c r="AE22" s="18">
        <f>'6AAs'!C38</f>
        <v>6.0394996508112168E-4</v>
      </c>
    </row>
    <row r="23" spans="1:31">
      <c r="A23" t="s">
        <v>9</v>
      </c>
      <c r="B23" s="18">
        <f>Glucose!B39</f>
        <v>0.19661024590094342</v>
      </c>
      <c r="C23" s="18">
        <f>Glucose!C39</f>
        <v>1.9798373956011348E-2</v>
      </c>
      <c r="D23" s="3">
        <f>Lactate!B39</f>
        <v>0.37307729709334142</v>
      </c>
      <c r="E23" s="3">
        <f>Lactate!C39</f>
        <v>2.7025310278858693E-2</v>
      </c>
      <c r="F23" s="18">
        <f>Glutamine!B39</f>
        <v>0.13859343917087832</v>
      </c>
      <c r="G23" s="18">
        <f>Glutamine!C39</f>
        <v>2.9133276364332284E-3</v>
      </c>
      <c r="H23" s="3">
        <f>Alanine!B39</f>
        <v>9.5312153063187466E-2</v>
      </c>
      <c r="I23" s="3">
        <f>Alanine!C39</f>
        <v>3.0785214421891555E-2</v>
      </c>
      <c r="J23" s="18">
        <f>'3HB'!B39</f>
        <v>0.10300485396978272</v>
      </c>
      <c r="K23" s="18">
        <f>'3HB'!C39</f>
        <v>1.9964898847116511E-2</v>
      </c>
      <c r="L23" s="3">
        <f>Palmitate!B39</f>
        <v>8.9435212285775653E-2</v>
      </c>
      <c r="M23" s="3">
        <f>Palmitate!C39</f>
        <v>1.2731395464900042E-2</v>
      </c>
      <c r="N23" s="18">
        <f>Oleate!B39</f>
        <v>0.15412532312261418</v>
      </c>
      <c r="O23" s="18">
        <f>Oleate!C39</f>
        <v>1.2933936714452832E-2</v>
      </c>
      <c r="P23" s="3">
        <f>Linoleate!B39</f>
        <v>0.24462527172277998</v>
      </c>
      <c r="Q23" s="3">
        <f>Linoleate!C39</f>
        <v>4.348735351970312E-2</v>
      </c>
      <c r="R23" s="18">
        <f>Serine!B39</f>
        <v>3.7951303991298232E-3</v>
      </c>
      <c r="S23" s="18">
        <f>Serine!C39</f>
        <v>3.8070749010240878E-4</v>
      </c>
      <c r="T23" s="3">
        <f>Glycine!B39</f>
        <v>5.9318481055260219E-3</v>
      </c>
      <c r="U23" s="3">
        <f>Glycine!C39</f>
        <v>1.3793223805494074E-3</v>
      </c>
      <c r="V23" s="18">
        <f>Citrate!B39</f>
        <v>0.13468064593935314</v>
      </c>
      <c r="W23" s="18">
        <f>Citrate!C39</f>
        <v>1.3410782158716682E-2</v>
      </c>
      <c r="X23" s="3">
        <f>Acetate!B39</f>
        <v>0.1363547981103192</v>
      </c>
      <c r="Y23" s="3">
        <f>Acetate!C39</f>
        <v>1.1584535161531533E-2</v>
      </c>
      <c r="Z23" s="18">
        <f>Glycerol!B39</f>
        <v>9.5264687561280328E-2</v>
      </c>
      <c r="AA23" s="18">
        <f>Glycerol!C39</f>
        <v>6.7521806698344422E-3</v>
      </c>
      <c r="AB23" s="3">
        <f>BCAAs!B39</f>
        <v>1.9316116045831232E-2</v>
      </c>
      <c r="AC23" s="3">
        <f>BCAAs!C39</f>
        <v>1.4463458605478385E-2</v>
      </c>
      <c r="AD23" s="18">
        <f>'6AAs'!B39</f>
        <v>1.4606753882804236E-2</v>
      </c>
      <c r="AE23" s="18">
        <f>'6AAs'!C39</f>
        <v>5.5228298780874135E-4</v>
      </c>
    </row>
    <row r="24" spans="1:31">
      <c r="A24" t="s">
        <v>10</v>
      </c>
      <c r="B24" s="18">
        <f>Glucose!B40</f>
        <v>0.16373151192056329</v>
      </c>
      <c r="C24" s="18">
        <f>Glucose!C40</f>
        <v>6.2916825799935348E-3</v>
      </c>
      <c r="D24" s="3">
        <f>Lactate!B40</f>
        <v>0.28632992345417779</v>
      </c>
      <c r="E24" s="3">
        <f>Lactate!C40</f>
        <v>1.9785716083708774E-2</v>
      </c>
      <c r="F24" s="18">
        <f>Glutamine!B40</f>
        <v>0.13842730059792874</v>
      </c>
      <c r="G24" s="18">
        <f>Glutamine!C40</f>
        <v>5.3040966192273642E-3</v>
      </c>
      <c r="H24" s="3">
        <f>Alanine!B40</f>
        <v>0.16938272924596653</v>
      </c>
      <c r="I24" s="3">
        <f>Alanine!C40</f>
        <v>1.3588274942077382E-2</v>
      </c>
      <c r="J24" s="18">
        <f>'3HB'!B40</f>
        <v>3.1647731859999972E-2</v>
      </c>
      <c r="K24" s="18">
        <f>'3HB'!C40</f>
        <v>4.9018151211485715E-3</v>
      </c>
      <c r="L24" s="3">
        <f>Palmitate!B40</f>
        <v>5.5267836486573255E-2</v>
      </c>
      <c r="M24" s="3">
        <f>Palmitate!C40</f>
        <v>8.3621515528883236E-3</v>
      </c>
      <c r="N24" s="18">
        <f>Oleate!B40</f>
        <v>0.1062511246127131</v>
      </c>
      <c r="O24" s="18">
        <f>Oleate!C40</f>
        <v>1.2485495915306304E-2</v>
      </c>
      <c r="P24" s="3">
        <f>Linoleate!B40</f>
        <v>0.12131175013263884</v>
      </c>
      <c r="Q24" s="3">
        <f>Linoleate!C40</f>
        <v>1.5027177240556218E-2</v>
      </c>
      <c r="R24" s="18">
        <f>Serine!B40</f>
        <v>1.3207579846571827E-2</v>
      </c>
      <c r="S24" s="18">
        <f>Serine!C40</f>
        <v>2.2339461814766624E-3</v>
      </c>
      <c r="T24" s="3">
        <f>Glycine!B40</f>
        <v>9.5118807714229328E-3</v>
      </c>
      <c r="U24" s="3">
        <f>Glycine!C40</f>
        <v>7.5378807796902178E-4</v>
      </c>
      <c r="V24" s="18">
        <f>Citrate!B40</f>
        <v>1.1145258469393323E-2</v>
      </c>
      <c r="W24" s="18">
        <f>Citrate!C40</f>
        <v>6.8664907046989642E-4</v>
      </c>
      <c r="X24" s="3">
        <f>Acetate!B40</f>
        <v>2.5143991388555709E-2</v>
      </c>
      <c r="Y24" s="3">
        <f>Acetate!C40</f>
        <v>2.6184010258407308E-3</v>
      </c>
      <c r="Z24" s="18">
        <f>Glycerol!B40</f>
        <v>7.0964917162096713E-2</v>
      </c>
      <c r="AA24" s="18">
        <f>Glycerol!C40</f>
        <v>6.3061918902062543E-3</v>
      </c>
      <c r="AB24" s="3">
        <f>BCAAs!B40</f>
        <v>1.0246927828896461E-2</v>
      </c>
      <c r="AC24" s="3">
        <f>BCAAs!C40</f>
        <v>8.4526941232379547E-3</v>
      </c>
      <c r="AD24" s="18">
        <f>'6AAs'!B40</f>
        <v>3.4201274875482184E-2</v>
      </c>
      <c r="AE24" s="18">
        <f>'6AAs'!C40</f>
        <v>2.916037522432077E-3</v>
      </c>
    </row>
    <row r="25" spans="1:31">
      <c r="A25" t="s">
        <v>11</v>
      </c>
      <c r="B25" s="18">
        <f>Glucose!B41</f>
        <v>0.11934018814789782</v>
      </c>
      <c r="C25" s="18">
        <f>Glucose!C41</f>
        <v>1.1768687488171961E-2</v>
      </c>
      <c r="D25" s="3">
        <f>Lactate!B41</f>
        <v>0.22546747787312996</v>
      </c>
      <c r="E25" s="3">
        <f>Lactate!C41</f>
        <v>2.8556907470747746E-2</v>
      </c>
      <c r="F25" s="18">
        <f>Glutamine!B41</f>
        <v>0.29255104696414513</v>
      </c>
      <c r="G25" s="18">
        <f>Glutamine!C41</f>
        <v>3.2456398875787489E-2</v>
      </c>
      <c r="H25" s="3">
        <f>Alanine!B41</f>
        <v>5.4568251409527493E-2</v>
      </c>
      <c r="I25" s="3">
        <f>Alanine!C41</f>
        <v>8.5323340559479485E-3</v>
      </c>
      <c r="J25" s="18">
        <f>'3HB'!B41</f>
        <v>9.7091255816971062E-2</v>
      </c>
      <c r="K25" s="18">
        <f>'3HB'!C41</f>
        <v>1.5586973718097497E-2</v>
      </c>
      <c r="L25" s="3">
        <f>Palmitate!B41</f>
        <v>0.11292042529379358</v>
      </c>
      <c r="M25" s="3">
        <f>Palmitate!C41</f>
        <v>1.0520007548053868E-2</v>
      </c>
      <c r="N25" s="18">
        <f>Oleate!B41</f>
        <v>0.18401062613678035</v>
      </c>
      <c r="O25" s="18">
        <f>Oleate!C41</f>
        <v>1.1087136408200578E-2</v>
      </c>
      <c r="P25" s="3">
        <f>Linoleate!B41</f>
        <v>0.22299149723435954</v>
      </c>
      <c r="Q25" s="3">
        <f>Linoleate!C41</f>
        <v>3.0668344582081501E-2</v>
      </c>
      <c r="R25" s="18">
        <f>Serine!B41</f>
        <v>5.0238802026555804E-3</v>
      </c>
      <c r="S25" s="18">
        <f>Serine!C41</f>
        <v>1.7505433770924586E-3</v>
      </c>
      <c r="T25" s="3">
        <f>Glycine!B41</f>
        <v>1.3319447823726726E-3</v>
      </c>
      <c r="U25" s="3">
        <f>Glycine!C41</f>
        <v>4.2268571341778596E-4</v>
      </c>
      <c r="V25" s="18">
        <f>Citrate!B41</f>
        <v>9.6731230539614434E-3</v>
      </c>
      <c r="W25" s="18">
        <f>Citrate!C41</f>
        <v>9.1960072846084527E-4</v>
      </c>
      <c r="X25" s="3">
        <f>Acetate!B41</f>
        <v>0.16899682578636677</v>
      </c>
      <c r="Y25" s="3">
        <f>Acetate!C41</f>
        <v>1.367177475758068E-2</v>
      </c>
      <c r="Z25" s="18">
        <f>Glycerol!B41</f>
        <v>4.288765864650438E-2</v>
      </c>
      <c r="AA25" s="18">
        <f>Glycerol!C41</f>
        <v>7.5634219956363449E-3</v>
      </c>
      <c r="AB25" s="3">
        <f>BCAAs!B41</f>
        <v>1.9742111966330883E-2</v>
      </c>
      <c r="AC25" s="3">
        <f>BCAAs!C41</f>
        <v>5.1122172089792346E-3</v>
      </c>
      <c r="AD25" s="18">
        <f>'6AAs'!B41</f>
        <v>1.4516611500305636E-2</v>
      </c>
      <c r="AE25" s="18">
        <f>'6AAs'!C41</f>
        <v>1.1130581791184773E-3</v>
      </c>
    </row>
    <row r="26" spans="1:31">
      <c r="A26" t="s">
        <v>49</v>
      </c>
      <c r="B26" s="18" t="str">
        <f>Glucose!B42</f>
        <v>NaN</v>
      </c>
      <c r="C26" s="18" t="str">
        <f>Glucose!C42</f>
        <v>NaN</v>
      </c>
      <c r="D26" s="3" t="str">
        <f>Lactate!B42</f>
        <v>NaN</v>
      </c>
      <c r="E26" s="3" t="str">
        <f>Lactate!C42</f>
        <v>NaN</v>
      </c>
      <c r="F26" s="18" t="str">
        <f>Glutamine!B42</f>
        <v>NaN</v>
      </c>
      <c r="G26" s="18" t="str">
        <f>Glutamine!C42</f>
        <v>NaN</v>
      </c>
      <c r="H26" s="3">
        <f>Alanine!B42</f>
        <v>9.9382433910071344E-2</v>
      </c>
      <c r="I26" s="3">
        <f>Alanine!C42</f>
        <v>1.3545895448532993E-2</v>
      </c>
      <c r="J26" s="18" t="str">
        <f>'3HB'!B42</f>
        <v>NaN</v>
      </c>
      <c r="K26" s="18" t="str">
        <f>'3HB'!C42</f>
        <v>NaN</v>
      </c>
      <c r="L26" s="3" t="str">
        <f>Palmitate!B42</f>
        <v>NaN</v>
      </c>
      <c r="M26" s="3" t="str">
        <f>Palmitate!C42</f>
        <v>NaN</v>
      </c>
      <c r="N26" s="18" t="str">
        <f>Oleate!B42</f>
        <v>NaN</v>
      </c>
      <c r="O26" s="18" t="str">
        <f>Oleate!C42</f>
        <v>NaN</v>
      </c>
      <c r="P26" s="3" t="str">
        <f>Linoleate!B42</f>
        <v>NaN</v>
      </c>
      <c r="Q26" s="3" t="str">
        <f>Linoleate!C42</f>
        <v>NaN</v>
      </c>
      <c r="R26" s="18" t="str">
        <f>Serine!B42</f>
        <v>NaN</v>
      </c>
      <c r="S26" s="18" t="str">
        <f>Serine!C42</f>
        <v>NaN</v>
      </c>
      <c r="T26" s="3" t="str">
        <f>Glycine!B42</f>
        <v>NaN</v>
      </c>
      <c r="U26" s="3" t="str">
        <f>Glycine!C42</f>
        <v>NaN</v>
      </c>
      <c r="V26" s="18" t="str">
        <f>Citrate!B42</f>
        <v>NaN</v>
      </c>
      <c r="W26" s="18" t="str">
        <f>Citrate!C42</f>
        <v>NaN</v>
      </c>
      <c r="X26" s="3" t="str">
        <f>Acetate!B42</f>
        <v>NaN</v>
      </c>
      <c r="Y26" s="3" t="str">
        <f>Acetate!C42</f>
        <v>NaN</v>
      </c>
      <c r="Z26" s="18" t="str">
        <f>Glycerol!B42</f>
        <v>NaN</v>
      </c>
      <c r="AA26" s="18" t="str">
        <f>Glycerol!C42</f>
        <v>NaN</v>
      </c>
      <c r="AB26" s="3" t="str">
        <f>BCAAs!B42</f>
        <v>NaN</v>
      </c>
      <c r="AC26" s="3" t="str">
        <f>BCAAs!C42</f>
        <v>NaN</v>
      </c>
      <c r="AD26" s="18" t="str">
        <f>'6AAs'!B42</f>
        <v>NaN</v>
      </c>
      <c r="AE26" s="18" t="str">
        <f>'6AAs'!C42</f>
        <v>NaN</v>
      </c>
    </row>
    <row r="27" spans="1:31">
      <c r="A27" t="s">
        <v>12</v>
      </c>
      <c r="B27" s="18">
        <f>Glucose!B43</f>
        <v>0.14487504379263522</v>
      </c>
      <c r="C27" s="18">
        <f>Glucose!C43</f>
        <v>1.2761019276229803E-2</v>
      </c>
      <c r="D27" s="3">
        <f>Lactate!B43</f>
        <v>0.27603438720269807</v>
      </c>
      <c r="E27" s="3">
        <f>Lactate!C43</f>
        <v>2.3036348911281149E-2</v>
      </c>
      <c r="F27" s="18">
        <f>Glutamine!B43</f>
        <v>0.31676364182604139</v>
      </c>
      <c r="G27" s="18">
        <f>Glutamine!C43</f>
        <v>8.0929278949639777E-2</v>
      </c>
      <c r="H27" s="3">
        <f>Alanine!B43</f>
        <v>0.18073727353094671</v>
      </c>
      <c r="I27" s="3">
        <f>Alanine!C43</f>
        <v>1.3305550456605137E-2</v>
      </c>
      <c r="J27" s="18">
        <f>'3HB'!B43</f>
        <v>6.9228945965307889E-2</v>
      </c>
      <c r="K27" s="18">
        <f>'3HB'!C43</f>
        <v>9.6104777784531727E-3</v>
      </c>
      <c r="L27" s="3">
        <f>Palmitate!B43</f>
        <v>6.2254174209632258E-2</v>
      </c>
      <c r="M27" s="3">
        <f>Palmitate!C43</f>
        <v>6.7996396666106353E-3</v>
      </c>
      <c r="N27" s="18">
        <f>Oleate!B43</f>
        <v>0.12821159691561182</v>
      </c>
      <c r="O27" s="18">
        <f>Oleate!C43</f>
        <v>1.2164626561744416E-2</v>
      </c>
      <c r="P27" s="3">
        <f>Linoleate!B43</f>
        <v>0.14395506719792919</v>
      </c>
      <c r="Q27" s="3">
        <f>Linoleate!C43</f>
        <v>2.0707981550785914E-2</v>
      </c>
      <c r="R27" s="18">
        <f>Serine!B43</f>
        <v>7.846796825482602E-3</v>
      </c>
      <c r="S27" s="18">
        <f>Serine!C43</f>
        <v>1.8632103054895867E-3</v>
      </c>
      <c r="T27" s="3">
        <f>Glycine!B43</f>
        <v>1.294959408077279E-3</v>
      </c>
      <c r="U27" s="3">
        <f>Glycine!C43</f>
        <v>1.2949594080772788E-3</v>
      </c>
      <c r="V27" s="18">
        <f>Citrate!B43</f>
        <v>1.124667894564424E-2</v>
      </c>
      <c r="W27" s="18">
        <f>Citrate!C43</f>
        <v>1.4587534258594448E-3</v>
      </c>
      <c r="X27" s="3">
        <f>Acetate!B43</f>
        <v>6.5723190156947248E-2</v>
      </c>
      <c r="Y27" s="3">
        <f>Acetate!C43</f>
        <v>3.7021093563390007E-3</v>
      </c>
      <c r="Z27" s="18">
        <f>Glycerol!B43</f>
        <v>4.4711153055122334E-2</v>
      </c>
      <c r="AA27" s="18">
        <f>Glycerol!C43</f>
        <v>3.1951678087481844E-3</v>
      </c>
      <c r="AB27" s="3">
        <f>BCAAs!B43</f>
        <v>0.18588339802604337</v>
      </c>
      <c r="AC27" s="3">
        <f>BCAAs!C43</f>
        <v>4.7000481804055368E-2</v>
      </c>
      <c r="AD27" s="18">
        <f>'6AAs'!B43</f>
        <v>3.9397705739349254E-2</v>
      </c>
      <c r="AE27" s="18">
        <f>'6AAs'!C43</f>
        <v>3.4729437322240093E-3</v>
      </c>
    </row>
    <row r="28" spans="1:31">
      <c r="A28" t="s">
        <v>13</v>
      </c>
      <c r="B28" s="18">
        <f>Glucose!B44</f>
        <v>0.20061320565779117</v>
      </c>
      <c r="C28" s="18">
        <f>Glucose!C44</f>
        <v>1.8904112542040837E-2</v>
      </c>
      <c r="D28" s="3">
        <f>Lactate!B44</f>
        <v>0.27819316804476141</v>
      </c>
      <c r="E28" s="3">
        <f>Lactate!C44</f>
        <v>2.152598936950751E-2</v>
      </c>
      <c r="F28" s="18">
        <f>Glutamine!B44</f>
        <v>0.10768569759065223</v>
      </c>
      <c r="G28" s="18">
        <f>Glutamine!C44</f>
        <v>4.0766753287935446E-3</v>
      </c>
      <c r="H28" s="3">
        <f>Alanine!B44</f>
        <v>0.11680063541913191</v>
      </c>
      <c r="I28" s="3">
        <f>Alanine!C44</f>
        <v>9.7938679965687021E-3</v>
      </c>
      <c r="J28" s="18">
        <f>'3HB'!B44</f>
        <v>5.285093171452717E-2</v>
      </c>
      <c r="K28" s="18">
        <f>'3HB'!C44</f>
        <v>1.1553570563454253E-2</v>
      </c>
      <c r="L28" s="3">
        <f>Palmitate!B44</f>
        <v>0.11599291360925466</v>
      </c>
      <c r="M28" s="3">
        <f>Palmitate!C44</f>
        <v>1.4678033531923113E-2</v>
      </c>
      <c r="N28" s="18">
        <f>Oleate!B44</f>
        <v>0.15573742146757724</v>
      </c>
      <c r="O28" s="18">
        <f>Oleate!C44</f>
        <v>1.136712852521019E-2</v>
      </c>
      <c r="P28" s="3">
        <f>Linoleate!B44</f>
        <v>0.16018711565284502</v>
      </c>
      <c r="Q28" s="3">
        <f>Linoleate!C44</f>
        <v>2.8835846923168575E-2</v>
      </c>
      <c r="R28" s="18">
        <f>Serine!B44</f>
        <v>1.1228136582875148E-3</v>
      </c>
      <c r="S28" s="18">
        <f>Serine!C44</f>
        <v>3.1849942011304377E-4</v>
      </c>
      <c r="T28" s="3">
        <f>Glycine!B44</f>
        <v>6.9024372793726552E-3</v>
      </c>
      <c r="U28" s="3">
        <f>Glycine!C44</f>
        <v>7.1394335982167233E-4</v>
      </c>
      <c r="V28" s="18">
        <f>Citrate!B44</f>
        <v>1.5284526241829077E-2</v>
      </c>
      <c r="W28" s="18">
        <f>Citrate!C44</f>
        <v>4.2283598932294869E-4</v>
      </c>
      <c r="X28" s="3">
        <f>Acetate!B44</f>
        <v>9.0976584061868357E-2</v>
      </c>
      <c r="Y28" s="3">
        <f>Acetate!C44</f>
        <v>6.1507872120728892E-3</v>
      </c>
      <c r="Z28" s="18">
        <f>Glycerol!B44</f>
        <v>6.6292481013733709E-2</v>
      </c>
      <c r="AA28" s="18">
        <f>Glycerol!C44</f>
        <v>1.7545559680317182E-3</v>
      </c>
      <c r="AB28" s="3">
        <f>BCAAs!B44</f>
        <v>3.1236875951755356E-2</v>
      </c>
      <c r="AC28" s="3">
        <f>BCAAs!C44</f>
        <v>8.5391361496872115E-3</v>
      </c>
      <c r="AD28" s="18">
        <f>'6AAs'!B44</f>
        <v>9.3738410027739815E-3</v>
      </c>
      <c r="AE28" s="18">
        <f>'6AAs'!C44</f>
        <v>1.9890171732091211E-3</v>
      </c>
    </row>
    <row r="29" spans="1:31">
      <c r="A29" t="s">
        <v>14</v>
      </c>
      <c r="B29" s="18">
        <f>Glucose!B45</f>
        <v>0.15863446874979609</v>
      </c>
      <c r="C29" s="18">
        <f>Glucose!C45</f>
        <v>2.741327343906438E-2</v>
      </c>
      <c r="D29" s="3">
        <f>Lactate!B45</f>
        <v>0.2263370962024803</v>
      </c>
      <c r="E29" s="3">
        <f>Lactate!C45</f>
        <v>2.4551150891101842E-2</v>
      </c>
      <c r="F29" s="18">
        <f>Glutamine!B45</f>
        <v>2.9937789630663403E-2</v>
      </c>
      <c r="G29" s="18">
        <f>Glutamine!C45</f>
        <v>3.4023044058712911E-3</v>
      </c>
      <c r="H29" s="3">
        <f>Alanine!B45</f>
        <v>2.251269475418451E-2</v>
      </c>
      <c r="I29" s="3">
        <f>Alanine!C45</f>
        <v>2.940053702523069E-3</v>
      </c>
      <c r="J29" s="18">
        <f>'3HB'!B45</f>
        <v>5.4504815456017187E-2</v>
      </c>
      <c r="K29" s="18">
        <f>'3HB'!C45</f>
        <v>1.4123313936304359E-2</v>
      </c>
      <c r="L29" s="3">
        <f>Palmitate!B45</f>
        <v>0.15857087885590274</v>
      </c>
      <c r="M29" s="3">
        <f>Palmitate!C45</f>
        <v>1.5951863686353339E-2</v>
      </c>
      <c r="N29" s="18">
        <f>Oleate!B45</f>
        <v>0.22114905423096973</v>
      </c>
      <c r="O29" s="18">
        <f>Oleate!C45</f>
        <v>1.758342881678665E-2</v>
      </c>
      <c r="P29" s="3">
        <f>Linoleate!B45</f>
        <v>0.21890929449323035</v>
      </c>
      <c r="Q29" s="3">
        <f>Linoleate!C45</f>
        <v>2.3454781300093434E-2</v>
      </c>
      <c r="R29" s="18">
        <f>Serine!B45</f>
        <v>1.50721245789682E-3</v>
      </c>
      <c r="S29" s="18">
        <f>Serine!C45</f>
        <v>7.4670957680724424E-4</v>
      </c>
      <c r="T29" s="3">
        <f>Glycine!B45</f>
        <v>3.8361539466850035E-3</v>
      </c>
      <c r="U29" s="3">
        <f>Glycine!C45</f>
        <v>2.899893068346762E-4</v>
      </c>
      <c r="V29" s="18">
        <f>Citrate!B45</f>
        <v>4.0066115058808756E-3</v>
      </c>
      <c r="W29" s="18">
        <f>Citrate!C45</f>
        <v>1.6875322415165991E-4</v>
      </c>
      <c r="X29" s="3">
        <f>Acetate!B45</f>
        <v>0.10172025491349959</v>
      </c>
      <c r="Y29" s="3">
        <f>Acetate!C45</f>
        <v>7.8612570435617653E-3</v>
      </c>
      <c r="Z29" s="18">
        <f>Glycerol!B45</f>
        <v>2.2045036920544072E-2</v>
      </c>
      <c r="AA29" s="18">
        <f>Glycerol!C45</f>
        <v>4.1567182635702093E-3</v>
      </c>
      <c r="AB29" s="3">
        <f>BCAAs!B45</f>
        <v>1.2344042943041788E-2</v>
      </c>
      <c r="AC29" s="3">
        <f>BCAAs!C45</f>
        <v>1.8564339354577798E-3</v>
      </c>
      <c r="AD29" s="18">
        <f>'6AAs'!B45</f>
        <v>3.1817786265605544E-3</v>
      </c>
      <c r="AE29" s="18">
        <f>'6AAs'!C45</f>
        <v>6.7676057081040566E-4</v>
      </c>
    </row>
    <row r="30" spans="1:31">
      <c r="A30" t="s">
        <v>56</v>
      </c>
      <c r="B30" s="18">
        <f>Glucose!B46</f>
        <v>0.15131952291080639</v>
      </c>
      <c r="C30" s="18">
        <f>Glucose!C46</f>
        <v>1.3657844480082471E-2</v>
      </c>
      <c r="D30" s="3">
        <f>Lactate!B46</f>
        <v>0.24243185895752592</v>
      </c>
      <c r="E30" s="3">
        <f>Lactate!C46</f>
        <v>2.6274280240537285E-2</v>
      </c>
      <c r="F30" s="18">
        <f>Glutamine!B46</f>
        <v>0.13486246557615031</v>
      </c>
      <c r="G30" s="18">
        <f>Glutamine!C46</f>
        <v>7.1252585025914751E-3</v>
      </c>
      <c r="H30" s="3">
        <f>Alanine!B46</f>
        <v>0.1100903043697191</v>
      </c>
      <c r="I30" s="3">
        <f>Alanine!C46</f>
        <v>2.6225587923932276E-2</v>
      </c>
      <c r="J30" s="18">
        <f>'3HB'!B46</f>
        <v>2.553307831415073E-2</v>
      </c>
      <c r="K30" s="18">
        <f>'3HB'!C46</f>
        <v>1.1463788164812222E-2</v>
      </c>
      <c r="L30" s="3">
        <f>Palmitate!B46</f>
        <v>3.8554865012641389E-2</v>
      </c>
      <c r="M30" s="3">
        <f>Palmitate!C46</f>
        <v>8.3418703483277585E-3</v>
      </c>
      <c r="N30" s="18">
        <f>Oleate!B46</f>
        <v>0.11996903243879085</v>
      </c>
      <c r="O30" s="18">
        <f>Oleate!C46</f>
        <v>1.715774292893648E-2</v>
      </c>
      <c r="P30" s="3">
        <f>Linoleate!B46</f>
        <v>7.1907837155412352E-2</v>
      </c>
      <c r="Q30" s="3">
        <f>Linoleate!C46</f>
        <v>1.9240928377801662E-2</v>
      </c>
      <c r="R30" s="18">
        <f>Serine!B46</f>
        <v>2.5526453640649556E-4</v>
      </c>
      <c r="S30" s="18">
        <f>Serine!C46</f>
        <v>2.552645364064955E-4</v>
      </c>
      <c r="T30" s="3">
        <f>Glycine!B46</f>
        <v>1.999757501582081E-3</v>
      </c>
      <c r="U30" s="3">
        <f>Glycine!C46</f>
        <v>1.9233791469481346E-4</v>
      </c>
      <c r="V30" s="18">
        <f>Citrate!B46</f>
        <v>2.1405081637280342E-2</v>
      </c>
      <c r="W30" s="18">
        <f>Citrate!C46</f>
        <v>1.8643372778008756E-2</v>
      </c>
      <c r="X30" s="3">
        <f>Acetate!B46</f>
        <v>4.3736119739221403E-2</v>
      </c>
      <c r="Y30" s="3">
        <f>Acetate!C46</f>
        <v>5.8791392370359458E-3</v>
      </c>
      <c r="Z30" s="18">
        <f>Glycerol!B46</f>
        <v>2.0312182896265053E-2</v>
      </c>
      <c r="AA30" s="18">
        <f>Glycerol!C46</f>
        <v>1.0643036430771502E-2</v>
      </c>
      <c r="AB30" s="3">
        <f>BCAAs!B46</f>
        <v>2.43698958073509E-2</v>
      </c>
      <c r="AC30" s="3">
        <f>BCAAs!C46</f>
        <v>1.3768776491832814E-2</v>
      </c>
      <c r="AD30" s="18">
        <f>'6AAs'!B46</f>
        <v>1.8029946524064172E-2</v>
      </c>
      <c r="AE30" s="18" t="e">
        <f>'6AAs'!C46</f>
        <v>#DIV/0!</v>
      </c>
    </row>
    <row r="31" spans="1:31">
      <c r="A31" t="s">
        <v>57</v>
      </c>
      <c r="B31" s="18">
        <f>Glucose!B47</f>
        <v>0.14825689189555291</v>
      </c>
      <c r="C31" s="18">
        <f>Glucose!C47</f>
        <v>1.0716261381452437E-2</v>
      </c>
      <c r="D31" s="3">
        <f>Lactate!B47</f>
        <v>0.22277835389091294</v>
      </c>
      <c r="E31" s="3">
        <f>Lactate!C47</f>
        <v>1.3239582070215406E-2</v>
      </c>
      <c r="F31" s="18">
        <f>Glutamine!B47</f>
        <v>0.13709657465183142</v>
      </c>
      <c r="G31" s="18">
        <f>Glutamine!C47</f>
        <v>5.8542028541576363E-3</v>
      </c>
      <c r="H31" s="3" t="str">
        <f>Alanine!B47</f>
        <v>NaN</v>
      </c>
      <c r="I31" s="3" t="str">
        <f>Alanine!C47</f>
        <v>NaN</v>
      </c>
      <c r="J31" s="18" t="str">
        <f>'3HB'!B47</f>
        <v>NaN</v>
      </c>
      <c r="K31" s="18" t="str">
        <f>'3HB'!C47</f>
        <v>NaN</v>
      </c>
      <c r="L31" s="3">
        <f>Palmitate!B47</f>
        <v>2.800403673362634E-2</v>
      </c>
      <c r="M31" s="3">
        <f>Palmitate!C47</f>
        <v>2.1773276693253137E-3</v>
      </c>
      <c r="N31" s="18" t="str">
        <f>Oleate!B47</f>
        <v>NaN</v>
      </c>
      <c r="O31" s="18" t="str">
        <f>Oleate!C47</f>
        <v>NaN</v>
      </c>
      <c r="P31" s="3">
        <f>Linoleate!B47</f>
        <v>5.2820378916734384E-2</v>
      </c>
      <c r="Q31" s="3">
        <f>Linoleate!C47</f>
        <v>1.6527450856403766E-2</v>
      </c>
      <c r="R31" s="18" t="str">
        <f>Serine!B47</f>
        <v>NaN</v>
      </c>
      <c r="S31" s="18" t="str">
        <f>Serine!C47</f>
        <v>NaN</v>
      </c>
      <c r="T31" s="3">
        <f>Glycine!B47</f>
        <v>2.6596806647940932E-3</v>
      </c>
      <c r="U31" s="3">
        <f>Glycine!C47</f>
        <v>1.108092955411707E-3</v>
      </c>
      <c r="V31" s="18" t="str">
        <f>Citrate!B47</f>
        <v>NaN</v>
      </c>
      <c r="W31" s="18" t="str">
        <f>Citrate!C47</f>
        <v>NaN</v>
      </c>
      <c r="X31" s="3">
        <f>Acetate!B47</f>
        <v>6.1658051163783978E-2</v>
      </c>
      <c r="Y31" s="3">
        <f>Acetate!C47</f>
        <v>5.5750440084636416E-3</v>
      </c>
      <c r="Z31" s="18" t="str">
        <f>Glycerol!B47</f>
        <v>NaN</v>
      </c>
      <c r="AA31" s="18" t="str">
        <f>Glycerol!C47</f>
        <v>NaN</v>
      </c>
      <c r="AB31" s="3" t="str">
        <f>BCAAs!B47</f>
        <v>NaN</v>
      </c>
      <c r="AC31" s="3" t="str">
        <f>BCAAs!C47</f>
        <v>NaN</v>
      </c>
      <c r="AD31" s="18" t="str">
        <f>'6AAs'!B47</f>
        <v>NaN</v>
      </c>
      <c r="AE31" s="18" t="str">
        <f>'6AAs'!C47</f>
        <v>NaN</v>
      </c>
    </row>
    <row r="32" spans="1:31">
      <c r="A32" t="s">
        <v>15</v>
      </c>
      <c r="B32" s="18">
        <f>Glucose!B48</f>
        <v>0.12626288446857586</v>
      </c>
      <c r="C32" s="18">
        <f>Glucose!C48</f>
        <v>1.3997232716516135E-2</v>
      </c>
      <c r="D32" s="3">
        <f>Lactate!B48</f>
        <v>0.27001265984623912</v>
      </c>
      <c r="E32" s="3">
        <f>Lactate!C48</f>
        <v>3.7546748716464504E-2</v>
      </c>
      <c r="F32" s="18">
        <f>Glutamine!B48</f>
        <v>0.29342297707200582</v>
      </c>
      <c r="G32" s="18">
        <f>Glutamine!C48</f>
        <v>1.7737385017610862E-2</v>
      </c>
      <c r="H32" s="3">
        <f>Alanine!B48</f>
        <v>8.0265847869524717E-2</v>
      </c>
      <c r="I32" s="3">
        <f>Alanine!C48</f>
        <v>1.4696912437859429E-2</v>
      </c>
      <c r="J32" s="18">
        <f>'3HB'!B48</f>
        <v>0.1166095217999058</v>
      </c>
      <c r="K32" s="18">
        <f>'3HB'!C48</f>
        <v>2.3457388260594594E-2</v>
      </c>
      <c r="L32" s="3">
        <f>Palmitate!B48</f>
        <v>8.9379683159317463E-2</v>
      </c>
      <c r="M32" s="3">
        <f>Palmitate!C48</f>
        <v>1.4454396711500173E-2</v>
      </c>
      <c r="N32" s="18">
        <f>Oleate!B48</f>
        <v>0.12233628069873638</v>
      </c>
      <c r="O32" s="18">
        <f>Oleate!C48</f>
        <v>2.2059720586352364E-2</v>
      </c>
      <c r="P32" s="3">
        <f>Linoleate!B48</f>
        <v>0.18100458327870037</v>
      </c>
      <c r="Q32" s="3">
        <f>Linoleate!C48</f>
        <v>3.8720186745802292E-2</v>
      </c>
      <c r="R32" s="18">
        <f>Serine!B48</f>
        <v>2.0722940780805968E-3</v>
      </c>
      <c r="S32" s="18">
        <f>Serine!C48</f>
        <v>1.0511311655609522E-3</v>
      </c>
      <c r="T32" s="3">
        <f>Glycine!B48</f>
        <v>3.6043197273254862E-3</v>
      </c>
      <c r="U32" s="3">
        <f>Glycine!C48</f>
        <v>1.1364057890654296E-3</v>
      </c>
      <c r="V32" s="18">
        <f>Citrate!B48</f>
        <v>1.4302456109388736E-2</v>
      </c>
      <c r="W32" s="18">
        <f>Citrate!C48</f>
        <v>1.5445606194000822E-3</v>
      </c>
      <c r="X32" s="3">
        <f>Acetate!B48</f>
        <v>8.7309321542328955E-2</v>
      </c>
      <c r="Y32" s="3">
        <f>Acetate!C48</f>
        <v>6.7524723356268638E-3</v>
      </c>
      <c r="Z32" s="18">
        <f>Glycerol!B48</f>
        <v>4.2194241982221159E-2</v>
      </c>
      <c r="AA32" s="18">
        <f>Glycerol!C48</f>
        <v>8.6332381638133723E-3</v>
      </c>
      <c r="AB32" s="3">
        <f>BCAAs!B48</f>
        <v>3.2523650838634538E-2</v>
      </c>
      <c r="AC32" s="3">
        <f>BCAAs!C48</f>
        <v>8.7315435969334016E-3</v>
      </c>
      <c r="AD32" s="18">
        <f>'6AAs'!B48</f>
        <v>1.4700472393912119E-2</v>
      </c>
      <c r="AE32" s="18">
        <f>'6AAs'!C48</f>
        <v>7.5887056945926341E-4</v>
      </c>
    </row>
    <row r="33" spans="1:31">
      <c r="A33" t="s">
        <v>22</v>
      </c>
      <c r="B33" s="18">
        <f>Glucose!B49</f>
        <v>0.19944619133622676</v>
      </c>
      <c r="C33" s="18">
        <f>Glucose!C49</f>
        <v>2.6878128787964604E-2</v>
      </c>
      <c r="D33" s="3">
        <f>Lactate!B49</f>
        <v>0.22541712235615716</v>
      </c>
      <c r="E33" s="3">
        <f>Lactate!C49</f>
        <v>2.7189739839761896E-2</v>
      </c>
      <c r="F33" s="18">
        <f>Glutamine!B49</f>
        <v>8.7765127990702171E-2</v>
      </c>
      <c r="G33" s="18">
        <f>Glutamine!C49</f>
        <v>1.4945924331989388E-2</v>
      </c>
      <c r="H33" s="3">
        <f>Alanine!B49</f>
        <v>7.3663938787669983E-2</v>
      </c>
      <c r="I33" s="3">
        <f>Alanine!C49</f>
        <v>1.0723787482056926E-2</v>
      </c>
      <c r="J33" s="18">
        <f>'3HB'!B49</f>
        <v>1.524256533114922E-2</v>
      </c>
      <c r="K33" s="18">
        <f>'3HB'!C49</f>
        <v>8.7182668448254185E-3</v>
      </c>
      <c r="L33" s="3">
        <f>Palmitate!B49</f>
        <v>9.6615321186758377E-2</v>
      </c>
      <c r="M33" s="3">
        <f>Palmitate!C49</f>
        <v>1.9113019804079815E-2</v>
      </c>
      <c r="N33" s="18">
        <f>Oleate!B49</f>
        <v>0.13788453935185982</v>
      </c>
      <c r="O33" s="18">
        <f>Oleate!C49</f>
        <v>1.8806458215050153E-2</v>
      </c>
      <c r="P33" s="3">
        <f>Linoleate!B49</f>
        <v>0.12095022871917264</v>
      </c>
      <c r="Q33" s="3">
        <f>Linoleate!C49</f>
        <v>4.2271013177828318E-2</v>
      </c>
      <c r="R33" s="18">
        <f>Serine!B49</f>
        <v>3.2977689677904263E-3</v>
      </c>
      <c r="S33" s="18">
        <f>Serine!C49</f>
        <v>7.7627429344085427E-4</v>
      </c>
      <c r="T33" s="3">
        <f>Glycine!B49</f>
        <v>9.2813858365331438E-4</v>
      </c>
      <c r="U33" s="3">
        <f>Glycine!C49</f>
        <v>7.8746628555091732E-5</v>
      </c>
      <c r="V33" s="18">
        <f>Citrate!B49</f>
        <v>1.8440290194926927E-2</v>
      </c>
      <c r="W33" s="18">
        <f>Citrate!C49</f>
        <v>5.78350074067075E-4</v>
      </c>
      <c r="X33" s="3">
        <f>Acetate!B49</f>
        <v>4.7262200294002653E-2</v>
      </c>
      <c r="Y33" s="3">
        <f>Acetate!C49</f>
        <v>8.1881979103776582E-3</v>
      </c>
      <c r="Z33" s="18">
        <f>Glycerol!B49</f>
        <v>4.3738226206225639E-2</v>
      </c>
      <c r="AA33" s="18">
        <f>Glycerol!C49</f>
        <v>2.8690332828513877E-3</v>
      </c>
      <c r="AB33" s="3">
        <f>BCAAs!B49</f>
        <v>1.0098518918060271E-2</v>
      </c>
      <c r="AC33" s="3">
        <f>BCAAs!C49</f>
        <v>6.0546348209116491E-3</v>
      </c>
      <c r="AD33" s="18">
        <f>'6AAs'!B49</f>
        <v>4.4280784768015204E-3</v>
      </c>
      <c r="AE33" s="18">
        <f>'6AAs'!C49</f>
        <v>6.4960197231628356E-5</v>
      </c>
    </row>
    <row r="34" spans="1:31">
      <c r="A34" t="s">
        <v>59</v>
      </c>
      <c r="B34" s="18" t="str">
        <f>Glucose!B50</f>
        <v>NaN</v>
      </c>
      <c r="C34" s="18" t="str">
        <f>Glucose!C50</f>
        <v>NaN</v>
      </c>
      <c r="D34" s="3" t="str">
        <f>Lactate!B50</f>
        <v>NaN</v>
      </c>
      <c r="E34" s="3" t="str">
        <f>Lactate!C50</f>
        <v>NaN</v>
      </c>
      <c r="F34" s="18" t="str">
        <f>Glutamine!B50</f>
        <v>NaN</v>
      </c>
      <c r="G34" s="18" t="str">
        <f>Glutamine!C50</f>
        <v>NaN</v>
      </c>
      <c r="H34" s="3">
        <f>Alanine!B50</f>
        <v>5.4657656014288791E-2</v>
      </c>
      <c r="I34" s="3">
        <f>Alanine!C50</f>
        <v>5.2876729133170949E-3</v>
      </c>
      <c r="J34" s="18">
        <f>'3HB'!B50</f>
        <v>6.6788831935403636E-2</v>
      </c>
      <c r="K34" s="18">
        <f>'3HB'!C50</f>
        <v>2.3016591517593579E-2</v>
      </c>
      <c r="L34" s="3" t="str">
        <f>Palmitate!B50</f>
        <v>NaN</v>
      </c>
      <c r="M34" s="3" t="str">
        <f>Palmitate!C50</f>
        <v>NaN</v>
      </c>
      <c r="N34" s="18" t="str">
        <f>Oleate!B50</f>
        <v>NaN</v>
      </c>
      <c r="O34" s="18" t="str">
        <f>Oleate!C50</f>
        <v>NaN</v>
      </c>
      <c r="P34" s="3" t="str">
        <f>Linoleate!B50</f>
        <v>NaN</v>
      </c>
      <c r="Q34" s="3" t="str">
        <f>Linoleate!C50</f>
        <v>NaN</v>
      </c>
      <c r="R34" s="18" t="str">
        <f>Serine!B50</f>
        <v>NaN</v>
      </c>
      <c r="S34" s="18" t="str">
        <f>Serine!C50</f>
        <v>NaN</v>
      </c>
      <c r="T34" s="3" t="str">
        <f>Glycine!B50</f>
        <v>NaN</v>
      </c>
      <c r="U34" s="3" t="str">
        <f>Glycine!C50</f>
        <v>NaN</v>
      </c>
      <c r="V34" s="18" t="str">
        <f>Citrate!B50</f>
        <v>NaN</v>
      </c>
      <c r="W34" s="18" t="str">
        <f>Citrate!C50</f>
        <v>NaN</v>
      </c>
      <c r="X34" s="3" t="str">
        <f>Acetate!B50</f>
        <v>NaN</v>
      </c>
      <c r="Y34" s="3" t="str">
        <f>Acetate!C50</f>
        <v>NaN</v>
      </c>
      <c r="Z34" s="18" t="str">
        <f>Glycerol!B50</f>
        <v>NaN</v>
      </c>
      <c r="AA34" s="18" t="str">
        <f>Glycerol!C50</f>
        <v>NaN</v>
      </c>
      <c r="AB34" s="3">
        <f>BCAAs!B50</f>
        <v>1.4376245418296999E-2</v>
      </c>
      <c r="AC34" s="3">
        <f>BCAAs!C50</f>
        <v>7.4800675442416101E-3</v>
      </c>
      <c r="AD34" s="18" t="str">
        <f>'6AAs'!B50</f>
        <v>NaN</v>
      </c>
      <c r="AE34" s="18" t="str">
        <f>'6AAs'!C50</f>
        <v>NaN</v>
      </c>
    </row>
    <row r="35" spans="1:31">
      <c r="A35" t="s">
        <v>58</v>
      </c>
      <c r="B35" s="18" t="str">
        <f>Glucose!B51</f>
        <v>NaN</v>
      </c>
      <c r="C35" s="18" t="str">
        <f>Glucose!C51</f>
        <v>NaN</v>
      </c>
      <c r="D35" s="3" t="str">
        <f>Lactate!B51</f>
        <v>NaN</v>
      </c>
      <c r="E35" s="3" t="str">
        <f>Lactate!C51</f>
        <v>NaN</v>
      </c>
      <c r="F35" s="18" t="str">
        <f>Glutamine!B51</f>
        <v>NaN</v>
      </c>
      <c r="G35" s="18" t="str">
        <f>Glutamine!C51</f>
        <v>NaN</v>
      </c>
      <c r="H35" s="3" t="str">
        <f>Alanine!B51</f>
        <v>NaN</v>
      </c>
      <c r="I35" s="3" t="str">
        <f>Alanine!C51</f>
        <v>NaN</v>
      </c>
      <c r="J35" s="18" t="str">
        <f>'3HB'!B51</f>
        <v>NaN</v>
      </c>
      <c r="K35" s="18" t="str">
        <f>'3HB'!C51</f>
        <v>NaN</v>
      </c>
      <c r="L35" s="3" t="str">
        <f>Palmitate!B51</f>
        <v>NaN</v>
      </c>
      <c r="M35" s="3" t="str">
        <f>Palmitate!C51</f>
        <v>NaN</v>
      </c>
      <c r="N35" s="18" t="str">
        <f>Oleate!B51</f>
        <v>NaN</v>
      </c>
      <c r="O35" s="18" t="str">
        <f>Oleate!C51</f>
        <v>NaN</v>
      </c>
      <c r="P35" s="3" t="str">
        <f>Linoleate!B51</f>
        <v>NaN</v>
      </c>
      <c r="Q35" s="3" t="str">
        <f>Linoleate!C51</f>
        <v>NaN</v>
      </c>
      <c r="R35" s="18" t="str">
        <f>Serine!B51</f>
        <v>NaN</v>
      </c>
      <c r="S35" s="18" t="str">
        <f>Serine!C51</f>
        <v>NaN</v>
      </c>
      <c r="T35" s="3" t="str">
        <f>Glycine!B51</f>
        <v>NaN</v>
      </c>
      <c r="U35" s="3" t="str">
        <f>Glycine!C51</f>
        <v>NaN</v>
      </c>
      <c r="V35" s="18" t="str">
        <f>Citrate!B51</f>
        <v>NaN</v>
      </c>
      <c r="W35" s="18" t="str">
        <f>Citrate!C51</f>
        <v>NaN</v>
      </c>
      <c r="X35" s="3" t="str">
        <f>Acetate!B51</f>
        <v>NaN</v>
      </c>
      <c r="Y35" s="3" t="str">
        <f>Acetate!C51</f>
        <v>NaN</v>
      </c>
      <c r="Z35" s="18" t="str">
        <f>Glycerol!B51</f>
        <v>NaN</v>
      </c>
      <c r="AA35" s="18" t="str">
        <f>Glycerol!C51</f>
        <v>NaN</v>
      </c>
      <c r="AB35" s="3" t="str">
        <f>BCAAs!B51</f>
        <v>NaN</v>
      </c>
      <c r="AC35" s="3" t="str">
        <f>BCAAs!C51</f>
        <v>NaN</v>
      </c>
      <c r="AD35" s="18" t="str">
        <f>'6AAs'!B51</f>
        <v>NaN</v>
      </c>
      <c r="AE35" s="18" t="str">
        <f>'6AAs'!C51</f>
        <v>NaN</v>
      </c>
    </row>
    <row r="36" spans="1:31">
      <c r="B36" s="18"/>
      <c r="C36" s="18"/>
      <c r="D36" s="3"/>
      <c r="E36" s="3"/>
      <c r="F36" s="18"/>
      <c r="G36" s="18"/>
      <c r="H36" s="3"/>
      <c r="I36" s="3"/>
      <c r="J36" s="18"/>
      <c r="K36" s="18"/>
      <c r="L36" s="3"/>
      <c r="M36" s="3"/>
      <c r="N36" s="18"/>
      <c r="O36" s="18"/>
      <c r="P36" s="3"/>
      <c r="Q36" s="3"/>
      <c r="R36" s="18"/>
      <c r="S36" s="18"/>
      <c r="T36" s="3"/>
      <c r="U36" s="3"/>
      <c r="V36" s="18"/>
      <c r="W36" s="18"/>
      <c r="X36" s="3"/>
      <c r="Y36" s="3"/>
      <c r="Z36" s="18"/>
      <c r="AA36" s="18"/>
      <c r="AB36" s="3"/>
      <c r="AC36" s="3"/>
      <c r="AD36" s="18"/>
      <c r="AE36" s="18"/>
    </row>
    <row r="37" spans="1:31">
      <c r="A37" s="1" t="s">
        <v>17</v>
      </c>
      <c r="B37" s="18"/>
      <c r="C37" s="18"/>
      <c r="D37" s="3"/>
      <c r="E37" s="3"/>
      <c r="F37" s="18"/>
      <c r="G37" s="18"/>
      <c r="H37" s="3"/>
      <c r="I37" s="3"/>
      <c r="J37" s="18"/>
      <c r="K37" s="18"/>
      <c r="L37" s="3"/>
      <c r="M37" s="3"/>
      <c r="N37" s="18"/>
      <c r="O37" s="18"/>
      <c r="P37" s="3"/>
      <c r="Q37" s="3"/>
      <c r="R37" s="18"/>
      <c r="S37" s="18"/>
      <c r="T37" s="3"/>
      <c r="U37" s="3"/>
      <c r="V37" s="18"/>
      <c r="W37" s="18"/>
      <c r="X37" s="3"/>
      <c r="Y37" s="3"/>
      <c r="Z37" s="18"/>
      <c r="AA37" s="18"/>
      <c r="AB37" s="3"/>
      <c r="AC37" s="3"/>
      <c r="AD37" s="18"/>
      <c r="AE37" s="18"/>
    </row>
    <row r="38" spans="1:31">
      <c r="A38" t="s">
        <v>7</v>
      </c>
      <c r="B38" s="18">
        <f>Glucose!B54</f>
        <v>0.76340271006614757</v>
      </c>
      <c r="C38" s="18">
        <f>Glucose!C54</f>
        <v>6.7117172432476276E-3</v>
      </c>
      <c r="D38" s="3">
        <f>Lactate!B54</f>
        <v>0.35843217660789911</v>
      </c>
      <c r="E38" s="3">
        <f>Lactate!C54</f>
        <v>2.3398857103031256E-2</v>
      </c>
      <c r="F38" s="18">
        <f>Glutamine!B54</f>
        <v>6.2177907760379868E-2</v>
      </c>
      <c r="G38" s="18">
        <f>Glutamine!C54</f>
        <v>6.0840976273974657E-3</v>
      </c>
      <c r="H38" s="3">
        <f>Alanine!B54</f>
        <v>0.20251479301270414</v>
      </c>
      <c r="I38" s="3">
        <f>Alanine!C54</f>
        <v>2.1153314831923582E-2</v>
      </c>
      <c r="J38" s="18">
        <f>'3HB'!B54</f>
        <v>2.925288457951767E-2</v>
      </c>
      <c r="K38" s="18">
        <f>'3HB'!C54</f>
        <v>9.1729750408769406E-3</v>
      </c>
      <c r="L38" s="3">
        <f>Palmitate!B54</f>
        <v>2.8099848123238898E-2</v>
      </c>
      <c r="M38" s="3">
        <f>Palmitate!C54</f>
        <v>7.3255184788274365E-3</v>
      </c>
      <c r="N38" s="18">
        <f>Oleate!B54</f>
        <v>5.5392188664646035E-2</v>
      </c>
      <c r="O38" s="18">
        <f>Oleate!C54</f>
        <v>1.3488153173836536E-2</v>
      </c>
      <c r="P38" s="3">
        <f>Linoleate!B54</f>
        <v>8.1756882188499497E-2</v>
      </c>
      <c r="Q38" s="3">
        <f>Linoleate!C54</f>
        <v>2.0405651603156164E-2</v>
      </c>
      <c r="R38" s="18">
        <f>Serine!B54</f>
        <v>1.1439853408113701E-2</v>
      </c>
      <c r="S38" s="18">
        <f>Serine!C54</f>
        <v>4.8157919448694204E-3</v>
      </c>
      <c r="T38" s="3">
        <f>Glycine!B54</f>
        <v>3.7381761383075644E-3</v>
      </c>
      <c r="U38" s="3">
        <f>Glycine!C54</f>
        <v>1.2244057138907523E-3</v>
      </c>
      <c r="V38" s="18">
        <f>Citrate!B54</f>
        <v>2.3631953416751835E-2</v>
      </c>
      <c r="W38" s="18">
        <f>Citrate!C54</f>
        <v>3.0980969760565015E-3</v>
      </c>
      <c r="X38" s="3">
        <f>Acetate!B54</f>
        <v>2.4691174976210522E-2</v>
      </c>
      <c r="Y38" s="3">
        <f>Acetate!C54</f>
        <v>2.6124787693144456E-3</v>
      </c>
      <c r="Z38" s="18">
        <f>Glycerol!B54</f>
        <v>0.22272509546877564</v>
      </c>
      <c r="AA38" s="18">
        <f>Glycerol!C54</f>
        <v>7.1199673211126219E-2</v>
      </c>
      <c r="AB38" s="3">
        <f>BCAAs!B54</f>
        <v>1.7237216918476267E-2</v>
      </c>
      <c r="AC38" s="3">
        <f>BCAAs!C54</f>
        <v>1.5762032080258925E-3</v>
      </c>
      <c r="AD38" s="18">
        <f>'6AAs'!B54</f>
        <v>1.4943688950053866E-2</v>
      </c>
      <c r="AE38" s="18">
        <f>'6AAs'!C54</f>
        <v>2.6170986402239719E-3</v>
      </c>
    </row>
    <row r="39" spans="1:31">
      <c r="A39" t="s">
        <v>8</v>
      </c>
      <c r="B39" s="18">
        <f>Glucose!B55</f>
        <v>0.22450273649253175</v>
      </c>
      <c r="C39" s="18">
        <f>Glucose!C55</f>
        <v>2.7950165652214077E-2</v>
      </c>
      <c r="D39" s="3">
        <f>Lactate!B55</f>
        <v>0.27516618610184157</v>
      </c>
      <c r="E39" s="3">
        <f>Lactate!C55</f>
        <v>2.2587701764985736E-2</v>
      </c>
      <c r="F39" s="18">
        <f>Glutamine!B55</f>
        <v>8.2361951518963999E-2</v>
      </c>
      <c r="G39" s="18">
        <f>Glutamine!C55</f>
        <v>7.0854432265742059E-3</v>
      </c>
      <c r="H39" s="3">
        <f>Alanine!B55</f>
        <v>4.694514637622519E-2</v>
      </c>
      <c r="I39" s="3">
        <f>Alanine!C55</f>
        <v>3.642516896897157E-3</v>
      </c>
      <c r="J39" s="18">
        <f>'3HB'!B55</f>
        <v>3.4108578616941235E-2</v>
      </c>
      <c r="K39" s="18">
        <f>'3HB'!C55</f>
        <v>5.8965597028538125E-3</v>
      </c>
      <c r="L39" s="3">
        <f>Palmitate!B55</f>
        <v>8.634846166111719E-2</v>
      </c>
      <c r="M39" s="3">
        <f>Palmitate!C55</f>
        <v>7.7076899986884334E-3</v>
      </c>
      <c r="N39" s="18">
        <f>Oleate!B55</f>
        <v>0.18572060883813601</v>
      </c>
      <c r="O39" s="18">
        <f>Oleate!C55</f>
        <v>1.3105699967361781E-2</v>
      </c>
      <c r="P39" s="3">
        <f>Linoleate!B55</f>
        <v>0.21387831779341701</v>
      </c>
      <c r="Q39" s="3">
        <f>Linoleate!C55</f>
        <v>2.3086535095982658E-2</v>
      </c>
      <c r="R39" s="18">
        <f>Serine!B55</f>
        <v>1.647335656741122E-3</v>
      </c>
      <c r="S39" s="18">
        <f>Serine!C55</f>
        <v>4.8452790399099095E-4</v>
      </c>
      <c r="T39" s="3">
        <f>Glycine!B55</f>
        <v>1.0408813308109761E-3</v>
      </c>
      <c r="U39" s="3">
        <f>Glycine!C55</f>
        <v>2.4331351041808553E-4</v>
      </c>
      <c r="V39" s="18">
        <f>Citrate!B55</f>
        <v>4.5727013879952637E-3</v>
      </c>
      <c r="W39" s="18">
        <f>Citrate!C55</f>
        <v>1.2760537378169105E-3</v>
      </c>
      <c r="X39" s="3">
        <f>Acetate!B55</f>
        <v>7.3196169119935067E-2</v>
      </c>
      <c r="Y39" s="3">
        <f>Acetate!C55</f>
        <v>1.2448345538150206E-2</v>
      </c>
      <c r="Z39" s="18">
        <f>Glycerol!B55</f>
        <v>3.6688198122042381E-2</v>
      </c>
      <c r="AA39" s="18">
        <f>Glycerol!C55</f>
        <v>6.4126017617565784E-3</v>
      </c>
      <c r="AB39" s="3">
        <f>BCAAs!B55</f>
        <v>4.384015755976569E-2</v>
      </c>
      <c r="AC39" s="3">
        <f>BCAAs!C55</f>
        <v>7.3451564503342779E-3</v>
      </c>
      <c r="AD39" s="18">
        <f>'6AAs'!B55</f>
        <v>4.1076765085742983E-3</v>
      </c>
      <c r="AE39" s="18">
        <f>'6AAs'!C55</f>
        <v>1.764160545487512E-3</v>
      </c>
    </row>
    <row r="40" spans="1:31">
      <c r="A40" t="s">
        <v>9</v>
      </c>
      <c r="B40" s="18">
        <f>Glucose!B56</f>
        <v>0.19689336377097383</v>
      </c>
      <c r="C40" s="18">
        <f>Glucose!C56</f>
        <v>2.4103523248558918E-2</v>
      </c>
      <c r="D40" s="3">
        <f>Lactate!B56</f>
        <v>0.38280060736699667</v>
      </c>
      <c r="E40" s="3">
        <f>Lactate!C56</f>
        <v>3.03947899760241E-2</v>
      </c>
      <c r="F40" s="18">
        <f>Glutamine!B56</f>
        <v>0.15185820688323334</v>
      </c>
      <c r="G40" s="18">
        <f>Glutamine!C56</f>
        <v>4.5265581055071481E-3</v>
      </c>
      <c r="H40" s="3">
        <f>Alanine!B56</f>
        <v>0.10199820783912907</v>
      </c>
      <c r="I40" s="3">
        <f>Alanine!C56</f>
        <v>1.8842782734431931E-2</v>
      </c>
      <c r="J40" s="18">
        <f>'3HB'!B56</f>
        <v>0.1148421969343489</v>
      </c>
      <c r="K40" s="18">
        <f>'3HB'!C56</f>
        <v>1.8677893357868014E-2</v>
      </c>
      <c r="L40" s="3">
        <f>Palmitate!B56</f>
        <v>9.4538685868331238E-2</v>
      </c>
      <c r="M40" s="3">
        <f>Palmitate!C56</f>
        <v>1.4933863131358804E-2</v>
      </c>
      <c r="N40" s="18">
        <f>Oleate!B56</f>
        <v>0.17359946096625009</v>
      </c>
      <c r="O40" s="18">
        <f>Oleate!C56</f>
        <v>1.6242493348148229E-2</v>
      </c>
      <c r="P40" s="3">
        <f>Linoleate!B56</f>
        <v>0.33314311714315015</v>
      </c>
      <c r="Q40" s="3">
        <f>Linoleate!C56</f>
        <v>5.7291439520635319E-2</v>
      </c>
      <c r="R40" s="18">
        <f>Serine!B56</f>
        <v>3.6822721016038814E-3</v>
      </c>
      <c r="S40" s="18">
        <f>Serine!C56</f>
        <v>2.6605958771682561E-5</v>
      </c>
      <c r="T40" s="3">
        <f>Glycine!B56</f>
        <v>4.5410905966379615E-3</v>
      </c>
      <c r="U40" s="3">
        <f>Glycine!C56</f>
        <v>1.3087706714742567E-3</v>
      </c>
      <c r="V40" s="18">
        <f>Citrate!B56</f>
        <v>0.16380369606008485</v>
      </c>
      <c r="W40" s="18">
        <f>Citrate!C56</f>
        <v>6.6677982839211287E-3</v>
      </c>
      <c r="X40" s="3">
        <f>Acetate!B56</f>
        <v>0.1375685827557894</v>
      </c>
      <c r="Y40" s="3">
        <f>Acetate!C56</f>
        <v>1.4675893218364409E-2</v>
      </c>
      <c r="Z40" s="18">
        <f>Glycerol!B56</f>
        <v>9.1666787374287129E-2</v>
      </c>
      <c r="AA40" s="18">
        <f>Glycerol!C56</f>
        <v>5.8553673183254001E-3</v>
      </c>
      <c r="AB40" s="3">
        <f>BCAAs!B56</f>
        <v>2.0505670556628545E-2</v>
      </c>
      <c r="AC40" s="3">
        <f>BCAAs!C56</f>
        <v>1.4530693415953496E-2</v>
      </c>
      <c r="AD40" s="18">
        <f>'6AAs'!B56</f>
        <v>1.6199218637909629E-2</v>
      </c>
      <c r="AE40" s="18">
        <f>'6AAs'!C56</f>
        <v>1.4702935890939196E-3</v>
      </c>
    </row>
    <row r="41" spans="1:31">
      <c r="A41" t="s">
        <v>10</v>
      </c>
      <c r="B41" s="18">
        <f>Glucose!B57</f>
        <v>0.15866759776026462</v>
      </c>
      <c r="C41" s="18">
        <f>Glucose!C57</f>
        <v>9.9547718599954337E-3</v>
      </c>
      <c r="D41" s="3">
        <f>Lactate!B57</f>
        <v>0.29996172904019297</v>
      </c>
      <c r="E41" s="3">
        <f>Lactate!C57</f>
        <v>1.7502642865698251E-2</v>
      </c>
      <c r="F41" s="18">
        <f>Glutamine!B57</f>
        <v>0.16706628538441493</v>
      </c>
      <c r="G41" s="18">
        <f>Glutamine!C57</f>
        <v>8.4558956051017063E-3</v>
      </c>
      <c r="H41" s="3">
        <f>Alanine!B57</f>
        <v>0.17362146205379161</v>
      </c>
      <c r="I41" s="3">
        <f>Alanine!C57</f>
        <v>1.3123926228433391E-2</v>
      </c>
      <c r="J41" s="18">
        <f>'3HB'!B57</f>
        <v>3.0750012057946512E-2</v>
      </c>
      <c r="K41" s="18">
        <f>'3HB'!C57</f>
        <v>5.162821168893072E-3</v>
      </c>
      <c r="L41" s="3">
        <f>Palmitate!B57</f>
        <v>6.2126560133714155E-2</v>
      </c>
      <c r="M41" s="3">
        <f>Palmitate!C57</f>
        <v>1.0292511749882837E-2</v>
      </c>
      <c r="N41" s="18">
        <f>Oleate!B57</f>
        <v>0.10465410014983037</v>
      </c>
      <c r="O41" s="18">
        <f>Oleate!C57</f>
        <v>9.1373027679220453E-3</v>
      </c>
      <c r="P41" s="3">
        <f>Linoleate!B57</f>
        <v>0.14970118046089212</v>
      </c>
      <c r="Q41" s="3">
        <f>Linoleate!C57</f>
        <v>1.6390808728414391E-2</v>
      </c>
      <c r="R41" s="18">
        <f>Serine!B57</f>
        <v>1.1495236347878052E-2</v>
      </c>
      <c r="S41" s="18">
        <f>Serine!C57</f>
        <v>2.5991301840924681E-3</v>
      </c>
      <c r="T41" s="3">
        <f>Glycine!B57</f>
        <v>9.2900299871981964E-3</v>
      </c>
      <c r="U41" s="3">
        <f>Glycine!C57</f>
        <v>8.9854261582307787E-4</v>
      </c>
      <c r="V41" s="18">
        <f>Citrate!B57</f>
        <v>9.3173145317285485E-3</v>
      </c>
      <c r="W41" s="18">
        <f>Citrate!C57</f>
        <v>1.2564412410971501E-3</v>
      </c>
      <c r="X41" s="3">
        <f>Acetate!B57</f>
        <v>2.2168809411821939E-2</v>
      </c>
      <c r="Y41" s="3">
        <f>Acetate!C57</f>
        <v>3.8538796587332331E-3</v>
      </c>
      <c r="Z41" s="18">
        <f>Glycerol!B57</f>
        <v>6.8686852751330851E-2</v>
      </c>
      <c r="AA41" s="18">
        <f>Glycerol!C57</f>
        <v>3.7386267169967013E-3</v>
      </c>
      <c r="AB41" s="3">
        <f>BCAAs!B57</f>
        <v>1.4385607345260959E-2</v>
      </c>
      <c r="AC41" s="3">
        <f>BCAAs!C57</f>
        <v>9.1601741990886484E-3</v>
      </c>
      <c r="AD41" s="18">
        <f>'6AAs'!B57</f>
        <v>4.6733723020080831E-2</v>
      </c>
      <c r="AE41" s="18">
        <f>'6AAs'!C57</f>
        <v>4.5533899629690584E-3</v>
      </c>
    </row>
    <row r="42" spans="1:31">
      <c r="A42" t="s">
        <v>11</v>
      </c>
      <c r="B42" s="18">
        <f>Glucose!B58</f>
        <v>0.10984356383183677</v>
      </c>
      <c r="C42" s="18">
        <f>Glucose!C58</f>
        <v>1.2929741080924246E-2</v>
      </c>
      <c r="D42" s="3">
        <f>Lactate!B58</f>
        <v>0.21168849354685326</v>
      </c>
      <c r="E42" s="3">
        <f>Lactate!C58</f>
        <v>2.8960385412975249E-2</v>
      </c>
      <c r="F42" s="18">
        <f>Glutamine!B58</f>
        <v>0.2762157564262831</v>
      </c>
      <c r="G42" s="18">
        <f>Glutamine!C58</f>
        <v>2.5143820440247509E-2</v>
      </c>
      <c r="H42" s="3">
        <f>Alanine!B58</f>
        <v>5.3157562499946243E-2</v>
      </c>
      <c r="I42" s="3">
        <f>Alanine!C58</f>
        <v>8.8592470119861957E-3</v>
      </c>
      <c r="J42" s="18">
        <f>'3HB'!B58</f>
        <v>0.10565625127473691</v>
      </c>
      <c r="K42" s="18">
        <f>'3HB'!C58</f>
        <v>1.6784387265593365E-2</v>
      </c>
      <c r="L42" s="3">
        <f>Palmitate!B58</f>
        <v>0.11379975442170252</v>
      </c>
      <c r="M42" s="3">
        <f>Palmitate!C58</f>
        <v>1.3383117037906322E-2</v>
      </c>
      <c r="N42" s="18">
        <f>Oleate!B58</f>
        <v>0.18656470603831116</v>
      </c>
      <c r="O42" s="18">
        <f>Oleate!C58</f>
        <v>1.3039859083400534E-2</v>
      </c>
      <c r="P42" s="3">
        <f>Linoleate!B58</f>
        <v>0.22612718217737604</v>
      </c>
      <c r="Q42" s="3">
        <f>Linoleate!C58</f>
        <v>3.4936021393310007E-2</v>
      </c>
      <c r="R42" s="18">
        <f>Serine!B58</f>
        <v>2.2200292307187224E-3</v>
      </c>
      <c r="S42" s="18">
        <f>Serine!C58</f>
        <v>3.7061159344750768E-4</v>
      </c>
      <c r="T42" s="3">
        <f>Glycine!B58</f>
        <v>1.2282143567484511E-3</v>
      </c>
      <c r="U42" s="3">
        <f>Glycine!C58</f>
        <v>1.8859789276341827E-4</v>
      </c>
      <c r="V42" s="18">
        <f>Citrate!B58</f>
        <v>6.6840428172836733E-3</v>
      </c>
      <c r="W42" s="18">
        <f>Citrate!C58</f>
        <v>1.1401202468528054E-3</v>
      </c>
      <c r="X42" s="3">
        <f>Acetate!B58</f>
        <v>0.16889199568651078</v>
      </c>
      <c r="Y42" s="3">
        <f>Acetate!C58</f>
        <v>1.9001684632577419E-2</v>
      </c>
      <c r="Z42" s="18">
        <f>Glycerol!B58</f>
        <v>3.7278704427306054E-2</v>
      </c>
      <c r="AA42" s="18">
        <f>Glycerol!C58</f>
        <v>9.2465977425777949E-3</v>
      </c>
      <c r="AB42" s="3">
        <f>BCAAs!B58</f>
        <v>2.1974191051578256E-2</v>
      </c>
      <c r="AC42" s="3">
        <f>BCAAs!C58</f>
        <v>2.7207534073350041E-3</v>
      </c>
      <c r="AD42" s="18">
        <f>'6AAs'!B58</f>
        <v>1.5128135874787042E-2</v>
      </c>
      <c r="AE42" s="18">
        <f>'6AAs'!C58</f>
        <v>1.0467068205278005E-3</v>
      </c>
    </row>
    <row r="43" spans="1:31">
      <c r="A43" t="s">
        <v>49</v>
      </c>
      <c r="B43" s="18" t="str">
        <f>Glucose!B59</f>
        <v>NaN</v>
      </c>
      <c r="C43" s="18" t="str">
        <f>Glucose!C59</f>
        <v>NaN</v>
      </c>
      <c r="D43" s="3" t="str">
        <f>Lactate!B59</f>
        <v>NaN</v>
      </c>
      <c r="E43" s="3" t="str">
        <f>Lactate!C59</f>
        <v>NaN</v>
      </c>
      <c r="F43" s="18" t="str">
        <f>Glutamine!B59</f>
        <v>NaN</v>
      </c>
      <c r="G43" s="18" t="str">
        <f>Glutamine!C59</f>
        <v>NaN</v>
      </c>
      <c r="H43" s="3">
        <f>Alanine!B59</f>
        <v>8.1770365860134586E-2</v>
      </c>
      <c r="I43" s="3">
        <f>Alanine!C59</f>
        <v>1.1087673552442348E-2</v>
      </c>
      <c r="J43" s="18" t="str">
        <f>'3HB'!B59</f>
        <v>NaN</v>
      </c>
      <c r="K43" s="18" t="str">
        <f>'3HB'!C59</f>
        <v>NaN</v>
      </c>
      <c r="L43" s="3" t="str">
        <f>Palmitate!B59</f>
        <v>NaN</v>
      </c>
      <c r="M43" s="3" t="str">
        <f>Palmitate!C59</f>
        <v>NaN</v>
      </c>
      <c r="N43" s="18" t="str">
        <f>Oleate!B59</f>
        <v>NaN</v>
      </c>
      <c r="O43" s="18" t="str">
        <f>Oleate!C59</f>
        <v>NaN</v>
      </c>
      <c r="P43" s="3" t="str">
        <f>Linoleate!B59</f>
        <v>NaN</v>
      </c>
      <c r="Q43" s="3" t="str">
        <f>Linoleate!C59</f>
        <v>NaN</v>
      </c>
      <c r="R43" s="18" t="str">
        <f>Serine!B59</f>
        <v>NaN</v>
      </c>
      <c r="S43" s="18" t="str">
        <f>Serine!C59</f>
        <v>NaN</v>
      </c>
      <c r="T43" s="3" t="str">
        <f>Glycine!B59</f>
        <v>NaN</v>
      </c>
      <c r="U43" s="3" t="str">
        <f>Glycine!C59</f>
        <v>NaN</v>
      </c>
      <c r="V43" s="18" t="str">
        <f>Citrate!B59</f>
        <v>NaN</v>
      </c>
      <c r="W43" s="18" t="str">
        <f>Citrate!C59</f>
        <v>NaN</v>
      </c>
      <c r="X43" s="3" t="str">
        <f>Acetate!B59</f>
        <v>NaN</v>
      </c>
      <c r="Y43" s="3" t="str">
        <f>Acetate!C59</f>
        <v>NaN</v>
      </c>
      <c r="Z43" s="18" t="str">
        <f>Glycerol!B59</f>
        <v>NaN</v>
      </c>
      <c r="AA43" s="18" t="str">
        <f>Glycerol!C59</f>
        <v>NaN</v>
      </c>
      <c r="AB43" s="3" t="str">
        <f>BCAAs!B59</f>
        <v>NaN</v>
      </c>
      <c r="AC43" s="3" t="str">
        <f>BCAAs!C59</f>
        <v>NaN</v>
      </c>
      <c r="AD43" s="18" t="str">
        <f>'6AAs'!B59</f>
        <v>NaN</v>
      </c>
      <c r="AE43" s="18" t="str">
        <f>'6AAs'!C59</f>
        <v>NaN</v>
      </c>
    </row>
    <row r="44" spans="1:31">
      <c r="A44" t="s">
        <v>12</v>
      </c>
      <c r="B44" s="18">
        <f>Glucose!B60</f>
        <v>0.14368615735774654</v>
      </c>
      <c r="C44" s="18">
        <f>Glucose!C60</f>
        <v>1.5144614211319586E-2</v>
      </c>
      <c r="D44" s="3">
        <f>Lactate!B60</f>
        <v>0.2611832417621589</v>
      </c>
      <c r="E44" s="3">
        <f>Lactate!C60</f>
        <v>2.1779131378232387E-2</v>
      </c>
      <c r="F44" s="18">
        <f>Glutamine!B60</f>
        <v>0.36098142255574328</v>
      </c>
      <c r="G44" s="18">
        <f>Glutamine!C60</f>
        <v>8.7165249987406823E-2</v>
      </c>
      <c r="H44" s="3">
        <f>Alanine!B60</f>
        <v>0.14987351581630662</v>
      </c>
      <c r="I44" s="3">
        <f>Alanine!C60</f>
        <v>1.0241703577901967E-2</v>
      </c>
      <c r="J44" s="18">
        <f>'3HB'!B60</f>
        <v>7.3174307104928615E-2</v>
      </c>
      <c r="K44" s="18">
        <f>'3HB'!C60</f>
        <v>9.6953992507156674E-3</v>
      </c>
      <c r="L44" s="3">
        <f>Palmitate!B60</f>
        <v>6.728497322517471E-2</v>
      </c>
      <c r="M44" s="3">
        <f>Palmitate!C60</f>
        <v>1.0251121974853826E-2</v>
      </c>
      <c r="N44" s="18">
        <f>Oleate!B60</f>
        <v>0.10672241585246123</v>
      </c>
      <c r="O44" s="18">
        <f>Oleate!C60</f>
        <v>1.2564626336278752E-2</v>
      </c>
      <c r="P44" s="3">
        <f>Linoleate!B60</f>
        <v>0.15674891719920128</v>
      </c>
      <c r="Q44" s="3">
        <f>Linoleate!C60</f>
        <v>2.3917825729422418E-2</v>
      </c>
      <c r="R44" s="18">
        <f>Serine!B60</f>
        <v>5.9246516973942634E-3</v>
      </c>
      <c r="S44" s="18">
        <f>Serine!C60</f>
        <v>2.0608486591543454E-3</v>
      </c>
      <c r="T44" s="3">
        <f>Glycine!B60</f>
        <v>4.2918502093595556E-4</v>
      </c>
      <c r="U44" s="3">
        <f>Glycine!C60</f>
        <v>9.6259319569189512E-5</v>
      </c>
      <c r="V44" s="18">
        <f>Citrate!B60</f>
        <v>1.2791898582613027E-2</v>
      </c>
      <c r="W44" s="18">
        <f>Citrate!C60</f>
        <v>3.1698075576186804E-4</v>
      </c>
      <c r="X44" s="3">
        <f>Acetate!B60</f>
        <v>6.5364309377836827E-2</v>
      </c>
      <c r="Y44" s="3">
        <f>Acetate!C60</f>
        <v>8.6948756101907516E-3</v>
      </c>
      <c r="Z44" s="18">
        <f>Glycerol!B60</f>
        <v>4.0706992111067555E-2</v>
      </c>
      <c r="AA44" s="18">
        <f>Glycerol!C60</f>
        <v>2.4467444561852326E-3</v>
      </c>
      <c r="AB44" s="3">
        <f>BCAAs!B60</f>
        <v>0.19470416217711028</v>
      </c>
      <c r="AC44" s="3">
        <f>BCAAs!C60</f>
        <v>3.8961983217033411E-2</v>
      </c>
      <c r="AD44" s="18">
        <f>'6AAs'!B60</f>
        <v>4.6014642314128232E-2</v>
      </c>
      <c r="AE44" s="18">
        <f>'6AAs'!C60</f>
        <v>2.3634209168362269E-3</v>
      </c>
    </row>
    <row r="45" spans="1:31">
      <c r="A45" t="s">
        <v>13</v>
      </c>
      <c r="B45" s="18">
        <f>Glucose!B61</f>
        <v>0.15459784812947314</v>
      </c>
      <c r="C45" s="18">
        <f>Glucose!C61</f>
        <v>1.7971343317166627E-2</v>
      </c>
      <c r="D45" s="3">
        <f>Lactate!B61</f>
        <v>0.21269073508594302</v>
      </c>
      <c r="E45" s="3">
        <f>Lactate!C61</f>
        <v>2.3110748858777692E-2</v>
      </c>
      <c r="F45" s="18">
        <f>Glutamine!B61</f>
        <v>7.7895967915370096E-2</v>
      </c>
      <c r="G45" s="18">
        <f>Glutamine!C61</f>
        <v>1.6929210563954151E-2</v>
      </c>
      <c r="H45" s="3">
        <f>Alanine!B61</f>
        <v>7.9468310763596894E-2</v>
      </c>
      <c r="I45" s="3">
        <f>Alanine!C61</f>
        <v>8.1216026371777796E-3</v>
      </c>
      <c r="J45" s="18">
        <f>'3HB'!B61</f>
        <v>3.8208646593337593E-2</v>
      </c>
      <c r="K45" s="18">
        <f>'3HB'!C61</f>
        <v>1.3038879572174707E-2</v>
      </c>
      <c r="L45" s="3">
        <f>Palmitate!B61</f>
        <v>0.13531369762591061</v>
      </c>
      <c r="M45" s="3">
        <f>Palmitate!C61</f>
        <v>1.3473734922194299E-2</v>
      </c>
      <c r="N45" s="18">
        <f>Oleate!B61</f>
        <v>0.15426639681824936</v>
      </c>
      <c r="O45" s="18">
        <f>Oleate!C61</f>
        <v>1.7262953811481348E-2</v>
      </c>
      <c r="P45" s="3">
        <f>Linoleate!B61</f>
        <v>0.16591618178706952</v>
      </c>
      <c r="Q45" s="3">
        <f>Linoleate!C61</f>
        <v>3.0185050341950449E-2</v>
      </c>
      <c r="R45" s="18">
        <f>Serine!B61</f>
        <v>1.2071992134472511E-3</v>
      </c>
      <c r="S45" s="18">
        <f>Serine!C61</f>
        <v>9.3874801735854818E-4</v>
      </c>
      <c r="T45" s="3">
        <f>Glycine!B61</f>
        <v>2.3610877242346727E-3</v>
      </c>
      <c r="U45" s="3">
        <f>Glycine!C61</f>
        <v>3.0163964191474708E-4</v>
      </c>
      <c r="V45" s="18">
        <f>Citrate!B61</f>
        <v>1.1515107859274506E-2</v>
      </c>
      <c r="W45" s="18">
        <f>Citrate!C61</f>
        <v>2.0578910960566106E-3</v>
      </c>
      <c r="X45" s="3">
        <f>Acetate!B61</f>
        <v>7.8620761413060639E-2</v>
      </c>
      <c r="Y45" s="3">
        <f>Acetate!C61</f>
        <v>1.3600078324453908E-2</v>
      </c>
      <c r="Z45" s="18">
        <f>Glycerol!B61</f>
        <v>5.1302009160198177E-2</v>
      </c>
      <c r="AA45" s="18">
        <f>Glycerol!C61</f>
        <v>4.0407556946833092E-3</v>
      </c>
      <c r="AB45" s="3">
        <f>BCAAs!B61</f>
        <v>2.6913011486672831E-2</v>
      </c>
      <c r="AC45" s="3">
        <f>BCAAs!C61</f>
        <v>6.6711353523338391E-3</v>
      </c>
      <c r="AD45" s="18">
        <f>'6AAs'!B61</f>
        <v>7.7164649700307199E-3</v>
      </c>
      <c r="AE45" s="18">
        <f>'6AAs'!C61</f>
        <v>2.436348470044748E-3</v>
      </c>
    </row>
    <row r="46" spans="1:31">
      <c r="A46" t="s">
        <v>14</v>
      </c>
      <c r="B46" s="18">
        <f>Glucose!B62</f>
        <v>0.1645010957451882</v>
      </c>
      <c r="C46" s="18">
        <f>Glucose!C62</f>
        <v>3.0396015876402564E-2</v>
      </c>
      <c r="D46" s="3">
        <f>Lactate!B62</f>
        <v>0.23125103962518903</v>
      </c>
      <c r="E46" s="3">
        <f>Lactate!C62</f>
        <v>2.7125770931406643E-2</v>
      </c>
      <c r="F46" s="18">
        <f>Glutamine!B62</f>
        <v>1.9876868550540609E-2</v>
      </c>
      <c r="G46" s="18">
        <f>Glutamine!C62</f>
        <v>1.4456428560533565E-3</v>
      </c>
      <c r="H46" s="3">
        <f>Alanine!B62</f>
        <v>2.10236743724148E-2</v>
      </c>
      <c r="I46" s="3">
        <f>Alanine!C62</f>
        <v>2.9723118392816408E-3</v>
      </c>
      <c r="J46" s="18">
        <f>'3HB'!B62</f>
        <v>5.3643365153192075E-2</v>
      </c>
      <c r="K46" s="18">
        <f>'3HB'!C62</f>
        <v>1.2440406367404608E-2</v>
      </c>
      <c r="L46" s="3">
        <f>Palmitate!B62</f>
        <v>0.17317477123862915</v>
      </c>
      <c r="M46" s="3">
        <f>Palmitate!C62</f>
        <v>1.81202350648264E-2</v>
      </c>
      <c r="N46" s="18">
        <f>Oleate!B62</f>
        <v>0.2462153699407395</v>
      </c>
      <c r="O46" s="18">
        <f>Oleate!C62</f>
        <v>1.7137054721145004E-2</v>
      </c>
      <c r="P46" s="3">
        <f>Linoleate!B62</f>
        <v>0.24505069308480049</v>
      </c>
      <c r="Q46" s="3">
        <f>Linoleate!C62</f>
        <v>2.6410025103939371E-2</v>
      </c>
      <c r="R46" s="18">
        <f>Serine!B62</f>
        <v>1.3639082565003349E-3</v>
      </c>
      <c r="S46" s="18">
        <f>Serine!C62</f>
        <v>6.0749038153004717E-4</v>
      </c>
      <c r="T46" s="3">
        <f>Glycine!B62</f>
        <v>3.1988111850499677E-3</v>
      </c>
      <c r="U46" s="3">
        <f>Glycine!C62</f>
        <v>1.6764118972483396E-5</v>
      </c>
      <c r="V46" s="18">
        <f>Citrate!B62</f>
        <v>4.1492688997428178E-3</v>
      </c>
      <c r="W46" s="18">
        <f>Citrate!C62</f>
        <v>4.3794396615787017E-4</v>
      </c>
      <c r="X46" s="3">
        <f>Acetate!B62</f>
        <v>9.9641125284159526E-2</v>
      </c>
      <c r="Y46" s="3">
        <f>Acetate!C62</f>
        <v>9.3929042200812246E-3</v>
      </c>
      <c r="Z46" s="18">
        <f>Glycerol!B62</f>
        <v>1.9678796119952303E-2</v>
      </c>
      <c r="AA46" s="18">
        <f>Glycerol!C62</f>
        <v>4.2459383009717721E-3</v>
      </c>
      <c r="AB46" s="3">
        <f>BCAAs!B62</f>
        <v>1.3775677450522291E-2</v>
      </c>
      <c r="AC46" s="3">
        <f>BCAAs!C62</f>
        <v>1.0457423697742714E-3</v>
      </c>
      <c r="AD46" s="18">
        <f>'6AAs'!B62</f>
        <v>5.6493534047017489E-3</v>
      </c>
      <c r="AE46" s="18">
        <f>'6AAs'!C62</f>
        <v>6.9859672087113178E-4</v>
      </c>
    </row>
    <row r="47" spans="1:31">
      <c r="A47" t="s">
        <v>56</v>
      </c>
      <c r="B47" s="18">
        <f>Glucose!B63</f>
        <v>0.16592446004352607</v>
      </c>
      <c r="C47" s="18">
        <f>Glucose!C63</f>
        <v>2.9250369133400216E-2</v>
      </c>
      <c r="D47" s="3">
        <f>Lactate!B63</f>
        <v>0.25263444548495001</v>
      </c>
      <c r="E47" s="3">
        <f>Lactate!C63</f>
        <v>2.1689420744436107E-2</v>
      </c>
      <c r="F47" s="18">
        <f>Glutamine!B63</f>
        <v>9.0273109895003215E-2</v>
      </c>
      <c r="G47" s="18">
        <f>Glutamine!C63</f>
        <v>2.4539615373199417E-2</v>
      </c>
      <c r="H47" s="3">
        <f>Alanine!B63</f>
        <v>0.12828108797307736</v>
      </c>
      <c r="I47" s="3">
        <f>Alanine!C63</f>
        <v>2.8902620582959334E-2</v>
      </c>
      <c r="J47" s="18">
        <f>'3HB'!B63</f>
        <v>3.1078687807294003E-2</v>
      </c>
      <c r="K47" s="18">
        <f>'3HB'!C63</f>
        <v>1.2520023233443946E-2</v>
      </c>
      <c r="L47" s="3">
        <f>Palmitate!B63</f>
        <v>3.6143767007609913E-2</v>
      </c>
      <c r="M47" s="3">
        <f>Palmitate!C63</f>
        <v>1.4674663233732409E-2</v>
      </c>
      <c r="N47" s="18">
        <f>Oleate!B63</f>
        <v>9.0960068891268064E-2</v>
      </c>
      <c r="O47" s="18">
        <f>Oleate!C63</f>
        <v>3.2496468934343804E-2</v>
      </c>
      <c r="P47" s="3">
        <f>Linoleate!B63</f>
        <v>5.5802656543334259E-2</v>
      </c>
      <c r="Q47" s="3">
        <f>Linoleate!C63</f>
        <v>1.2888069211575136E-2</v>
      </c>
      <c r="R47" s="18">
        <f>Serine!B63</f>
        <v>5.6567138117688147E-5</v>
      </c>
      <c r="S47" s="18">
        <f>Serine!C63</f>
        <v>5.656713811768814E-5</v>
      </c>
      <c r="T47" s="3">
        <f>Glycine!B63</f>
        <v>2.6991186802441235E-3</v>
      </c>
      <c r="U47" s="3">
        <f>Glycine!C63</f>
        <v>5.9822999923383373E-4</v>
      </c>
      <c r="V47" s="18">
        <f>Citrate!B63</f>
        <v>3.1182986654228113E-3</v>
      </c>
      <c r="W47" s="18">
        <f>Citrate!C63</f>
        <v>8.4536664260949758E-4</v>
      </c>
      <c r="X47" s="3">
        <f>Acetate!B63</f>
        <v>3.5477320069036741E-2</v>
      </c>
      <c r="Y47" s="3">
        <f>Acetate!C63</f>
        <v>9.1036647586752589E-3</v>
      </c>
      <c r="Z47" s="18">
        <f>Glycerol!B63</f>
        <v>2.6404730540923054E-2</v>
      </c>
      <c r="AA47" s="18">
        <f>Glycerol!C63</f>
        <v>1.2799557509030109E-2</v>
      </c>
      <c r="AB47" s="3">
        <f>BCAAs!B63</f>
        <v>2.4969318846751829E-2</v>
      </c>
      <c r="AC47" s="3">
        <f>BCAAs!C63</f>
        <v>7.5530293003329262E-3</v>
      </c>
      <c r="AD47" s="18">
        <f>'6AAs'!B63</f>
        <v>6.8164846735175007E-3</v>
      </c>
      <c r="AE47" s="18">
        <f>'6AAs'!C63</f>
        <v>4.1804126395998302E-3</v>
      </c>
    </row>
    <row r="48" spans="1:31">
      <c r="A48" t="s">
        <v>57</v>
      </c>
      <c r="B48" s="18">
        <f>Glucose!B64</f>
        <v>0.12083919499836231</v>
      </c>
      <c r="C48" s="18">
        <f>Glucose!C64</f>
        <v>2.8683395254775267E-2</v>
      </c>
      <c r="D48" s="3">
        <f>Lactate!B64</f>
        <v>0.24066073347664785</v>
      </c>
      <c r="E48" s="3">
        <f>Lactate!C64</f>
        <v>2.1320773838813523E-2</v>
      </c>
      <c r="F48" s="18">
        <f>Glutamine!B64</f>
        <v>0.11659964457390216</v>
      </c>
      <c r="G48" s="18">
        <f>Glutamine!C64</f>
        <v>8.0373116236221696E-3</v>
      </c>
      <c r="H48" s="3" t="str">
        <f>Alanine!B64</f>
        <v>NaN</v>
      </c>
      <c r="I48" s="3" t="str">
        <f>Alanine!C64</f>
        <v>NaN</v>
      </c>
      <c r="J48" s="18" t="str">
        <f>'3HB'!B64</f>
        <v>NaN</v>
      </c>
      <c r="K48" s="18" t="str">
        <f>'3HB'!C64</f>
        <v>NaN</v>
      </c>
      <c r="L48" s="3">
        <f>Palmitate!B64</f>
        <v>1.3954299487256119E-2</v>
      </c>
      <c r="M48" s="3">
        <f>Palmitate!C64</f>
        <v>9.8793209794490796E-3</v>
      </c>
      <c r="N48" s="18" t="str">
        <f>Oleate!B64</f>
        <v>NaN</v>
      </c>
      <c r="O48" s="18" t="str">
        <f>Oleate!C64</f>
        <v>NaN</v>
      </c>
      <c r="P48" s="3">
        <f>Linoleate!B64</f>
        <v>5.3817557453363279E-2</v>
      </c>
      <c r="Q48" s="3">
        <f>Linoleate!C64</f>
        <v>1.3821044770651698E-2</v>
      </c>
      <c r="R48" s="18" t="str">
        <f>Serine!B64</f>
        <v>NaN</v>
      </c>
      <c r="S48" s="18" t="str">
        <f>Serine!C64</f>
        <v>NaN</v>
      </c>
      <c r="T48" s="3">
        <f>Glycine!B64</f>
        <v>5.2272938346478171E-3</v>
      </c>
      <c r="U48" s="3">
        <f>Glycine!C64</f>
        <v>2.173548073677721E-3</v>
      </c>
      <c r="V48" s="18" t="str">
        <f>Citrate!B64</f>
        <v>NaN</v>
      </c>
      <c r="W48" s="18" t="str">
        <f>Citrate!C64</f>
        <v>NaN</v>
      </c>
      <c r="X48" s="3">
        <f>Acetate!B64</f>
        <v>5.9125122049528828E-2</v>
      </c>
      <c r="Y48" s="3">
        <f>Acetate!C64</f>
        <v>1.9814314057377581E-3</v>
      </c>
      <c r="Z48" s="18" t="str">
        <f>Glycerol!B64</f>
        <v>NaN</v>
      </c>
      <c r="AA48" s="18" t="str">
        <f>Glycerol!C64</f>
        <v>NaN</v>
      </c>
      <c r="AB48" s="3" t="str">
        <f>BCAAs!B64</f>
        <v>NaN</v>
      </c>
      <c r="AC48" s="3" t="str">
        <f>BCAAs!C64</f>
        <v>NaN</v>
      </c>
      <c r="AD48" s="18" t="str">
        <f>'6AAs'!B64</f>
        <v>NaN</v>
      </c>
      <c r="AE48" s="18" t="str">
        <f>'6AAs'!C64</f>
        <v>NaN</v>
      </c>
    </row>
    <row r="49" spans="1:31">
      <c r="A49" t="s">
        <v>15</v>
      </c>
      <c r="B49" s="18">
        <f>Glucose!B65</f>
        <v>0.12714374392163261</v>
      </c>
      <c r="C49" s="18">
        <f>Glucose!C65</f>
        <v>1.5037169596136097E-2</v>
      </c>
      <c r="D49" s="3">
        <f>Lactate!B65</f>
        <v>0.24948936753154941</v>
      </c>
      <c r="E49" s="3">
        <f>Lactate!C65</f>
        <v>4.002349872841595E-2</v>
      </c>
      <c r="F49" s="18">
        <f>Glutamine!B65</f>
        <v>0.34622911249620064</v>
      </c>
      <c r="G49" s="18">
        <f>Glutamine!C65</f>
        <v>2.5626351667056121E-2</v>
      </c>
      <c r="H49" s="3">
        <f>Alanine!B65</f>
        <v>8.1557848736331401E-2</v>
      </c>
      <c r="I49" s="3">
        <f>Alanine!C65</f>
        <v>1.6032442919410233E-2</v>
      </c>
      <c r="J49" s="18">
        <f>'3HB'!B65</f>
        <v>0.13410659864612876</v>
      </c>
      <c r="K49" s="18">
        <f>'3HB'!C65</f>
        <v>2.4721206140604565E-2</v>
      </c>
      <c r="L49" s="3">
        <f>Palmitate!B65</f>
        <v>9.5689612968896526E-2</v>
      </c>
      <c r="M49" s="3">
        <f>Palmitate!C65</f>
        <v>1.5418041453342159E-2</v>
      </c>
      <c r="N49" s="18">
        <f>Oleate!B65</f>
        <v>0.12351968564918037</v>
      </c>
      <c r="O49" s="18">
        <f>Oleate!C65</f>
        <v>1.9194616103613869E-2</v>
      </c>
      <c r="P49" s="3">
        <f>Linoleate!B65</f>
        <v>0.18094436378132614</v>
      </c>
      <c r="Q49" s="3">
        <f>Linoleate!C65</f>
        <v>4.1583457482759045E-2</v>
      </c>
      <c r="R49" s="18">
        <f>Serine!B65</f>
        <v>4.0529585565627288E-3</v>
      </c>
      <c r="S49" s="18">
        <f>Serine!C65</f>
        <v>2.076112040061944E-3</v>
      </c>
      <c r="T49" s="3">
        <f>Glycine!B65</f>
        <v>2.8015724797809437E-3</v>
      </c>
      <c r="U49" s="3">
        <f>Glycine!C65</f>
        <v>4.6653973890161738E-4</v>
      </c>
      <c r="V49" s="18">
        <f>Citrate!B65</f>
        <v>1.0942389536892699E-2</v>
      </c>
      <c r="W49" s="18">
        <f>Citrate!C65</f>
        <v>1.6575775656292426E-3</v>
      </c>
      <c r="X49" s="3">
        <f>Acetate!B65</f>
        <v>7.587182091073405E-2</v>
      </c>
      <c r="Y49" s="3">
        <f>Acetate!C65</f>
        <v>1.0143970954047413E-2</v>
      </c>
      <c r="Z49" s="18">
        <f>Glycerol!B65</f>
        <v>5.1129433136152078E-2</v>
      </c>
      <c r="AA49" s="18">
        <f>Glycerol!C65</f>
        <v>9.4272931486215367E-3</v>
      </c>
      <c r="AB49" s="3">
        <f>BCAAs!B65</f>
        <v>3.0386643620075732E-2</v>
      </c>
      <c r="AC49" s="3">
        <f>BCAAs!C65</f>
        <v>4.355652009901863E-3</v>
      </c>
      <c r="AD49" s="18">
        <f>'6AAs'!B65</f>
        <v>1.4530096991989389E-2</v>
      </c>
      <c r="AE49" s="18">
        <f>'6AAs'!C65</f>
        <v>1.5233926038054485E-3</v>
      </c>
    </row>
    <row r="50" spans="1:31">
      <c r="A50" t="s">
        <v>22</v>
      </c>
      <c r="B50" s="18">
        <f>Glucose!B66</f>
        <v>0.19250698813831263</v>
      </c>
      <c r="C50" s="18">
        <f>Glucose!C66</f>
        <v>2.9767107667378799E-2</v>
      </c>
      <c r="D50" s="3">
        <f>Lactate!B66</f>
        <v>0.21922695541269852</v>
      </c>
      <c r="E50" s="3">
        <f>Lactate!C66</f>
        <v>3.4511312799591617E-2</v>
      </c>
      <c r="F50" s="18">
        <f>Glutamine!B66</f>
        <v>8.6437217163702049E-2</v>
      </c>
      <c r="G50" s="18">
        <f>Glutamine!C66</f>
        <v>1.5559730235215341E-2</v>
      </c>
      <c r="H50" s="3">
        <f>Alanine!B66</f>
        <v>7.7459294849640842E-2</v>
      </c>
      <c r="I50" s="3">
        <f>Alanine!C66</f>
        <v>1.415221141137505E-2</v>
      </c>
      <c r="J50" s="18">
        <f>'3HB'!B66</f>
        <v>1.23743874849199E-2</v>
      </c>
      <c r="K50" s="18">
        <f>'3HB'!C66</f>
        <v>6.6511866351367729E-3</v>
      </c>
      <c r="L50" s="3">
        <f>Palmitate!B66</f>
        <v>0.11101001656358442</v>
      </c>
      <c r="M50" s="3">
        <f>Palmitate!C66</f>
        <v>2.3190106017267072E-2</v>
      </c>
      <c r="N50" s="18">
        <f>Oleate!B66</f>
        <v>0.13654841579823052</v>
      </c>
      <c r="O50" s="18">
        <f>Oleate!C66</f>
        <v>1.478109410792168E-2</v>
      </c>
      <c r="P50" s="3">
        <f>Linoleate!B66</f>
        <v>0.12501434064099923</v>
      </c>
      <c r="Q50" s="3">
        <f>Linoleate!C66</f>
        <v>5.5976744895312791E-2</v>
      </c>
      <c r="R50" s="18">
        <f>Serine!B66</f>
        <v>2.024291103085983E-3</v>
      </c>
      <c r="S50" s="18">
        <f>Serine!C66</f>
        <v>6.5641961714220799E-4</v>
      </c>
      <c r="T50" s="3">
        <f>Glycine!B66</f>
        <v>3.7201994070813586E-3</v>
      </c>
      <c r="U50" s="3">
        <f>Glycine!C66</f>
        <v>1.1263734014686367E-3</v>
      </c>
      <c r="V50" s="18">
        <f>Citrate!B66</f>
        <v>9.396151270477774E-3</v>
      </c>
      <c r="W50" s="18">
        <f>Citrate!C66</f>
        <v>1.0894439873682452E-3</v>
      </c>
      <c r="X50" s="3">
        <f>Acetate!B66</f>
        <v>3.7780485736691863E-2</v>
      </c>
      <c r="Y50" s="3">
        <f>Acetate!C66</f>
        <v>6.5470363775811946E-3</v>
      </c>
      <c r="Z50" s="18">
        <f>Glycerol!B66</f>
        <v>4.9645494650047209E-2</v>
      </c>
      <c r="AA50" s="18">
        <f>Glycerol!C66</f>
        <v>4.9228947583043001E-3</v>
      </c>
      <c r="AB50" s="3" t="str">
        <f>BCAAs!B66</f>
        <v>NaN</v>
      </c>
      <c r="AC50" s="3" t="str">
        <f>BCAAs!C66</f>
        <v>NaN</v>
      </c>
      <c r="AD50" s="18">
        <f>'6AAs'!B66</f>
        <v>5.8886888849284148E-3</v>
      </c>
      <c r="AE50" s="18">
        <f>'6AAs'!C66</f>
        <v>3.8976415374561896E-4</v>
      </c>
    </row>
    <row r="51" spans="1:31">
      <c r="A51" t="s">
        <v>59</v>
      </c>
      <c r="B51" s="18" t="str">
        <f>Glucose!B67</f>
        <v>NaN</v>
      </c>
      <c r="C51" s="18" t="str">
        <f>Glucose!C67</f>
        <v>NaN</v>
      </c>
      <c r="D51" s="3" t="str">
        <f>Lactate!B67</f>
        <v>NaN</v>
      </c>
      <c r="E51" s="3" t="str">
        <f>Lactate!C67</f>
        <v>NaN</v>
      </c>
      <c r="F51" s="18" t="str">
        <f>Glutamine!B67</f>
        <v>NaN</v>
      </c>
      <c r="G51" s="18" t="str">
        <f>Glutamine!C67</f>
        <v>NaN</v>
      </c>
      <c r="H51" s="3">
        <f>Alanine!B67</f>
        <v>5.2356185490440493E-2</v>
      </c>
      <c r="I51" s="3">
        <f>Alanine!C67</f>
        <v>7.5711200067057668E-3</v>
      </c>
      <c r="J51" s="18">
        <f>'3HB'!B67</f>
        <v>8.1715323423187963E-2</v>
      </c>
      <c r="K51" s="18">
        <f>'3HB'!C67</f>
        <v>2.2181818952974667E-2</v>
      </c>
      <c r="L51" s="3" t="str">
        <f>Palmitate!B67</f>
        <v>NaN</v>
      </c>
      <c r="M51" s="3" t="str">
        <f>Palmitate!C67</f>
        <v>NaN</v>
      </c>
      <c r="N51" s="18" t="str">
        <f>Oleate!B67</f>
        <v>NaN</v>
      </c>
      <c r="O51" s="18" t="str">
        <f>Oleate!C67</f>
        <v>NaN</v>
      </c>
      <c r="P51" s="3" t="str">
        <f>Linoleate!B67</f>
        <v>NaN</v>
      </c>
      <c r="Q51" s="3" t="str">
        <f>Linoleate!C67</f>
        <v>NaN</v>
      </c>
      <c r="R51" s="18" t="str">
        <f>Serine!B67</f>
        <v>NaN</v>
      </c>
      <c r="S51" s="18" t="str">
        <f>Serine!C67</f>
        <v>NaN</v>
      </c>
      <c r="T51" s="3" t="str">
        <f>Glycine!B67</f>
        <v>NaN</v>
      </c>
      <c r="U51" s="3" t="str">
        <f>Glycine!C67</f>
        <v>NaN</v>
      </c>
      <c r="V51" s="18" t="str">
        <f>Citrate!B67</f>
        <v>NaN</v>
      </c>
      <c r="W51" s="18" t="str">
        <f>Citrate!C67</f>
        <v>NaN</v>
      </c>
      <c r="X51" s="3" t="str">
        <f>Acetate!B67</f>
        <v>NaN</v>
      </c>
      <c r="Y51" s="3" t="str">
        <f>Acetate!C67</f>
        <v>NaN</v>
      </c>
      <c r="Z51" s="18" t="str">
        <f>Glycerol!B67</f>
        <v>NaN</v>
      </c>
      <c r="AA51" s="18" t="str">
        <f>Glycerol!C67</f>
        <v>NaN</v>
      </c>
      <c r="AB51" s="3">
        <f>BCAAs!B67</f>
        <v>2.4E-2</v>
      </c>
      <c r="AC51" s="3">
        <f>BCAAs!C67</f>
        <v>1.4E-2</v>
      </c>
      <c r="AD51" s="18" t="str">
        <f>'6AAs'!B67</f>
        <v>NaN</v>
      </c>
      <c r="AE51" s="18" t="str">
        <f>'6AAs'!C67</f>
        <v>NaN</v>
      </c>
    </row>
    <row r="52" spans="1:31">
      <c r="A52" t="s">
        <v>58</v>
      </c>
      <c r="B52" s="18" t="str">
        <f>Glucose!B68</f>
        <v>NaN</v>
      </c>
      <c r="C52" s="18" t="str">
        <f>Glucose!C68</f>
        <v>NaN</v>
      </c>
      <c r="D52" s="3" t="str">
        <f>Lactate!B68</f>
        <v>NaN</v>
      </c>
      <c r="E52" s="3" t="str">
        <f>Lactate!C68</f>
        <v>NaN</v>
      </c>
      <c r="F52" s="18" t="str">
        <f>Glutamine!B68</f>
        <v>NaN</v>
      </c>
      <c r="G52" s="18" t="str">
        <f>Glutamine!C68</f>
        <v>NaN</v>
      </c>
      <c r="H52" s="3" t="str">
        <f>Alanine!B68</f>
        <v>NaN</v>
      </c>
      <c r="I52" s="3" t="str">
        <f>Alanine!C68</f>
        <v>NaN</v>
      </c>
      <c r="J52" s="18" t="str">
        <f>'3HB'!B68</f>
        <v>NaN</v>
      </c>
      <c r="K52" s="18" t="str">
        <f>'3HB'!C68</f>
        <v>NaN</v>
      </c>
      <c r="L52" s="3" t="str">
        <f>Palmitate!B68</f>
        <v>NaN</v>
      </c>
      <c r="M52" s="3" t="str">
        <f>Palmitate!C68</f>
        <v>NaN</v>
      </c>
      <c r="N52" s="18" t="str">
        <f>Oleate!B68</f>
        <v>NaN</v>
      </c>
      <c r="O52" s="18" t="str">
        <f>Oleate!C68</f>
        <v>NaN</v>
      </c>
      <c r="P52" s="3" t="str">
        <f>Linoleate!B68</f>
        <v>NaN</v>
      </c>
      <c r="Q52" s="3" t="str">
        <f>Linoleate!C68</f>
        <v>NaN</v>
      </c>
      <c r="R52" s="18" t="str">
        <f>Serine!B68</f>
        <v>NaN</v>
      </c>
      <c r="S52" s="18" t="str">
        <f>Serine!C68</f>
        <v>NaN</v>
      </c>
      <c r="T52" s="3" t="str">
        <f>Glycine!B68</f>
        <v>NaN</v>
      </c>
      <c r="U52" s="3" t="str">
        <f>Glycine!C68</f>
        <v>NaN</v>
      </c>
      <c r="V52" s="18" t="str">
        <f>Citrate!B68</f>
        <v>NaN</v>
      </c>
      <c r="W52" s="18" t="str">
        <f>Citrate!C68</f>
        <v>NaN</v>
      </c>
      <c r="X52" s="3" t="str">
        <f>Acetate!B68</f>
        <v>NaN</v>
      </c>
      <c r="Y52" s="3" t="str">
        <f>Acetate!C68</f>
        <v>NaN</v>
      </c>
      <c r="Z52" s="18" t="str">
        <f>Glycerol!B68</f>
        <v>NaN</v>
      </c>
      <c r="AA52" s="18" t="str">
        <f>Glycerol!C68</f>
        <v>NaN</v>
      </c>
      <c r="AB52" s="3" t="str">
        <f>BCAAs!B68</f>
        <v>NaN</v>
      </c>
      <c r="AC52" s="3" t="str">
        <f>BCAAs!C68</f>
        <v>NaN</v>
      </c>
      <c r="AD52" s="18" t="str">
        <f>'6AAs'!B68</f>
        <v>NaN</v>
      </c>
      <c r="AE52" s="18" t="str">
        <f>'6AAs'!C68</f>
        <v>NaN</v>
      </c>
    </row>
    <row r="53" spans="1:31">
      <c r="B53" s="18"/>
      <c r="C53" s="18"/>
      <c r="D53" s="3"/>
      <c r="E53" s="3"/>
      <c r="F53" s="18"/>
      <c r="G53" s="18"/>
      <c r="H53" s="3"/>
      <c r="I53" s="3"/>
      <c r="J53" s="18"/>
      <c r="K53" s="18"/>
      <c r="L53" s="3"/>
      <c r="M53" s="3"/>
      <c r="N53" s="18"/>
      <c r="O53" s="18"/>
      <c r="P53" s="3"/>
      <c r="Q53" s="3"/>
      <c r="R53" s="18"/>
      <c r="S53" s="18"/>
      <c r="T53" s="3"/>
      <c r="U53" s="3"/>
      <c r="V53" s="18"/>
      <c r="W53" s="18"/>
      <c r="X53" s="3"/>
      <c r="Y53" s="3"/>
      <c r="AB53" s="3"/>
      <c r="AC53" s="3"/>
      <c r="AD53" s="18"/>
      <c r="AE53" s="18"/>
    </row>
    <row r="54" spans="1:31">
      <c r="B54" s="18"/>
      <c r="C54" s="18"/>
      <c r="D54" s="3"/>
      <c r="E54" s="3"/>
      <c r="F54" s="18"/>
      <c r="G54" s="18"/>
      <c r="H54" s="3"/>
      <c r="I54" s="3"/>
      <c r="J54" s="18"/>
      <c r="K54" s="18"/>
      <c r="L54" s="3"/>
      <c r="M54" s="3"/>
      <c r="N54" s="18"/>
      <c r="O54" s="18"/>
      <c r="P54" s="3"/>
      <c r="Q54" s="3"/>
      <c r="R54" s="18"/>
      <c r="S54" s="18"/>
      <c r="T54" s="3"/>
      <c r="U54" s="3"/>
      <c r="V54" s="18"/>
      <c r="W54" s="18"/>
      <c r="X54" s="3"/>
      <c r="Y54" s="3"/>
      <c r="AD54" s="18"/>
      <c r="AE54" s="18"/>
    </row>
    <row r="55" spans="1:31">
      <c r="AD55" s="18"/>
      <c r="AE55" s="18"/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E55"/>
  <sheetViews>
    <sheetView topLeftCell="Q1" zoomScale="144" workbookViewId="0">
      <selection activeCell="A16" sqref="A16:XFD16"/>
    </sheetView>
  </sheetViews>
  <sheetFormatPr baseColWidth="10" defaultRowHeight="16"/>
  <cols>
    <col min="1" max="1" width="16.1640625" bestFit="1" customWidth="1"/>
    <col min="2" max="2" width="10.5" style="5" customWidth="1"/>
    <col min="3" max="3" width="6" style="5" customWidth="1"/>
    <col min="4" max="4" width="7.1640625" customWidth="1"/>
    <col min="5" max="5" width="9.6640625" customWidth="1"/>
    <col min="6" max="6" width="12.6640625" style="5" customWidth="1"/>
    <col min="7" max="7" width="7.83203125" style="5" customWidth="1"/>
    <col min="8" max="8" width="9.5" customWidth="1"/>
    <col min="9" max="9" width="7.33203125" customWidth="1"/>
    <col min="10" max="10" width="10.83203125" style="5"/>
    <col min="11" max="11" width="7.6640625" style="5" customWidth="1"/>
    <col min="13" max="13" width="7.33203125" customWidth="1"/>
    <col min="14" max="15" width="10.83203125" style="5"/>
    <col min="18" max="18" width="10.83203125" style="5"/>
    <col min="19" max="19" width="6.5" style="5" customWidth="1"/>
    <col min="21" max="21" width="7.1640625" customWidth="1"/>
    <col min="22" max="22" width="10.83203125" style="5"/>
    <col min="23" max="23" width="6" style="5" customWidth="1"/>
    <col min="25" max="25" width="6.33203125" customWidth="1"/>
    <col min="26" max="27" width="10.83203125" style="5"/>
    <col min="30" max="31" width="10.83203125" style="5"/>
  </cols>
  <sheetData>
    <row r="1" spans="1:31" s="1" customFormat="1">
      <c r="B1" s="6" t="s">
        <v>1</v>
      </c>
      <c r="C1" s="6"/>
      <c r="D1" s="1" t="s">
        <v>2</v>
      </c>
      <c r="F1" s="6" t="s">
        <v>3</v>
      </c>
      <c r="G1" s="6"/>
      <c r="H1" s="1" t="s">
        <v>4</v>
      </c>
      <c r="J1" s="6" t="s">
        <v>18</v>
      </c>
      <c r="K1" s="6"/>
      <c r="L1" s="1" t="s">
        <v>19</v>
      </c>
      <c r="N1" s="6" t="s">
        <v>20</v>
      </c>
      <c r="O1" s="6"/>
      <c r="P1" s="1" t="s">
        <v>21</v>
      </c>
      <c r="R1" s="6" t="s">
        <v>76</v>
      </c>
      <c r="S1" s="6"/>
      <c r="T1" s="1" t="s">
        <v>77</v>
      </c>
      <c r="V1" s="6" t="s">
        <v>26</v>
      </c>
      <c r="W1" s="6"/>
      <c r="X1" s="1" t="s">
        <v>25</v>
      </c>
      <c r="Z1" s="6" t="s">
        <v>29</v>
      </c>
      <c r="AA1" s="6"/>
      <c r="AB1" s="1" t="s">
        <v>27</v>
      </c>
      <c r="AD1" s="6" t="s">
        <v>28</v>
      </c>
      <c r="AE1" s="6"/>
    </row>
    <row r="2" spans="1:31">
      <c r="B2" s="5" t="s">
        <v>5</v>
      </c>
      <c r="C2" s="5" t="s">
        <v>6</v>
      </c>
      <c r="D2" t="s">
        <v>5</v>
      </c>
      <c r="E2" t="s">
        <v>6</v>
      </c>
      <c r="F2" s="5" t="s">
        <v>5</v>
      </c>
      <c r="G2" s="5" t="s">
        <v>6</v>
      </c>
      <c r="H2" t="s">
        <v>5</v>
      </c>
      <c r="I2" t="s">
        <v>6</v>
      </c>
      <c r="J2" s="5" t="s">
        <v>5</v>
      </c>
      <c r="K2" s="5" t="s">
        <v>6</v>
      </c>
      <c r="L2" t="s">
        <v>5</v>
      </c>
      <c r="M2" t="s">
        <v>6</v>
      </c>
      <c r="N2" s="5" t="s">
        <v>5</v>
      </c>
      <c r="O2" s="5" t="s">
        <v>6</v>
      </c>
      <c r="P2" t="s">
        <v>5</v>
      </c>
      <c r="Q2" t="s">
        <v>6</v>
      </c>
      <c r="R2" s="5" t="s">
        <v>5</v>
      </c>
      <c r="S2" s="5" t="s">
        <v>6</v>
      </c>
      <c r="T2" t="s">
        <v>5</v>
      </c>
      <c r="U2" t="s">
        <v>6</v>
      </c>
      <c r="V2" s="5" t="s">
        <v>5</v>
      </c>
      <c r="W2" s="5" t="s">
        <v>6</v>
      </c>
      <c r="X2" t="s">
        <v>5</v>
      </c>
      <c r="Y2" t="s">
        <v>6</v>
      </c>
      <c r="Z2" s="5" t="s">
        <v>5</v>
      </c>
      <c r="AA2" s="5" t="s">
        <v>6</v>
      </c>
      <c r="AB2" t="s">
        <v>5</v>
      </c>
      <c r="AC2" t="s">
        <v>6</v>
      </c>
      <c r="AD2" t="s">
        <v>5</v>
      </c>
      <c r="AE2" t="s">
        <v>6</v>
      </c>
    </row>
    <row r="3" spans="1:31">
      <c r="A3" s="1" t="s">
        <v>0</v>
      </c>
    </row>
    <row r="4" spans="1:31">
      <c r="A4" t="s">
        <v>60</v>
      </c>
      <c r="B4" s="18">
        <f>Glucose!B99</f>
        <v>1</v>
      </c>
      <c r="C4" s="18">
        <f>Glucose!C99</f>
        <v>0</v>
      </c>
      <c r="D4" s="3">
        <f>Lactate!B99</f>
        <v>0.18055056331153302</v>
      </c>
      <c r="E4" s="3">
        <f>Lactate!C99</f>
        <v>3.3587339245951371E-2</v>
      </c>
      <c r="F4" s="18">
        <f>Glutamine!B99</f>
        <v>4.0760970125131898E-2</v>
      </c>
      <c r="G4" s="18">
        <f>Glutamine!C99</f>
        <v>9.7451000316279707E-3</v>
      </c>
      <c r="H4" s="3">
        <f>Alanine!B99</f>
        <v>6.0576255888838172E-2</v>
      </c>
      <c r="I4" s="3">
        <f>Alanine!C99</f>
        <v>1.2189604721610212E-2</v>
      </c>
      <c r="J4" s="18">
        <f>'3HB'!B99</f>
        <v>3.1831371755972051E-3</v>
      </c>
      <c r="K4" s="18">
        <f>'3HB'!C99</f>
        <v>2.3054045200013242E-4</v>
      </c>
      <c r="L4" s="3">
        <f>Palmitate!B99</f>
        <v>4.7080476730236333E-3</v>
      </c>
      <c r="M4" s="3">
        <f>Palmitate!C99</f>
        <v>7.6595396027002386E-4</v>
      </c>
      <c r="N4" s="7">
        <f>Oleate!B99</f>
        <v>2.5233255484560044E-2</v>
      </c>
      <c r="O4" s="7">
        <f>Oleate!C99</f>
        <v>6.914697020736685E-3</v>
      </c>
      <c r="P4" s="4">
        <f>Linoleate!B99</f>
        <v>4.1605182819817448E-2</v>
      </c>
      <c r="Q4" s="4">
        <f>Linoleate!C99</f>
        <v>5.6100614039667701E-3</v>
      </c>
      <c r="R4" s="7">
        <f>Serine!B99</f>
        <v>1.6000516744842309E-2</v>
      </c>
      <c r="S4" s="7">
        <f>Serine!C99</f>
        <v>9.3592484717188991E-4</v>
      </c>
      <c r="T4" s="3">
        <f>Glycine!B99</f>
        <v>2.3734533578602859E-3</v>
      </c>
      <c r="U4" s="3">
        <f>Glycine!C99</f>
        <v>9.8479691899464191E-4</v>
      </c>
      <c r="V4" s="18">
        <f>Citrate!B99</f>
        <v>1.1178663821697849E-2</v>
      </c>
      <c r="W4" s="18">
        <f>Citrate!C99</f>
        <v>1.9324498315789974E-3</v>
      </c>
      <c r="X4" s="3">
        <f>Acetate!B99</f>
        <v>1.5763377938216184E-2</v>
      </c>
      <c r="Y4" s="3">
        <f>Acetate!C99</f>
        <v>3.3034608182174797E-3</v>
      </c>
      <c r="Z4" s="18">
        <f>Glycerol!B99</f>
        <v>5.7744719615013609E-2</v>
      </c>
      <c r="AA4" s="18">
        <f>Glycerol!C99</f>
        <v>5.0738728263856961E-3</v>
      </c>
      <c r="AB4" s="3">
        <f>BCAAs!B99</f>
        <v>6.7179612351479833E-3</v>
      </c>
      <c r="AC4" s="3">
        <f>BCAAs!C99</f>
        <v>9.2016351770025885E-4</v>
      </c>
      <c r="AD4" s="18">
        <f>'6AAs'!B99</f>
        <v>1.926251283998406E-2</v>
      </c>
      <c r="AE4" s="18">
        <f>'6AAs'!C99</f>
        <v>3.0763022668897008E-3</v>
      </c>
    </row>
    <row r="5" spans="1:31">
      <c r="A5" t="s">
        <v>61</v>
      </c>
      <c r="B5" s="18">
        <f>Glucose!B100</f>
        <v>0.79297216160306194</v>
      </c>
      <c r="C5" s="18">
        <f>Glucose!C100</f>
        <v>1.8041733046606837E-2</v>
      </c>
      <c r="D5" s="3">
        <f>Lactate!B100</f>
        <v>1</v>
      </c>
      <c r="E5" s="3">
        <f>Lactate!C100</f>
        <v>4.1114671657129845E-17</v>
      </c>
      <c r="F5" s="18">
        <f>Glutamine!B100</f>
        <v>3.8142501606545948E-2</v>
      </c>
      <c r="G5" s="18">
        <f>Glutamine!C100</f>
        <v>1.5995017512176177E-2</v>
      </c>
      <c r="H5" s="3">
        <f>Alanine!B100</f>
        <v>0.11709725153601643</v>
      </c>
      <c r="I5" s="3">
        <f>Alanine!C100</f>
        <v>1.7959478448854937E-2</v>
      </c>
      <c r="J5" s="18">
        <f>'3HB'!B100</f>
        <v>4.9152530514604059E-3</v>
      </c>
      <c r="K5" s="18">
        <f>'3HB'!C100</f>
        <v>4.6013907123042784E-4</v>
      </c>
      <c r="L5" s="3">
        <f>Palmitate!B100</f>
        <v>1.2401563031906433E-2</v>
      </c>
      <c r="M5" s="3">
        <f>Palmitate!C100</f>
        <v>2.5145358334399842E-3</v>
      </c>
      <c r="N5" s="7">
        <f>Oleate!B100</f>
        <v>2.6423630581697926E-2</v>
      </c>
      <c r="O5" s="7">
        <f>Oleate!C100</f>
        <v>6.3613878176124539E-3</v>
      </c>
      <c r="P5" s="4">
        <f>Linoleate!B100</f>
        <v>4.9747237706361337E-2</v>
      </c>
      <c r="Q5" s="4">
        <f>Linoleate!C100</f>
        <v>5.7814284446422058E-3</v>
      </c>
      <c r="R5" s="7">
        <f>Serine!B100</f>
        <v>1.0549308750910888E-2</v>
      </c>
      <c r="S5" s="7">
        <f>Serine!C100</f>
        <v>5.0127360234112055E-4</v>
      </c>
      <c r="T5" s="3">
        <f>Glycine!B100</f>
        <v>6.591285507099599E-3</v>
      </c>
      <c r="U5" s="3">
        <f>Glycine!C100</f>
        <v>8.6046263401731238E-4</v>
      </c>
      <c r="V5" s="18">
        <f>Citrate!B100</f>
        <v>7.6884796315006207E-3</v>
      </c>
      <c r="W5" s="18">
        <f>Citrate!C100</f>
        <v>5.4374865328206368E-4</v>
      </c>
      <c r="X5" s="3">
        <f>Acetate!B100</f>
        <v>2.280383893676393E-2</v>
      </c>
      <c r="Y5" s="3">
        <f>Acetate!C100</f>
        <v>5.1815556576481694E-3</v>
      </c>
      <c r="Z5" s="18">
        <f>Glycerol!B100</f>
        <v>8.1802781523001078E-2</v>
      </c>
      <c r="AA5" s="18">
        <f>Glycerol!C100</f>
        <v>6.5994703147427645E-3</v>
      </c>
      <c r="AB5" s="3">
        <f>BCAAs!B100</f>
        <v>1.4029039196481954E-2</v>
      </c>
      <c r="AC5" s="3">
        <f>BCAAs!C100</f>
        <v>4.915319972608335E-4</v>
      </c>
      <c r="AD5" s="18">
        <f>'6AAs'!B100</f>
        <v>2.1376299784534543E-2</v>
      </c>
      <c r="AE5" s="18">
        <f>'6AAs'!C100</f>
        <v>1.9796527839518047E-3</v>
      </c>
    </row>
    <row r="6" spans="1:31">
      <c r="A6" t="s">
        <v>62</v>
      </c>
      <c r="B6" s="18">
        <f>Glucose!B101</f>
        <v>0.21493543367502113</v>
      </c>
      <c r="C6" s="18">
        <f>Glucose!C101</f>
        <v>2.0644665149935768E-2</v>
      </c>
      <c r="D6" s="3">
        <f>Lactate!B101</f>
        <v>0.25455363267454084</v>
      </c>
      <c r="E6" s="3">
        <f>Lactate!C101</f>
        <v>2.7189506219082889E-2</v>
      </c>
      <c r="F6" s="18">
        <f>Glutamine!B101</f>
        <v>1</v>
      </c>
      <c r="G6" s="18">
        <f>Glutamine!C101</f>
        <v>0</v>
      </c>
      <c r="H6" s="3">
        <f>Alanine!B101</f>
        <v>8.6455207064036435E-2</v>
      </c>
      <c r="I6" s="3">
        <f>Alanine!C101</f>
        <v>3.7728693243005273E-3</v>
      </c>
      <c r="J6" s="18">
        <f>'3HB'!B101</f>
        <v>1.1963776100817678E-2</v>
      </c>
      <c r="K6" s="18">
        <f>'3HB'!C101</f>
        <v>2.3634494013451135E-4</v>
      </c>
      <c r="L6" s="3">
        <f>Palmitate!B101</f>
        <v>2.7085385331938546E-2</v>
      </c>
      <c r="M6" s="3">
        <f>Palmitate!C101</f>
        <v>3.5462192607688338E-3</v>
      </c>
      <c r="N6" s="7">
        <f>Oleate!B101</f>
        <v>7.811570688013314E-2</v>
      </c>
      <c r="O6" s="7">
        <f>Oleate!C101</f>
        <v>1.6866608637548897E-2</v>
      </c>
      <c r="P6" s="4">
        <f>Linoleate!B101</f>
        <v>0.10010959376351732</v>
      </c>
      <c r="Q6" s="4">
        <f>Linoleate!C101</f>
        <v>6.6001343528708607E-3</v>
      </c>
      <c r="R6" s="7">
        <f>Serine!B101</f>
        <v>3.1266304989405734E-3</v>
      </c>
      <c r="S6" s="7">
        <f>Serine!C101</f>
        <v>8.6095762515466206E-4</v>
      </c>
      <c r="T6" s="3">
        <f>Glycine!B101</f>
        <v>5.8724885302958389E-4</v>
      </c>
      <c r="U6" s="3">
        <f>Glycine!C101</f>
        <v>5.8724885302958378E-4</v>
      </c>
      <c r="V6" s="18">
        <f>Citrate!B101</f>
        <v>2.0221216886517863E-2</v>
      </c>
      <c r="W6" s="18">
        <f>Citrate!C101</f>
        <v>3.3940371036077031E-3</v>
      </c>
      <c r="X6" s="3">
        <f>Acetate!B101</f>
        <v>4.7727900611275596E-2</v>
      </c>
      <c r="Y6" s="3">
        <f>Acetate!C101</f>
        <v>6.3297591570554085E-3</v>
      </c>
      <c r="Z6" s="18">
        <f>Glycerol!B101</f>
        <v>1.2003951696440994E-2</v>
      </c>
      <c r="AA6" s="18">
        <f>Glycerol!C101</f>
        <v>1.9638973107994179E-3</v>
      </c>
      <c r="AB6" s="3">
        <f>BCAAs!B101</f>
        <v>2.4326924542101291E-2</v>
      </c>
      <c r="AC6" s="3">
        <f>BCAAs!C101</f>
        <v>1.412922491406565E-3</v>
      </c>
      <c r="AD6" s="18">
        <f>'6AAs'!B101</f>
        <v>2.4039875790954839E-2</v>
      </c>
      <c r="AE6" s="18">
        <f>'6AAs'!C101</f>
        <v>3.6646332148640537E-3</v>
      </c>
    </row>
    <row r="7" spans="1:31">
      <c r="A7" t="s">
        <v>63</v>
      </c>
      <c r="B7" s="18">
        <f>Glucose!B102</f>
        <v>0.45928663030404682</v>
      </c>
      <c r="C7" s="18">
        <f>Glucose!C102</f>
        <v>4.2693471746454124E-2</v>
      </c>
      <c r="D7" s="3">
        <f>Lactate!B102</f>
        <v>0.48732737108561847</v>
      </c>
      <c r="E7" s="3">
        <f>Lactate!C102</f>
        <v>2.6587594799896471E-2</v>
      </c>
      <c r="F7" s="18">
        <f>Glutamine!B102</f>
        <v>3.0042665069847929E-2</v>
      </c>
      <c r="G7" s="18">
        <f>Glutamine!C102</f>
        <v>1.8332513955309979E-2</v>
      </c>
      <c r="H7" s="3">
        <f>Alanine!B102</f>
        <v>1</v>
      </c>
      <c r="I7" s="3">
        <f>Alanine!C102</f>
        <v>0</v>
      </c>
      <c r="J7" s="18">
        <f>'3HB'!B102</f>
        <v>3.3673825783579149E-3</v>
      </c>
      <c r="K7" s="18">
        <f>'3HB'!C102</f>
        <v>8.6513131086986169E-6</v>
      </c>
      <c r="L7" s="3">
        <f>Palmitate!B102</f>
        <v>2.1738773342509306E-3</v>
      </c>
      <c r="M7" s="3">
        <f>Palmitate!C102</f>
        <v>1.5175399529276992E-3</v>
      </c>
      <c r="N7" s="7">
        <f>Oleate!B102</f>
        <v>5.9410774528008518E-3</v>
      </c>
      <c r="O7" s="7">
        <f>Oleate!C102</f>
        <v>2.7904408724341262E-3</v>
      </c>
      <c r="P7" s="4">
        <f>Linoleate!B102</f>
        <v>1.1765337228941799E-2</v>
      </c>
      <c r="Q7" s="4">
        <f>Linoleate!C102</f>
        <v>4.8533385498397107E-3</v>
      </c>
      <c r="R7" s="7">
        <f>Serine!B102</f>
        <v>3.5145015112411277E-3</v>
      </c>
      <c r="S7" s="7">
        <f>Serine!C102</f>
        <v>8.0642907387063097E-4</v>
      </c>
      <c r="T7" s="3">
        <f>Glycine!B102</f>
        <v>2.4477539613036352E-3</v>
      </c>
      <c r="U7" s="3">
        <f>Glycine!C102</f>
        <v>5.0407328122128157E-4</v>
      </c>
      <c r="V7" s="18">
        <f>Citrate!B102</f>
        <v>5.7835312178904008E-3</v>
      </c>
      <c r="W7" s="18">
        <f>Citrate!C102</f>
        <v>6.2725330346423706E-4</v>
      </c>
      <c r="X7" s="3">
        <f>Acetate!B102</f>
        <v>1.2849124159747731E-2</v>
      </c>
      <c r="Y7" s="3">
        <f>Acetate!C102</f>
        <v>2.9551155595987275E-3</v>
      </c>
      <c r="Z7" s="18">
        <f>Glycerol!B102</f>
        <v>3.253453169543364E-2</v>
      </c>
      <c r="AA7" s="18">
        <f>Glycerol!C102</f>
        <v>9.1780514113762989E-3</v>
      </c>
      <c r="AB7" s="3">
        <f>BCAAs!B102</f>
        <v>2.1915923276438847E-3</v>
      </c>
      <c r="AC7" s="3">
        <f>BCAAs!C102</f>
        <v>2.0151087713885666E-3</v>
      </c>
      <c r="AD7" s="18">
        <f>'6AAs'!B102</f>
        <v>2.3156130537711421E-2</v>
      </c>
      <c r="AE7" s="18">
        <f>'6AAs'!C102</f>
        <v>5.0000364517288846E-3</v>
      </c>
    </row>
    <row r="8" spans="1:31">
      <c r="A8" t="s">
        <v>64</v>
      </c>
      <c r="B8" s="18">
        <f>Glucose!B103</f>
        <v>2.7177727335563794E-2</v>
      </c>
      <c r="C8" s="18">
        <f>Glucose!C103</f>
        <v>1.0080348166235278E-2</v>
      </c>
      <c r="D8" s="3">
        <f>Lactate!B103</f>
        <v>1.4396210181353649E-2</v>
      </c>
      <c r="E8" s="3">
        <f>Lactate!C103</f>
        <v>7.9714714328399366E-3</v>
      </c>
      <c r="F8" s="18">
        <f>Glutamine!B103</f>
        <v>1.4972797671879022E-3</v>
      </c>
      <c r="G8" s="18">
        <f>Glutamine!C103</f>
        <v>2.8418399172448184E-3</v>
      </c>
      <c r="H8" s="3">
        <f>Alanine!B103</f>
        <v>7.922112141585955E-3</v>
      </c>
      <c r="I8" s="3">
        <f>Alanine!C103</f>
        <v>5.1971734129704255E-3</v>
      </c>
      <c r="J8" s="18">
        <f>'3HB'!B103</f>
        <v>1</v>
      </c>
      <c r="K8" s="18">
        <f>'3HB'!C103</f>
        <v>0</v>
      </c>
      <c r="L8" s="3">
        <f>Palmitate!B103</f>
        <v>2.1037594102071705E-2</v>
      </c>
      <c r="M8" s="3">
        <f>Palmitate!C103</f>
        <v>7.1967151518881872E-3</v>
      </c>
      <c r="N8" s="7">
        <f>Oleate!B103</f>
        <v>0.14965176124734306</v>
      </c>
      <c r="O8" s="7">
        <f>Oleate!C103</f>
        <v>1.7206342687930663E-2</v>
      </c>
      <c r="P8" s="4">
        <f>Linoleate!B103</f>
        <v>0.19484424018856061</v>
      </c>
      <c r="Q8" s="4">
        <f>Linoleate!C103</f>
        <v>3.4609606074530813E-2</v>
      </c>
      <c r="R8" s="7">
        <f>Serine!B103</f>
        <v>0</v>
      </c>
      <c r="S8" s="7">
        <f>Serine!C103</f>
        <v>0</v>
      </c>
      <c r="T8" s="3">
        <f>Glycine!B103</f>
        <v>0</v>
      </c>
      <c r="U8" s="3">
        <f>Glycine!C103</f>
        <v>0</v>
      </c>
      <c r="V8" s="18">
        <f>Citrate!B103</f>
        <v>1.4728142812811342E-4</v>
      </c>
      <c r="W8" s="18">
        <f>Citrate!C103</f>
        <v>1.4728142812811342E-4</v>
      </c>
      <c r="X8" s="3">
        <f>Acetate!B103</f>
        <v>5.1099162409824796E-3</v>
      </c>
      <c r="Y8" s="3">
        <f>Acetate!C103</f>
        <v>1.0203757274774318E-3</v>
      </c>
      <c r="Z8" s="18">
        <f>Glycerol!B103</f>
        <v>0</v>
      </c>
      <c r="AA8" s="18">
        <f>Glycerol!C103</f>
        <v>0</v>
      </c>
      <c r="AB8" s="3">
        <f>BCAAs!B103</f>
        <v>2.8816849210122234E-2</v>
      </c>
      <c r="AC8" s="3">
        <f>BCAAs!C103</f>
        <v>2.3332794075572689E-3</v>
      </c>
      <c r="AD8" s="18">
        <f>'6AAs'!B103</f>
        <v>6.7843818526227229E-2</v>
      </c>
      <c r="AE8" s="18">
        <f>'6AAs'!C103</f>
        <v>2.652173185315454E-2</v>
      </c>
    </row>
    <row r="9" spans="1:31">
      <c r="A9" t="s">
        <v>65</v>
      </c>
      <c r="B9" s="18">
        <f>Glucose!B104</f>
        <v>1.2473429131201278E-2</v>
      </c>
      <c r="C9" s="18">
        <f>Glucose!C104</f>
        <v>4.1540596398072999E-3</v>
      </c>
      <c r="D9" s="3">
        <f>Lactate!B104</f>
        <v>8.923762796194403E-4</v>
      </c>
      <c r="E9" s="3">
        <f>Lactate!C104</f>
        <v>4.6340844256339192E-4</v>
      </c>
      <c r="F9" s="18">
        <f>Glutamine!B104</f>
        <v>1.5068407164366981E-4</v>
      </c>
      <c r="G9" s="18">
        <f>Glutamine!C104</f>
        <v>2.166619850874211E-4</v>
      </c>
      <c r="H9" s="3">
        <f>Alanine!B104</f>
        <v>0</v>
      </c>
      <c r="I9" s="3">
        <f>Alanine!C104</f>
        <v>0</v>
      </c>
      <c r="J9" s="18">
        <f>'3HB'!B104</f>
        <v>4.4829920234898483E-5</v>
      </c>
      <c r="K9" s="18">
        <f>'3HB'!C104</f>
        <v>1.4427660803790953E-5</v>
      </c>
      <c r="L9" s="3">
        <f>Palmitate!B104</f>
        <v>1</v>
      </c>
      <c r="M9" s="3">
        <f>Palmitate!C104</f>
        <v>0</v>
      </c>
      <c r="N9" s="7">
        <f>Oleate!B104</f>
        <v>1.3612643945668801E-3</v>
      </c>
      <c r="O9" s="7">
        <f>Oleate!C104</f>
        <v>1.0628484849174711E-3</v>
      </c>
      <c r="P9" s="4">
        <f>Linoleate!B104</f>
        <v>3.4843859592867108E-3</v>
      </c>
      <c r="Q9" s="4">
        <f>Linoleate!C104</f>
        <v>1.4913388176943363E-3</v>
      </c>
      <c r="R9" s="7">
        <f>Serine!B104</f>
        <v>0</v>
      </c>
      <c r="S9" s="7">
        <f>Serine!C104</f>
        <v>0</v>
      </c>
      <c r="T9" s="3">
        <f>Glycine!B104</f>
        <v>1.3011224015408115E-3</v>
      </c>
      <c r="U9" s="3">
        <f>Glycine!C104</f>
        <v>1.3011224015408113E-3</v>
      </c>
      <c r="V9" s="18">
        <f>Citrate!B104</f>
        <v>1.3615255798946652E-4</v>
      </c>
      <c r="W9" s="18">
        <f>Citrate!C104</f>
        <v>6.9458331499426581E-5</v>
      </c>
      <c r="X9" s="3">
        <f>Acetate!B104</f>
        <v>1.7239297402210571E-3</v>
      </c>
      <c r="Y9" s="3">
        <f>Acetate!C104</f>
        <v>6.0563683288192348E-4</v>
      </c>
      <c r="Z9" s="18">
        <f>Glycerol!B104</f>
        <v>7.9788632832342507E-5</v>
      </c>
      <c r="AA9" s="18">
        <f>Glycerol!C104</f>
        <v>5.3888973538634361E-5</v>
      </c>
      <c r="AB9" s="3">
        <f>BCAAs!B104</f>
        <v>6.830903241535687E-5</v>
      </c>
      <c r="AC9" s="3">
        <f>BCAAs!C104</f>
        <v>5.0139113596617812E-5</v>
      </c>
      <c r="AD9" s="18">
        <f>'6AAs'!B104</f>
        <v>1.1988803339517628E-3</v>
      </c>
      <c r="AE9" s="18">
        <f>'6AAs'!C104</f>
        <v>9.8197887439112385E-4</v>
      </c>
    </row>
    <row r="10" spans="1:31">
      <c r="A10" t="s">
        <v>66</v>
      </c>
      <c r="B10" s="18">
        <f>Glucose!B105</f>
        <v>1.3486987850953223E-3</v>
      </c>
      <c r="C10" s="18">
        <f>Glucose!C105</f>
        <v>5.1420858553110217E-4</v>
      </c>
      <c r="D10" s="3">
        <f>Lactate!B105</f>
        <v>5.911993249827209E-4</v>
      </c>
      <c r="E10" s="3">
        <f>Lactate!C105</f>
        <v>4.8194941990464026E-4</v>
      </c>
      <c r="F10" s="18">
        <f>Glutamine!B105</f>
        <v>1.0162325876242587E-4</v>
      </c>
      <c r="G10" s="18">
        <f>Glutamine!C105</f>
        <v>2.072158723795424E-4</v>
      </c>
      <c r="H10" s="3">
        <f>Alanine!B105</f>
        <v>0</v>
      </c>
      <c r="I10" s="3">
        <f>Alanine!C105</f>
        <v>0</v>
      </c>
      <c r="J10" s="18">
        <f>'3HB'!B105</f>
        <v>0</v>
      </c>
      <c r="K10" s="18">
        <f>'3HB'!C105</f>
        <v>0</v>
      </c>
      <c r="L10" s="3">
        <f>Palmitate!B105</f>
        <v>8.7538364019202983E-3</v>
      </c>
      <c r="M10" s="3">
        <f>Palmitate!C105</f>
        <v>2.1609049141002768E-3</v>
      </c>
      <c r="N10" s="7">
        <f>Oleate!B105</f>
        <v>1</v>
      </c>
      <c r="O10" s="7">
        <f>Oleate!C105</f>
        <v>0</v>
      </c>
      <c r="P10" s="4">
        <f>Linoleate!B105</f>
        <v>5.3430755353332917E-3</v>
      </c>
      <c r="Q10" s="4">
        <f>Linoleate!C105</f>
        <v>1.6293773295940055E-3</v>
      </c>
      <c r="R10" s="7">
        <f>Serine!B105</f>
        <v>6.4238124672559823E-5</v>
      </c>
      <c r="S10" s="7">
        <f>Serine!C105</f>
        <v>3.2329740421044566E-5</v>
      </c>
      <c r="T10" s="3">
        <f>Glycine!B105</f>
        <v>0</v>
      </c>
      <c r="U10" s="3">
        <f>Glycine!C105</f>
        <v>0</v>
      </c>
      <c r="V10" s="18">
        <f>Citrate!B105</f>
        <v>0</v>
      </c>
      <c r="W10" s="18">
        <f>Citrate!C105</f>
        <v>0</v>
      </c>
      <c r="X10" s="3">
        <f>Acetate!B105</f>
        <v>9.928447330756982E-5</v>
      </c>
      <c r="Y10" s="3">
        <f>Acetate!C105</f>
        <v>5.9798545778645259E-5</v>
      </c>
      <c r="Z10" s="18">
        <f>Glycerol!B105</f>
        <v>0</v>
      </c>
      <c r="AA10" s="18">
        <f>Glycerol!C105</f>
        <v>0</v>
      </c>
      <c r="AB10" s="3">
        <f>BCAAs!B105</f>
        <v>8.9880319252449279E-5</v>
      </c>
      <c r="AC10" s="3">
        <f>BCAAs!C105</f>
        <v>5.6849587927013921E-5</v>
      </c>
      <c r="AD10" s="18">
        <f>'6AAs'!B105</f>
        <v>4.8469936928357605E-4</v>
      </c>
      <c r="AE10" s="18">
        <f>'6AAs'!C105</f>
        <v>2.7629647174220757E-4</v>
      </c>
    </row>
    <row r="11" spans="1:31">
      <c r="A11" t="s">
        <v>67</v>
      </c>
      <c r="B11" s="18">
        <f>Glucose!B106</f>
        <v>1.1182799209073272E-4</v>
      </c>
      <c r="C11" s="18">
        <f>Glucose!C106</f>
        <v>1.1182799209073272E-4</v>
      </c>
      <c r="D11" s="3">
        <f>Lactate!B106</f>
        <v>3.511752731134938E-4</v>
      </c>
      <c r="E11" s="3">
        <f>Lactate!C106</f>
        <v>3.511752731134938E-4</v>
      </c>
      <c r="F11" s="18">
        <f>Glutamine!B106</f>
        <v>2.9378946851980345E-5</v>
      </c>
      <c r="G11" s="18">
        <f>Glutamine!C106</f>
        <v>8.8136840555941038E-5</v>
      </c>
      <c r="H11" s="3">
        <f>Alanine!B106</f>
        <v>0</v>
      </c>
      <c r="I11" s="3">
        <f>Alanine!C106</f>
        <v>0</v>
      </c>
      <c r="J11" s="18">
        <f>'3HB'!B106</f>
        <v>0</v>
      </c>
      <c r="K11" s="18">
        <f>'3HB'!C106</f>
        <v>0</v>
      </c>
      <c r="L11" s="3">
        <f>Palmitate!B106</f>
        <v>1.7928983082357314E-3</v>
      </c>
      <c r="M11" s="3">
        <f>Palmitate!C106</f>
        <v>1.7928983082357314E-3</v>
      </c>
      <c r="N11" s="7">
        <f>Oleate!B106</f>
        <v>0</v>
      </c>
      <c r="O11" s="7">
        <f>Oleate!C106</f>
        <v>0</v>
      </c>
      <c r="P11" s="4">
        <f>Linoleate!B106</f>
        <v>1</v>
      </c>
      <c r="Q11" s="4">
        <f>Linoleate!C106</f>
        <v>0</v>
      </c>
      <c r="R11" s="7">
        <f>Serine!B106</f>
        <v>0</v>
      </c>
      <c r="S11" s="7">
        <f>Serine!C106</f>
        <v>0</v>
      </c>
      <c r="T11" s="3">
        <f>Glycine!B106</f>
        <v>0</v>
      </c>
      <c r="U11" s="3">
        <f>Glycine!C106</f>
        <v>0</v>
      </c>
      <c r="V11" s="18">
        <f>Citrate!B106</f>
        <v>0</v>
      </c>
      <c r="W11" s="18">
        <f>Citrate!C106</f>
        <v>0</v>
      </c>
      <c r="X11" s="3">
        <f>Acetate!B106</f>
        <v>1.7923817473567056E-4</v>
      </c>
      <c r="Y11" s="3">
        <f>Acetate!C106</f>
        <v>1.7923817473567053E-4</v>
      </c>
      <c r="Z11" s="18">
        <f>Glycerol!B106</f>
        <v>0</v>
      </c>
      <c r="AA11" s="18">
        <f>Glycerol!C106</f>
        <v>0</v>
      </c>
      <c r="AB11" s="3">
        <f>BCAAs!B106</f>
        <v>0</v>
      </c>
      <c r="AC11" s="3">
        <f>BCAAs!C106</f>
        <v>0</v>
      </c>
      <c r="AD11" s="18">
        <f>'6AAs'!B106</f>
        <v>0</v>
      </c>
      <c r="AE11" s="18">
        <f>'6AAs'!C106</f>
        <v>0</v>
      </c>
    </row>
    <row r="12" spans="1:31">
      <c r="A12" t="s">
        <v>71</v>
      </c>
      <c r="B12" s="18">
        <f>Glucose!B107</f>
        <v>7.943235357805685E-2</v>
      </c>
      <c r="C12" s="18">
        <f>Glucose!C107</f>
        <v>1.7316418627551625E-2</v>
      </c>
      <c r="D12" s="3">
        <f>Lactate!B107</f>
        <v>1.4371063453811447E-2</v>
      </c>
      <c r="E12" s="3">
        <f>Lactate!C107</f>
        <v>4.0163823947234395E-3</v>
      </c>
      <c r="F12" s="18">
        <f>Glutamine!B107</f>
        <v>4.4529846199331006E-3</v>
      </c>
      <c r="G12" s="18">
        <f>Glutamine!C107</f>
        <v>5.5637083025910188E-3</v>
      </c>
      <c r="H12" s="3">
        <f>Alanine!B107</f>
        <v>1.1794363629156921E-3</v>
      </c>
      <c r="I12" s="3">
        <f>Alanine!C107</f>
        <v>1.1794363629156924E-3</v>
      </c>
      <c r="J12" s="18">
        <f>'3HB'!B107</f>
        <v>0</v>
      </c>
      <c r="K12" s="18">
        <f>'3HB'!C107</f>
        <v>0</v>
      </c>
      <c r="L12" s="3">
        <f>Palmitate!B107</f>
        <v>0</v>
      </c>
      <c r="M12" s="3">
        <f>Palmitate!C107</f>
        <v>0</v>
      </c>
      <c r="N12" s="7">
        <f>Oleate!B107</f>
        <v>0</v>
      </c>
      <c r="O12" s="7">
        <f>Oleate!C107</f>
        <v>0</v>
      </c>
      <c r="P12" s="4">
        <f>Linoleate!B107</f>
        <v>5.4984413042983595E-4</v>
      </c>
      <c r="Q12" s="4">
        <f>Linoleate!C107</f>
        <v>5.4984413042983584E-4</v>
      </c>
      <c r="R12" s="7">
        <f>Serine!B107</f>
        <v>1</v>
      </c>
      <c r="S12" s="7">
        <f>Serine!C107</f>
        <v>0</v>
      </c>
      <c r="T12" s="3">
        <f>Glycine!B107</f>
        <v>4.4840854476135755E-2</v>
      </c>
      <c r="U12" s="3">
        <f>Glycine!C107</f>
        <v>5.4810882544447962E-3</v>
      </c>
      <c r="V12" s="18">
        <f>Citrate!B107</f>
        <v>1.3121988665131397E-5</v>
      </c>
      <c r="W12" s="18">
        <f>Citrate!C107</f>
        <v>1.3121988665131398E-5</v>
      </c>
      <c r="X12" s="3">
        <f>Acetate!B107</f>
        <v>7.6685315618507958E-4</v>
      </c>
      <c r="Y12" s="3">
        <f>Acetate!C107</f>
        <v>7.6685315618507969E-4</v>
      </c>
      <c r="Z12" s="18">
        <f>Glycerol!B107</f>
        <v>7.6525638105218357E-3</v>
      </c>
      <c r="AA12" s="18">
        <f>Glycerol!C107</f>
        <v>1.404461494254157E-3</v>
      </c>
      <c r="AB12" s="3">
        <f>BCAAs!B107</f>
        <v>0</v>
      </c>
      <c r="AC12" s="3">
        <f>BCAAs!C107</f>
        <v>0</v>
      </c>
      <c r="AD12" s="18">
        <f>'6AAs'!B107</f>
        <v>0</v>
      </c>
      <c r="AE12" s="18">
        <f>'6AAs'!C107</f>
        <v>0</v>
      </c>
    </row>
    <row r="13" spans="1:31">
      <c r="A13" t="s">
        <v>72</v>
      </c>
      <c r="B13" s="18">
        <f>Glucose!B108</f>
        <v>1.8190753789128405E-2</v>
      </c>
      <c r="C13" s="18">
        <f>Glucose!C108</f>
        <v>8.3174891016235073E-3</v>
      </c>
      <c r="D13" s="3">
        <f>Lactate!B108</f>
        <v>2.3943601572553569E-2</v>
      </c>
      <c r="E13" s="3">
        <f>Lactate!C108</f>
        <v>9.8429661361931018E-3</v>
      </c>
      <c r="F13" s="18">
        <f>Glutamine!B108</f>
        <v>2.9579740468968873E-3</v>
      </c>
      <c r="G13" s="18">
        <f>Glutamine!C108</f>
        <v>4.6645157737066605E-3</v>
      </c>
      <c r="H13" s="3">
        <f>Alanine!B108</f>
        <v>9.9266968832186224E-4</v>
      </c>
      <c r="I13" s="3">
        <f>Alanine!C108</f>
        <v>9.9266968832186246E-4</v>
      </c>
      <c r="J13" s="18">
        <f>'3HB'!B108</f>
        <v>5.1730568142209824E-4</v>
      </c>
      <c r="K13" s="18">
        <f>'3HB'!C108</f>
        <v>5.1730568142209824E-4</v>
      </c>
      <c r="L13" s="3">
        <f>Palmitate!B108</f>
        <v>0</v>
      </c>
      <c r="M13" s="3">
        <f>Palmitate!C108</f>
        <v>0</v>
      </c>
      <c r="N13" s="7">
        <f>Oleate!B108</f>
        <v>0</v>
      </c>
      <c r="O13" s="7">
        <f>Oleate!C108</f>
        <v>0</v>
      </c>
      <c r="P13" s="4">
        <f>Linoleate!B108</f>
        <v>5.2996790862096799E-3</v>
      </c>
      <c r="Q13" s="4">
        <f>Linoleate!C108</f>
        <v>2.8053047704211776E-3</v>
      </c>
      <c r="R13" s="7">
        <f>Serine!B108</f>
        <v>0.17924883474736641</v>
      </c>
      <c r="S13" s="7">
        <f>Serine!C108</f>
        <v>1.4605995828039463E-2</v>
      </c>
      <c r="T13" s="4">
        <f>Glycine!B108</f>
        <v>1</v>
      </c>
      <c r="U13" s="4">
        <f>Glycine!C108</f>
        <v>0</v>
      </c>
      <c r="V13" s="7">
        <f>Citrate!B108</f>
        <v>2.5564505408463153E-3</v>
      </c>
      <c r="W13" s="7">
        <f>Citrate!C108</f>
        <v>1.55928273453748E-3</v>
      </c>
      <c r="X13" s="4">
        <f>Acetate!B108</f>
        <v>6.328336186592314E-3</v>
      </c>
      <c r="Y13" s="4">
        <f>Acetate!C108</f>
        <v>4.3367068913252827E-3</v>
      </c>
      <c r="Z13" s="7">
        <f>Glycerol!B108</f>
        <v>0</v>
      </c>
      <c r="AA13" s="7">
        <f>Glycerol!C108</f>
        <v>0</v>
      </c>
      <c r="AB13" s="3">
        <f>BCAAs!B108</f>
        <v>8.6338919925512108E-3</v>
      </c>
      <c r="AC13" s="3">
        <f>BCAAs!C108</f>
        <v>8.6338919925512108E-3</v>
      </c>
      <c r="AD13" s="18">
        <f>'6AAs'!B108</f>
        <v>9.3221739130434772E-3</v>
      </c>
      <c r="AE13" s="18">
        <f>'6AAs'!C108</f>
        <v>9.3221739130434789E-3</v>
      </c>
    </row>
    <row r="14" spans="1:31">
      <c r="A14" t="s">
        <v>69</v>
      </c>
      <c r="B14" s="18">
        <f>Glucose!B109</f>
        <v>0.16575221253031561</v>
      </c>
      <c r="C14" s="18">
        <f>Glucose!C109</f>
        <v>8.5018301206363847E-3</v>
      </c>
      <c r="D14" s="3">
        <f>Lactate!B109</f>
        <v>0.19602538524870378</v>
      </c>
      <c r="E14" s="3">
        <f>Lactate!C109</f>
        <v>1.3385392052739403E-2</v>
      </c>
      <c r="F14" s="18">
        <f>Glutamine!B109</f>
        <v>6.3383690077247076E-2</v>
      </c>
      <c r="G14" s="18">
        <f>Glutamine!C109</f>
        <v>1.4741794902430121E-2</v>
      </c>
      <c r="H14" s="3">
        <f>Alanine!B109</f>
        <v>3.7189104955664486E-2</v>
      </c>
      <c r="I14" s="3">
        <f>Alanine!C109</f>
        <v>1.1584114084849308E-2</v>
      </c>
      <c r="J14" s="18">
        <f>'3HB'!B109</f>
        <v>1.6461450313054769E-2</v>
      </c>
      <c r="K14" s="18">
        <f>'3HB'!C109</f>
        <v>1.1148797820897218E-2</v>
      </c>
      <c r="L14" s="3">
        <f>Palmitate!B109</f>
        <v>1.3692845484309268E-2</v>
      </c>
      <c r="M14" s="3">
        <f>Palmitate!C109</f>
        <v>1.046106221783441E-3</v>
      </c>
      <c r="N14" s="7">
        <f>Oleate!B109</f>
        <v>2.493733629547994E-2</v>
      </c>
      <c r="O14" s="7">
        <f>Oleate!C109</f>
        <v>1.2777889619455389E-2</v>
      </c>
      <c r="P14" s="4">
        <f>Linoleate!B109</f>
        <v>4.8788303762957515E-2</v>
      </c>
      <c r="Q14" s="4">
        <f>Linoleate!C109</f>
        <v>8.1795026084997158E-3</v>
      </c>
      <c r="R14" s="7" t="str">
        <f>Serine!B109</f>
        <v>NaN</v>
      </c>
      <c r="S14" s="7" t="str">
        <f>Serine!C109</f>
        <v>NaN</v>
      </c>
      <c r="T14" s="4">
        <f>Glycine!B109</f>
        <v>2.217600636959399E-3</v>
      </c>
      <c r="U14" s="4">
        <f>Glycine!C109</f>
        <v>4.7176813380472019E-4</v>
      </c>
      <c r="V14" s="7">
        <f>Citrate!B109</f>
        <v>1</v>
      </c>
      <c r="W14" s="7">
        <f>Citrate!C109</f>
        <v>0</v>
      </c>
      <c r="X14" s="4">
        <f>Acetate!B109</f>
        <v>5.514653835701213E-2</v>
      </c>
      <c r="Y14" s="4">
        <f>Acetate!C109</f>
        <v>1.7425554098704877E-2</v>
      </c>
      <c r="Z14" s="7">
        <f>Glycerol!B109</f>
        <v>7.9883087243082691E-3</v>
      </c>
      <c r="AA14" s="7">
        <f>Glycerol!C109</f>
        <v>2.9628576606942057E-3</v>
      </c>
      <c r="AB14" s="3">
        <f>BCAAs!B109</f>
        <v>9.6288441195679017E-3</v>
      </c>
      <c r="AC14" s="3">
        <f>BCAAs!C109</f>
        <v>2.7570486517966113E-3</v>
      </c>
      <c r="AD14" s="18">
        <f>'6AAs'!B109</f>
        <v>2.9168372363733643E-3</v>
      </c>
      <c r="AE14" s="18">
        <f>'6AAs'!C109</f>
        <v>1.9372325995404044E-3</v>
      </c>
    </row>
    <row r="15" spans="1:31">
      <c r="A15" t="s">
        <v>68</v>
      </c>
      <c r="B15" s="18">
        <f>Glucose!B110</f>
        <v>4.3913805134338901E-2</v>
      </c>
      <c r="C15" s="18">
        <f>Glucose!C110</f>
        <v>2.0128854143968279E-3</v>
      </c>
      <c r="D15" s="3">
        <f>Lactate!B110</f>
        <v>3.0099050971199387E-2</v>
      </c>
      <c r="E15" s="3">
        <f>Lactate!C110</f>
        <v>9.2716538419498618E-3</v>
      </c>
      <c r="F15" s="18" t="str">
        <f>Glutamine!B110</f>
        <v>NaN</v>
      </c>
      <c r="G15" s="18" t="str">
        <f>Glutamine!C110</f>
        <v>NaN</v>
      </c>
      <c r="H15" s="3" t="str">
        <f>Alanine!B110</f>
        <v>NaN</v>
      </c>
      <c r="I15" s="3" t="str">
        <f>Alanine!C110</f>
        <v>NaN</v>
      </c>
      <c r="J15" s="18" t="str">
        <f>'3HB'!B110</f>
        <v>NaN</v>
      </c>
      <c r="K15" s="18" t="str">
        <f>'3HB'!C110</f>
        <v>NaN</v>
      </c>
      <c r="L15" s="3">
        <f>Palmitate!B110</f>
        <v>8.574154248227283E-3</v>
      </c>
      <c r="M15" s="3">
        <f>Palmitate!C110</f>
        <v>3.2170551021427451E-4</v>
      </c>
      <c r="N15" s="7">
        <f>Oleate!B110</f>
        <v>5.4866806194534878E-2</v>
      </c>
      <c r="O15" s="7">
        <f>Oleate!C110</f>
        <v>1.3492659757080425E-2</v>
      </c>
      <c r="P15" s="4">
        <f>Linoleate!B110</f>
        <v>0.14220246588016869</v>
      </c>
      <c r="Q15" s="4">
        <f>Linoleate!C110</f>
        <v>3.6061211358493155E-2</v>
      </c>
      <c r="R15" s="7" t="str">
        <f>Serine!B110</f>
        <v>NaN</v>
      </c>
      <c r="S15" s="7" t="str">
        <f>Serine!C110</f>
        <v>NaN</v>
      </c>
      <c r="T15" s="4" t="str">
        <f>Glycine!B110</f>
        <v>NaN</v>
      </c>
      <c r="U15" s="4" t="str">
        <f>Glycine!C110</f>
        <v>NaN</v>
      </c>
      <c r="V15" s="7" t="str">
        <f>Citrate!B110</f>
        <v>NaN</v>
      </c>
      <c r="W15" s="7" t="str">
        <f>Citrate!C110</f>
        <v>NaN</v>
      </c>
      <c r="X15" s="4">
        <f>Acetate!B110</f>
        <v>1</v>
      </c>
      <c r="Y15" s="4">
        <f>Acetate!C110</f>
        <v>0</v>
      </c>
      <c r="Z15" s="7">
        <f>Glycerol!B110</f>
        <v>4.5861784547051084E-3</v>
      </c>
      <c r="AA15" s="7">
        <f>Glycerol!C110</f>
        <v>1.1493312683960139E-3</v>
      </c>
      <c r="AB15" s="3" t="str">
        <f>BCAAs!B110</f>
        <v>NaN</v>
      </c>
      <c r="AC15" s="3" t="str">
        <f>BCAAs!C110</f>
        <v>NaN</v>
      </c>
      <c r="AD15" s="18">
        <f>'6AAs'!B110</f>
        <v>6.5874467413395699E-3</v>
      </c>
      <c r="AE15" s="18">
        <f>'6AAs'!C110</f>
        <v>1.3390870131259178E-3</v>
      </c>
    </row>
    <row r="16" spans="1:31" s="1" customFormat="1">
      <c r="A16" s="1" t="s">
        <v>70</v>
      </c>
      <c r="B16" s="81">
        <f>Glucose!B111</f>
        <v>0.18390862096454605</v>
      </c>
      <c r="C16" s="81">
        <f>Glucose!C111</f>
        <v>1.299044156751325E-2</v>
      </c>
      <c r="D16" s="24">
        <f>Lactate!B111</f>
        <v>4.5508676775843006E-2</v>
      </c>
      <c r="E16" s="24">
        <f>Lactate!C111</f>
        <v>7.59872414363124E-3</v>
      </c>
      <c r="F16" s="81">
        <f>Glutamine!B111</f>
        <v>3.3746556473829201E-3</v>
      </c>
      <c r="G16" s="81">
        <f>Glutamine!C111</f>
        <v>2.178330853583143E-3</v>
      </c>
      <c r="H16" s="24">
        <f>Alanine!B111</f>
        <v>1.0336215295317214E-2</v>
      </c>
      <c r="I16" s="24">
        <f>Alanine!C111</f>
        <v>3.2126080188667862E-3</v>
      </c>
      <c r="J16" s="81">
        <f>'3HB'!B111</f>
        <v>0</v>
      </c>
      <c r="K16" s="81">
        <f>'3HB'!C111</f>
        <v>0</v>
      </c>
      <c r="L16" s="24">
        <f>Palmitate!B111</f>
        <v>0</v>
      </c>
      <c r="M16" s="24">
        <f>Palmitate!C111</f>
        <v>0</v>
      </c>
      <c r="N16" s="82">
        <f>Oleate!B111</f>
        <v>0</v>
      </c>
      <c r="O16" s="82">
        <f>Oleate!C111</f>
        <v>0</v>
      </c>
      <c r="P16" s="83">
        <f>Linoleate!B111</f>
        <v>0</v>
      </c>
      <c r="Q16" s="83">
        <f>Linoleate!C111</f>
        <v>0</v>
      </c>
      <c r="R16" s="82">
        <f>Serine!B111</f>
        <v>0</v>
      </c>
      <c r="S16" s="82">
        <f>Serine!C111</f>
        <v>0</v>
      </c>
      <c r="T16" s="83">
        <f>Glycine!B111</f>
        <v>0</v>
      </c>
      <c r="U16" s="83">
        <f>Glycine!C111</f>
        <v>0</v>
      </c>
      <c r="V16" s="82" t="str">
        <f>Citrate!B111</f>
        <v>NaN</v>
      </c>
      <c r="W16" s="82" t="str">
        <f>Citrate!C111</f>
        <v>NaN</v>
      </c>
      <c r="X16" s="83">
        <f>Acetate!B111</f>
        <v>0</v>
      </c>
      <c r="Y16" s="83">
        <f>Acetate!C111</f>
        <v>0</v>
      </c>
      <c r="Z16" s="82">
        <f>Glycerol!B111</f>
        <v>1</v>
      </c>
      <c r="AA16" s="82">
        <f>Glycerol!C111</f>
        <v>0</v>
      </c>
      <c r="AB16" s="24" t="str">
        <f>BCAAs!B111</f>
        <v>NaN</v>
      </c>
      <c r="AC16" s="24" t="str">
        <f>BCAAs!C111</f>
        <v>NaN</v>
      </c>
      <c r="AD16" s="81">
        <f>'6AAs'!B111</f>
        <v>0</v>
      </c>
      <c r="AE16" s="81">
        <f>'6AAs'!C111</f>
        <v>0</v>
      </c>
    </row>
    <row r="17" spans="1:31">
      <c r="A17" t="s">
        <v>23</v>
      </c>
      <c r="B17" s="18">
        <f>Glucose!B112</f>
        <v>0</v>
      </c>
      <c r="C17" s="18">
        <f>Glucose!C112</f>
        <v>0</v>
      </c>
      <c r="D17" s="3">
        <f>Lactate!B112</f>
        <v>0</v>
      </c>
      <c r="E17" s="3">
        <f>Lactate!C112</f>
        <v>0</v>
      </c>
      <c r="F17" s="18">
        <f>Glutamine!B112</f>
        <v>0</v>
      </c>
      <c r="G17" s="18">
        <f>Glutamine!C112</f>
        <v>0</v>
      </c>
      <c r="H17" s="3">
        <f>Alanine!B112</f>
        <v>0</v>
      </c>
      <c r="I17" s="3">
        <f>Alanine!C112</f>
        <v>0</v>
      </c>
      <c r="J17" s="18">
        <f>'3HB'!B112</f>
        <v>0</v>
      </c>
      <c r="K17" s="18">
        <f>'3HB'!C112</f>
        <v>0</v>
      </c>
      <c r="L17" s="3">
        <f>Palmitate!B112</f>
        <v>0</v>
      </c>
      <c r="M17" s="3">
        <f>Palmitate!C112</f>
        <v>0</v>
      </c>
      <c r="N17" s="18">
        <f>Oleate!B112</f>
        <v>0</v>
      </c>
      <c r="O17" s="18">
        <f>Oleate!C112</f>
        <v>0</v>
      </c>
      <c r="P17" s="3">
        <f>Linoleate!B112</f>
        <v>0</v>
      </c>
      <c r="Q17" s="3">
        <f>Linoleate!C112</f>
        <v>0</v>
      </c>
      <c r="R17" s="18">
        <f>Serine!B112</f>
        <v>0</v>
      </c>
      <c r="S17" s="18">
        <f>Serine!C112</f>
        <v>0</v>
      </c>
      <c r="T17" s="3">
        <f>Glycine!B112</f>
        <v>0</v>
      </c>
      <c r="U17" s="3">
        <f>Glycine!C112</f>
        <v>0</v>
      </c>
      <c r="V17" s="18">
        <f>Citrate!B112</f>
        <v>0</v>
      </c>
      <c r="W17" s="18">
        <f>Citrate!C112</f>
        <v>0</v>
      </c>
      <c r="X17" s="3">
        <f>Acetate!B112</f>
        <v>0</v>
      </c>
      <c r="Y17" s="3">
        <f>Acetate!C112</f>
        <v>0</v>
      </c>
      <c r="Z17" s="18">
        <f>Glycerol!B112</f>
        <v>0</v>
      </c>
      <c r="AA17" s="18">
        <f>Glycerol!C112</f>
        <v>0</v>
      </c>
      <c r="AB17" s="3">
        <f>BCAAs!B112</f>
        <v>1</v>
      </c>
      <c r="AC17" s="3">
        <f>BCAAs!C112</f>
        <v>0</v>
      </c>
      <c r="AD17" s="18">
        <f>'6AAs'!B112</f>
        <v>0</v>
      </c>
      <c r="AE17" s="18">
        <f>'6AAs'!C112</f>
        <v>0</v>
      </c>
    </row>
    <row r="18" spans="1:31">
      <c r="A18" t="s">
        <v>24</v>
      </c>
      <c r="B18" s="18">
        <f>Glucose!B113</f>
        <v>0</v>
      </c>
      <c r="C18" s="18">
        <f>Glucose!C113</f>
        <v>0</v>
      </c>
      <c r="D18" s="3">
        <f>Lactate!B113</f>
        <v>0</v>
      </c>
      <c r="E18" s="3">
        <f>Lactate!C113</f>
        <v>0</v>
      </c>
      <c r="F18" s="18">
        <f>Glutamine!B113</f>
        <v>0</v>
      </c>
      <c r="G18" s="18">
        <f>Glutamine!C113</f>
        <v>0</v>
      </c>
      <c r="H18" s="3">
        <f>Alanine!B113</f>
        <v>0</v>
      </c>
      <c r="I18" s="3">
        <f>Alanine!C113</f>
        <v>0</v>
      </c>
      <c r="J18" s="18">
        <f>'3HB'!B113</f>
        <v>0</v>
      </c>
      <c r="K18" s="18">
        <f>'3HB'!C113</f>
        <v>0</v>
      </c>
      <c r="L18" s="3">
        <f>Palmitate!B113</f>
        <v>0</v>
      </c>
      <c r="M18" s="3">
        <f>Palmitate!C113</f>
        <v>0</v>
      </c>
      <c r="N18" s="18">
        <f>Oleate!B113</f>
        <v>0</v>
      </c>
      <c r="O18" s="18">
        <f>Oleate!C113</f>
        <v>0</v>
      </c>
      <c r="P18" s="3">
        <f>Linoleate!B113</f>
        <v>0</v>
      </c>
      <c r="Q18" s="3">
        <f>Linoleate!C113</f>
        <v>0</v>
      </c>
      <c r="R18" s="18">
        <f>Serine!B113</f>
        <v>0</v>
      </c>
      <c r="S18" s="18">
        <f>Serine!C113</f>
        <v>0</v>
      </c>
      <c r="T18" s="3">
        <f>Glycine!B113</f>
        <v>0</v>
      </c>
      <c r="U18" s="3">
        <f>Glycine!C113</f>
        <v>0</v>
      </c>
      <c r="V18" s="18">
        <f>Citrate!B113</f>
        <v>0</v>
      </c>
      <c r="W18" s="18">
        <f>Citrate!C113</f>
        <v>0</v>
      </c>
      <c r="X18" s="3">
        <f>Acetate!B113</f>
        <v>0</v>
      </c>
      <c r="Y18" s="3">
        <f>Acetate!C113</f>
        <v>0</v>
      </c>
      <c r="Z18" s="18">
        <f>Glycerol!B113</f>
        <v>0</v>
      </c>
      <c r="AA18" s="18">
        <f>Glycerol!C113</f>
        <v>0</v>
      </c>
      <c r="AB18" s="3">
        <f>BCAAs!B113</f>
        <v>0</v>
      </c>
      <c r="AC18" s="3">
        <f>BCAAs!C113</f>
        <v>0</v>
      </c>
      <c r="AD18" s="18">
        <f>'6AAs'!B113</f>
        <v>1</v>
      </c>
      <c r="AE18" s="18">
        <f>'6AAs'!C113</f>
        <v>0</v>
      </c>
    </row>
    <row r="19" spans="1:31">
      <c r="B19" s="18"/>
      <c r="C19" s="18"/>
      <c r="D19" s="3"/>
      <c r="E19" s="3"/>
      <c r="F19" s="18"/>
      <c r="G19" s="18"/>
      <c r="H19" s="3"/>
      <c r="I19" s="3"/>
      <c r="J19" s="18"/>
      <c r="K19" s="18"/>
      <c r="L19" s="3"/>
      <c r="M19" s="3"/>
      <c r="N19" s="18"/>
      <c r="O19" s="18"/>
      <c r="P19" s="3"/>
      <c r="Q19" s="3"/>
      <c r="R19" s="18"/>
      <c r="S19" s="18"/>
      <c r="T19" s="3"/>
      <c r="U19" s="3"/>
      <c r="V19" s="18"/>
      <c r="W19" s="18"/>
      <c r="X19" s="3"/>
      <c r="Y19" s="3"/>
      <c r="Z19" s="18"/>
      <c r="AA19" s="18"/>
      <c r="AB19" s="3"/>
      <c r="AC19" s="3"/>
      <c r="AD19" s="18"/>
      <c r="AE19" s="18"/>
    </row>
    <row r="20" spans="1:31">
      <c r="A20" s="1" t="s">
        <v>16</v>
      </c>
      <c r="B20" s="18"/>
      <c r="C20" s="18"/>
      <c r="D20" s="3"/>
      <c r="E20" s="3"/>
      <c r="F20" s="18"/>
      <c r="G20" s="18"/>
      <c r="H20" s="3"/>
      <c r="I20" s="3"/>
      <c r="J20" s="18"/>
      <c r="K20" s="18"/>
      <c r="L20" s="3"/>
      <c r="M20" s="3"/>
      <c r="N20" s="18"/>
      <c r="O20" s="18"/>
      <c r="P20" s="3"/>
      <c r="Q20" s="3"/>
      <c r="R20" s="18"/>
      <c r="S20" s="18"/>
      <c r="T20" s="3"/>
      <c r="U20" s="3"/>
      <c r="V20" s="18"/>
      <c r="W20" s="18"/>
      <c r="X20" s="3"/>
      <c r="Y20" s="3"/>
      <c r="Z20" s="18"/>
      <c r="AA20" s="18"/>
      <c r="AB20" s="3"/>
      <c r="AC20" s="3"/>
      <c r="AD20" s="18"/>
      <c r="AE20" s="18"/>
    </row>
    <row r="21" spans="1:31">
      <c r="A21" t="s">
        <v>7</v>
      </c>
      <c r="B21" s="18">
        <f>Glucose!B117</f>
        <v>0.82472775260727305</v>
      </c>
      <c r="C21" s="18">
        <f>Glucose!C117</f>
        <v>1.4912265150487936E-2</v>
      </c>
      <c r="D21" s="3">
        <f>Lactate!B117</f>
        <v>0.2545776459330571</v>
      </c>
      <c r="E21" s="3">
        <f>Lactate!C117</f>
        <v>2.1990432846618085E-2</v>
      </c>
      <c r="F21" s="18">
        <f>Glutamine!B117</f>
        <v>6.0037028283067416E-2</v>
      </c>
      <c r="G21" s="18">
        <f>Glutamine!C117</f>
        <v>1.0076887726280714E-2</v>
      </c>
      <c r="H21" s="3">
        <f>Alanine!B117</f>
        <v>6.8898033817815493E-2</v>
      </c>
      <c r="I21" s="3">
        <f>Alanine!C117</f>
        <v>1.3833318266184625E-2</v>
      </c>
      <c r="J21" s="18">
        <f>'3HB'!B117</f>
        <v>7.4332894471401418E-3</v>
      </c>
      <c r="K21" s="18">
        <f>'3HB'!C117</f>
        <v>7.4907892082435223E-4</v>
      </c>
      <c r="L21" s="3">
        <f>Palmitate!B117</f>
        <v>6.8820302196111113E-3</v>
      </c>
      <c r="M21" s="3">
        <f>Palmitate!C117</f>
        <v>2.0298256793229675E-3</v>
      </c>
      <c r="N21" s="18">
        <f>Oleate!B117</f>
        <v>2.8706376953527762E-2</v>
      </c>
      <c r="O21" s="18">
        <f>Oleate!C117</f>
        <v>9.2714053365257586E-3</v>
      </c>
      <c r="P21" s="3">
        <f>Linoleate!B117</f>
        <v>4.0262523682123186E-2</v>
      </c>
      <c r="Q21" s="3">
        <f>Linoleate!C117</f>
        <v>1.2441957008590427E-2</v>
      </c>
      <c r="R21" s="18">
        <f>Serine!B117</f>
        <v>1.4906985177973488E-2</v>
      </c>
      <c r="S21" s="18">
        <f>Serine!C117</f>
        <v>9.2699609592684733E-4</v>
      </c>
      <c r="T21" s="3">
        <f>Glycine!B117</f>
        <v>6.3207410952444941E-3</v>
      </c>
      <c r="U21" s="3">
        <f>Glycine!C117</f>
        <v>2.0584710547317735E-3</v>
      </c>
      <c r="V21" s="18">
        <f>Citrate!B117</f>
        <v>8.4139472120343065E-3</v>
      </c>
      <c r="W21" s="18">
        <f>Citrate!C117</f>
        <v>1.7183972712111473E-3</v>
      </c>
      <c r="X21" s="3">
        <f>Acetate!B117</f>
        <v>2.2301907873133769E-2</v>
      </c>
      <c r="Y21" s="3">
        <f>Acetate!C117</f>
        <v>2.3072405270107995E-3</v>
      </c>
      <c r="Z21" s="18">
        <f>Glycerol!B117</f>
        <v>5.642437882358782E-2</v>
      </c>
      <c r="AA21" s="18">
        <f>Glycerol!C117</f>
        <v>6.3841895056624366E-3</v>
      </c>
      <c r="AB21" s="3">
        <f>BCAAs!B117</f>
        <v>9.1538032219684855E-3</v>
      </c>
      <c r="AC21" s="3">
        <f>BCAAs!C117</f>
        <v>2.7862053295645219E-3</v>
      </c>
      <c r="AD21" s="18">
        <f>'6AAs'!B117</f>
        <v>2.1139696566373583E-2</v>
      </c>
      <c r="AE21" s="18">
        <f>'6AAs'!C117</f>
        <v>1.4580163280225565E-3</v>
      </c>
    </row>
    <row r="22" spans="1:31">
      <c r="A22" t="s">
        <v>8</v>
      </c>
      <c r="B22" s="18">
        <f>Glucose!B118</f>
        <v>0.43539924289051207</v>
      </c>
      <c r="C22" s="18">
        <f>Glucose!C118</f>
        <v>4.4458105670694241E-2</v>
      </c>
      <c r="D22" s="3">
        <f>Lactate!B118</f>
        <v>0.2973530829744655</v>
      </c>
      <c r="E22" s="3">
        <f>Lactate!C118</f>
        <v>2.5520849757030544E-2</v>
      </c>
      <c r="F22" s="18">
        <f>Glutamine!B118</f>
        <v>7.8298152785226005E-2</v>
      </c>
      <c r="G22" s="18">
        <f>Glutamine!C118</f>
        <v>6.4629733339722634E-3</v>
      </c>
      <c r="H22" s="3">
        <f>Alanine!B118</f>
        <v>7.4100900929603017E-2</v>
      </c>
      <c r="I22" s="3">
        <f>Alanine!C118</f>
        <v>4.2893262743908802E-3</v>
      </c>
      <c r="J22" s="18">
        <f>'3HB'!B118</f>
        <v>1.0766319170238748E-2</v>
      </c>
      <c r="K22" s="18">
        <f>'3HB'!C118</f>
        <v>2.8806447192105187E-3</v>
      </c>
      <c r="L22" s="3">
        <f>Palmitate!B118</f>
        <v>4.9198182306378922E-2</v>
      </c>
      <c r="M22" s="3">
        <f>Palmitate!C118</f>
        <v>4.4067913359685986E-3</v>
      </c>
      <c r="N22" s="18">
        <f>Oleate!B118</f>
        <v>0.15304297535688483</v>
      </c>
      <c r="O22" s="18">
        <f>Oleate!C118</f>
        <v>4.7056363436126765E-3</v>
      </c>
      <c r="P22" s="3">
        <f>Linoleate!B118</f>
        <v>0.10562087898711058</v>
      </c>
      <c r="Q22" s="3">
        <f>Linoleate!C118</f>
        <v>3.5001927556553639E-2</v>
      </c>
      <c r="R22" s="18">
        <f>Serine!B118</f>
        <v>5.0457324499438858E-3</v>
      </c>
      <c r="S22" s="18">
        <f>Serine!C118</f>
        <v>4.5358928570275205E-4</v>
      </c>
      <c r="T22" s="3">
        <f>Glycine!B118</f>
        <v>3.9551965543117764E-3</v>
      </c>
      <c r="U22" s="3">
        <f>Glycine!C118</f>
        <v>1.6588035785168086E-3</v>
      </c>
      <c r="V22" s="18">
        <f>Citrate!B118</f>
        <v>4.0561190591975873E-3</v>
      </c>
      <c r="W22" s="18">
        <f>Citrate!C118</f>
        <v>6.4750990445940613E-4</v>
      </c>
      <c r="X22" s="3">
        <f>Acetate!B118</f>
        <v>6.47131283111885E-2</v>
      </c>
      <c r="Y22" s="3">
        <f>Acetate!C118</f>
        <v>4.5467804128960119E-3</v>
      </c>
      <c r="Z22" s="18">
        <f>Glycerol!B118</f>
        <v>2.9544578314072534E-2</v>
      </c>
      <c r="AA22" s="18">
        <f>Glycerol!C118</f>
        <v>7.4488074199266473E-3</v>
      </c>
      <c r="AB22" s="3">
        <f>BCAAs!B118</f>
        <v>4.6072704560396277E-2</v>
      </c>
      <c r="AC22" s="3">
        <f>BCAAs!C118</f>
        <v>8.2384516785513773E-3</v>
      </c>
      <c r="AD22" s="18">
        <f>'6AAs'!B118</f>
        <v>1.2614462033397233E-2</v>
      </c>
      <c r="AE22" s="18">
        <f>'6AAs'!C118</f>
        <v>3.5961053539043178E-3</v>
      </c>
    </row>
    <row r="23" spans="1:31">
      <c r="A23" t="s">
        <v>9</v>
      </c>
      <c r="B23" s="18">
        <f>Glucose!B119</f>
        <v>0.38863016072830786</v>
      </c>
      <c r="C23" s="18">
        <f>Glucose!C119</f>
        <v>2.1579196011895264E-2</v>
      </c>
      <c r="D23" s="3">
        <f>Lactate!B119</f>
        <v>0.5208354737558365</v>
      </c>
      <c r="E23" s="3">
        <f>Lactate!C119</f>
        <v>7.0715017402037422E-2</v>
      </c>
      <c r="F23" s="18">
        <f>Glutamine!B119</f>
        <v>0.12353107160803217</v>
      </c>
      <c r="G23" s="18">
        <f>Glutamine!C119</f>
        <v>1.4841328007841856E-2</v>
      </c>
      <c r="H23" s="3">
        <f>Alanine!B119</f>
        <v>8.4779571715918489E-2</v>
      </c>
      <c r="I23" s="3">
        <f>Alanine!C119</f>
        <v>2.3080120893599693E-2</v>
      </c>
      <c r="J23" s="18">
        <f>'3HB'!B119</f>
        <v>4.8415331417988358E-2</v>
      </c>
      <c r="K23" s="18">
        <f>'3HB'!C119</f>
        <v>1.1193302836601122E-2</v>
      </c>
      <c r="L23" s="3">
        <f>Palmitate!B119</f>
        <v>3.4219172428608148E-2</v>
      </c>
      <c r="M23" s="3">
        <f>Palmitate!C119</f>
        <v>4.4895122720946716E-3</v>
      </c>
      <c r="N23" s="18">
        <f>Oleate!B119</f>
        <v>9.3920547326550974E-2</v>
      </c>
      <c r="O23" s="18">
        <f>Oleate!C119</f>
        <v>8.0658334529149084E-3</v>
      </c>
      <c r="P23" s="3">
        <f>Linoleate!B119</f>
        <v>0.17521998759523108</v>
      </c>
      <c r="Q23" s="3">
        <f>Linoleate!C119</f>
        <v>1.5891859702221293E-2</v>
      </c>
      <c r="R23" s="18">
        <f>Serine!B119</f>
        <v>6.4765307705707377E-3</v>
      </c>
      <c r="S23" s="18">
        <f>Serine!C119</f>
        <v>2.8633783259465002E-4</v>
      </c>
      <c r="T23" s="3">
        <f>Glycine!B119</f>
        <v>7.101770746247316E-3</v>
      </c>
      <c r="U23" s="3">
        <f>Glycine!C119</f>
        <v>1.824823147123985E-3</v>
      </c>
      <c r="V23" s="18">
        <f>Citrate!B119</f>
        <v>8.6726300126472131E-2</v>
      </c>
      <c r="W23" s="18">
        <f>Citrate!C119</f>
        <v>1.2834734215198091E-2</v>
      </c>
      <c r="X23" s="3">
        <f>Acetate!B119</f>
        <v>8.3797703143949881E-2</v>
      </c>
      <c r="Y23" s="3">
        <f>Acetate!C119</f>
        <v>1.3335074039914482E-2</v>
      </c>
      <c r="Z23" s="18">
        <f>Glycerol!B119</f>
        <v>7.6027169438777506E-2</v>
      </c>
      <c r="AA23" s="18">
        <f>Glycerol!C119</f>
        <v>5.6687724777941349E-3</v>
      </c>
      <c r="AB23" s="3">
        <f>BCAAs!B119</f>
        <v>3.0507101383049153E-2</v>
      </c>
      <c r="AC23" s="3">
        <f>BCAAs!C119</f>
        <v>2.7324045488450991E-3</v>
      </c>
      <c r="AD23" s="18">
        <f>'6AAs'!B119</f>
        <v>2.2286424594711376E-2</v>
      </c>
      <c r="AE23" s="18">
        <f>'6AAs'!C119</f>
        <v>4.4344273621930736E-3</v>
      </c>
    </row>
    <row r="24" spans="1:31">
      <c r="A24" t="s">
        <v>10</v>
      </c>
      <c r="B24" s="18">
        <f>Glucose!B120</f>
        <v>0.33807860939381462</v>
      </c>
      <c r="C24" s="18">
        <f>Glucose!C120</f>
        <v>3.1362063537194104E-2</v>
      </c>
      <c r="D24" s="3">
        <f>Lactate!B120</f>
        <v>0.33792810752884905</v>
      </c>
      <c r="E24" s="3">
        <f>Lactate!C120</f>
        <v>2.7592589720036587E-2</v>
      </c>
      <c r="F24" s="18">
        <f>Glutamine!B120</f>
        <v>0.16110046625176452</v>
      </c>
      <c r="G24" s="18">
        <f>Glutamine!C120</f>
        <v>2.4685665206922312E-2</v>
      </c>
      <c r="H24" s="3">
        <f>Alanine!B120</f>
        <v>0.11478467425009088</v>
      </c>
      <c r="I24" s="3">
        <f>Alanine!C120</f>
        <v>1.1251076178209751E-2</v>
      </c>
      <c r="J24" s="18">
        <f>'3HB'!B120</f>
        <v>8.1338012660008875E-3</v>
      </c>
      <c r="K24" s="18">
        <f>'3HB'!C120</f>
        <v>9.8597362201653833E-5</v>
      </c>
      <c r="L24" s="3">
        <f>Palmitate!B120</f>
        <v>2.6041855735618791E-2</v>
      </c>
      <c r="M24" s="3">
        <f>Palmitate!C120</f>
        <v>2.1263566179579407E-3</v>
      </c>
      <c r="N24" s="18">
        <f>Oleate!B120</f>
        <v>5.9905800475588099E-2</v>
      </c>
      <c r="O24" s="18">
        <f>Oleate!C120</f>
        <v>1.0281861835946671E-2</v>
      </c>
      <c r="P24" s="3">
        <f>Linoleate!B120</f>
        <v>9.902472479933265E-2</v>
      </c>
      <c r="Q24" s="3">
        <f>Linoleate!C120</f>
        <v>1.2684907389082151E-2</v>
      </c>
      <c r="R24" s="18">
        <f>Serine!B120</f>
        <v>1.3889228896249094E-2</v>
      </c>
      <c r="S24" s="18">
        <f>Serine!C120</f>
        <v>3.3525870298117664E-4</v>
      </c>
      <c r="T24" s="3">
        <f>Glycine!B120</f>
        <v>8.2301462636885699E-3</v>
      </c>
      <c r="U24" s="3">
        <f>Glycine!C120</f>
        <v>2.6549984918880758E-3</v>
      </c>
      <c r="V24" s="18">
        <f>Citrate!B120</f>
        <v>8.8237933615198313E-3</v>
      </c>
      <c r="W24" s="18">
        <f>Citrate!C120</f>
        <v>2.602373330645647E-3</v>
      </c>
      <c r="X24" s="3">
        <f>Acetate!B120</f>
        <v>2.605890732445653E-2</v>
      </c>
      <c r="Y24" s="3">
        <f>Acetate!C120</f>
        <v>3.8534769905762011E-3</v>
      </c>
      <c r="Z24" s="18">
        <f>Glycerol!B120</f>
        <v>4.0146728731439187E-2</v>
      </c>
      <c r="AA24" s="18">
        <f>Glycerol!C120</f>
        <v>4.43770198065346E-3</v>
      </c>
      <c r="AB24" s="3">
        <f>BCAAs!B120</f>
        <v>1.7745790907455022E-2</v>
      </c>
      <c r="AC24" s="3">
        <f>BCAAs!C120</f>
        <v>2.253222054768942E-3</v>
      </c>
      <c r="AD24" s="18">
        <f>'6AAs'!B120</f>
        <v>4.9836697580419344E-2</v>
      </c>
      <c r="AE24" s="18">
        <f>'6AAs'!C120</f>
        <v>7.8054607907923831E-3</v>
      </c>
    </row>
    <row r="25" spans="1:31">
      <c r="A25" t="s">
        <v>11</v>
      </c>
      <c r="B25" s="18">
        <f>Glucose!B121</f>
        <v>0.23031039200067502</v>
      </c>
      <c r="C25" s="18">
        <f>Glucose!C121</f>
        <v>1.9631374645845065E-2</v>
      </c>
      <c r="D25" s="3">
        <f>Lactate!B121</f>
        <v>0.27777955789788955</v>
      </c>
      <c r="E25" s="3">
        <f>Lactate!C121</f>
        <v>3.4895664212216154E-2</v>
      </c>
      <c r="F25" s="18">
        <f>Glutamine!B121</f>
        <v>0.2970392000835988</v>
      </c>
      <c r="G25" s="18">
        <f>Glutamine!C121</f>
        <v>1.8874977738679431E-2</v>
      </c>
      <c r="H25" s="3">
        <f>Alanine!B121</f>
        <v>6.5724851859348288E-2</v>
      </c>
      <c r="I25" s="3">
        <f>Alanine!C121</f>
        <v>8.769485762989972E-3</v>
      </c>
      <c r="J25" s="18">
        <f>'3HB'!B121</f>
        <v>3.4254470179338761E-2</v>
      </c>
      <c r="K25" s="18">
        <f>'3HB'!C121</f>
        <v>2.1300365787810731E-3</v>
      </c>
      <c r="L25" s="3">
        <f>Palmitate!B121</f>
        <v>7.1728545754370265E-2</v>
      </c>
      <c r="M25" s="3">
        <f>Palmitate!C121</f>
        <v>4.7003601195006696E-3</v>
      </c>
      <c r="N25" s="18">
        <f>Oleate!B121</f>
        <v>0.12497367777587635</v>
      </c>
      <c r="O25" s="18">
        <f>Oleate!C121</f>
        <v>1.0913819437184597E-3</v>
      </c>
      <c r="P25" s="3">
        <f>Linoleate!B121</f>
        <v>0.15839833547301838</v>
      </c>
      <c r="Q25" s="3">
        <f>Linoleate!C121</f>
        <v>1.4810021255141444E-2</v>
      </c>
      <c r="R25" s="18">
        <f>Serine!B121</f>
        <v>6.0003521929101813E-3</v>
      </c>
      <c r="S25" s="18">
        <f>Serine!C121</f>
        <v>4.7248810882212624E-4</v>
      </c>
      <c r="T25" s="3">
        <f>Glycine!B121</f>
        <v>4.8271516741366198E-3</v>
      </c>
      <c r="U25" s="3">
        <f>Glycine!C121</f>
        <v>3.8663593295642666E-4</v>
      </c>
      <c r="V25" s="18">
        <f>Citrate!B121</f>
        <v>6.3955739353848996E-3</v>
      </c>
      <c r="W25" s="18">
        <f>Citrate!C121</f>
        <v>1.498704579728888E-3</v>
      </c>
      <c r="X25" s="3">
        <f>Acetate!B121</f>
        <v>0.15010197222614674</v>
      </c>
      <c r="Y25" s="3">
        <f>Acetate!C121</f>
        <v>1.4139345558671535E-2</v>
      </c>
      <c r="Z25" s="18">
        <f>Glycerol!B121</f>
        <v>2.6053152246094835E-2</v>
      </c>
      <c r="AA25" s="18">
        <f>Glycerol!C121</f>
        <v>5.6948642069104376E-3</v>
      </c>
      <c r="AB25" s="3">
        <f>BCAAs!B121</f>
        <v>2.7856564884118612E-2</v>
      </c>
      <c r="AC25" s="3">
        <f>BCAAs!C121</f>
        <v>3.2888571396272625E-3</v>
      </c>
      <c r="AD25" s="18">
        <f>'6AAs'!B121</f>
        <v>2.0241455395430746E-2</v>
      </c>
      <c r="AE25" s="18">
        <f>'6AAs'!C121</f>
        <v>2.6490613059637056E-3</v>
      </c>
    </row>
    <row r="26" spans="1:31">
      <c r="A26" t="s">
        <v>49</v>
      </c>
      <c r="B26" s="18" t="str">
        <f>Glucose!B122</f>
        <v>NaN</v>
      </c>
      <c r="C26" s="18" t="str">
        <f>Glucose!C122</f>
        <v>NaN</v>
      </c>
      <c r="D26" s="3" t="str">
        <f>Lactate!B122</f>
        <v>NaN</v>
      </c>
      <c r="E26" s="3" t="str">
        <f>Lactate!C122</f>
        <v>NaN</v>
      </c>
      <c r="F26" s="18" t="str">
        <f>Glutamine!B122</f>
        <v>NaN</v>
      </c>
      <c r="G26" s="18" t="str">
        <f>Glutamine!C122</f>
        <v>NaN</v>
      </c>
      <c r="H26" s="3" t="str">
        <f>Alanine!B122</f>
        <v>NaN</v>
      </c>
      <c r="I26" s="3" t="str">
        <f>Alanine!C122</f>
        <v>NaN</v>
      </c>
      <c r="J26" s="18" t="str">
        <f>'3HB'!B122</f>
        <v>NaN</v>
      </c>
      <c r="K26" s="18" t="str">
        <f>'3HB'!C122</f>
        <v>NaN</v>
      </c>
      <c r="L26" s="3" t="str">
        <f>Palmitate!B122</f>
        <v>NaN</v>
      </c>
      <c r="M26" s="3" t="str">
        <f>Palmitate!C122</f>
        <v>NaN</v>
      </c>
      <c r="N26" s="18" t="str">
        <f>Oleate!B122</f>
        <v>NaN</v>
      </c>
      <c r="O26" s="18" t="str">
        <f>Oleate!C122</f>
        <v>NaN</v>
      </c>
      <c r="P26" s="3">
        <f>Linoleate!B122</f>
        <v>0</v>
      </c>
      <c r="Q26" s="3">
        <f>Linoleate!C122</f>
        <v>0</v>
      </c>
      <c r="R26" s="18" t="str">
        <f>Serine!B122</f>
        <v>NaN</v>
      </c>
      <c r="S26" s="18" t="str">
        <f>Serine!C122</f>
        <v>NaN</v>
      </c>
      <c r="T26" s="3">
        <f>Glycine!B122</f>
        <v>0</v>
      </c>
      <c r="U26" s="3">
        <f>Glycine!C122</f>
        <v>0</v>
      </c>
      <c r="V26" s="18" t="str">
        <f>Citrate!B122</f>
        <v>NaN</v>
      </c>
      <c r="W26" s="18" t="str">
        <f>Citrate!C122</f>
        <v>NaN</v>
      </c>
      <c r="X26" s="3" t="str">
        <f>Acetate!B122</f>
        <v>NaN</v>
      </c>
      <c r="Y26" s="3" t="str">
        <f>Acetate!C122</f>
        <v>NaN</v>
      </c>
      <c r="Z26" s="18" t="str">
        <f>Glycerol!B122</f>
        <v>NaN</v>
      </c>
      <c r="AA26" s="18" t="str">
        <f>Glycerol!C122</f>
        <v>NaN</v>
      </c>
      <c r="AB26" s="3" t="str">
        <f>BCAAs!B122</f>
        <v>NaN</v>
      </c>
      <c r="AC26" s="3" t="str">
        <f>BCAAs!C122</f>
        <v>NaN</v>
      </c>
      <c r="AD26" s="18" t="str">
        <f>'6AAs'!B122</f>
        <v>NaN</v>
      </c>
      <c r="AE26" s="18" t="str">
        <f>'6AAs'!C122</f>
        <v>NaN</v>
      </c>
    </row>
    <row r="27" spans="1:31">
      <c r="A27" t="s">
        <v>12</v>
      </c>
      <c r="B27" s="18">
        <f>Glucose!B123</f>
        <v>0.27616406062424353</v>
      </c>
      <c r="C27" s="18">
        <f>Glucose!C123</f>
        <v>1.2713912281521493E-2</v>
      </c>
      <c r="D27" s="3">
        <f>Lactate!B123</f>
        <v>0.33830353217668874</v>
      </c>
      <c r="E27" s="3">
        <f>Lactate!C123</f>
        <v>2.474119137994284E-2</v>
      </c>
      <c r="F27" s="18">
        <f>Glutamine!B123</f>
        <v>0.37818851980928558</v>
      </c>
      <c r="G27" s="18">
        <f>Glutamine!C123</f>
        <v>3.9984435799859629E-2</v>
      </c>
      <c r="H27" s="3">
        <f>Alanine!B123</f>
        <v>0.19179787177918836</v>
      </c>
      <c r="I27" s="3">
        <f>Alanine!C123</f>
        <v>2.666180017363682E-2</v>
      </c>
      <c r="J27" s="18">
        <f>'3HB'!B123</f>
        <v>1.9710377176798195E-2</v>
      </c>
      <c r="K27" s="18">
        <f>'3HB'!C123</f>
        <v>2.4308372674221018E-3</v>
      </c>
      <c r="L27" s="3">
        <f>Palmitate!B123</f>
        <v>2.3024970577283383E-2</v>
      </c>
      <c r="M27" s="3">
        <f>Palmitate!C123</f>
        <v>2.2686883648170941E-3</v>
      </c>
      <c r="N27" s="18">
        <f>Oleate!B123</f>
        <v>7.3936617857362344E-2</v>
      </c>
      <c r="O27" s="18">
        <f>Oleate!C123</f>
        <v>4.8283766615052097E-3</v>
      </c>
      <c r="P27" s="3">
        <f>Linoleate!B123</f>
        <v>9.8129215504859826E-2</v>
      </c>
      <c r="Q27" s="3">
        <f>Linoleate!C123</f>
        <v>1.4241957236922778E-2</v>
      </c>
      <c r="R27" s="18">
        <f>Serine!B123</f>
        <v>1.4762357127598486E-2</v>
      </c>
      <c r="S27" s="18">
        <f>Serine!C123</f>
        <v>1.1004379635371178E-3</v>
      </c>
      <c r="T27" s="3">
        <f>Glycine!B123</f>
        <v>8.3810242010592308E-3</v>
      </c>
      <c r="U27" s="3">
        <f>Glycine!C123</f>
        <v>5.9461256527520989E-4</v>
      </c>
      <c r="V27" s="18">
        <f>Citrate!B123</f>
        <v>7.5652496363856998E-3</v>
      </c>
      <c r="W27" s="18">
        <f>Citrate!C123</f>
        <v>2.9075782540468591E-3</v>
      </c>
      <c r="X27" s="3">
        <f>Acetate!B123</f>
        <v>4.8269680114562674E-2</v>
      </c>
      <c r="Y27" s="3">
        <f>Acetate!C123</f>
        <v>1.0235926538641315E-2</v>
      </c>
      <c r="Z27" s="18">
        <f>Glycerol!B123</f>
        <v>2.854179708699537E-2</v>
      </c>
      <c r="AA27" s="18">
        <f>Glycerol!C123</f>
        <v>3.5591558896044782E-3</v>
      </c>
      <c r="AB27" s="3">
        <f>BCAAs!B123</f>
        <v>0.16916592102898054</v>
      </c>
      <c r="AC27" s="3">
        <f>BCAAs!C123</f>
        <v>2.8379645848962499E-2</v>
      </c>
      <c r="AD27" s="18">
        <f>'6AAs'!B123</f>
        <v>4.0562552906865522E-2</v>
      </c>
      <c r="AE27" s="18">
        <f>'6AAs'!C123</f>
        <v>5.8245759435379251E-3</v>
      </c>
    </row>
    <row r="28" spans="1:31">
      <c r="A28" t="s">
        <v>13</v>
      </c>
      <c r="B28" s="18">
        <f>Glucose!B124</f>
        <v>0.37599127927869058</v>
      </c>
      <c r="C28" s="18">
        <f>Glucose!C124</f>
        <v>1.3376853176707521E-2</v>
      </c>
      <c r="D28" s="3">
        <f>Lactate!B124</f>
        <v>0.38974615242713184</v>
      </c>
      <c r="E28" s="3">
        <f>Lactate!C124</f>
        <v>4.1881449372779447E-2</v>
      </c>
      <c r="F28" s="18">
        <f>Glutamine!B124</f>
        <v>0.1172470302871368</v>
      </c>
      <c r="G28" s="18">
        <f>Glutamine!C124</f>
        <v>8.9944467435718756E-3</v>
      </c>
      <c r="H28" s="3">
        <f>Alanine!B124</f>
        <v>8.8984529863915626E-2</v>
      </c>
      <c r="I28" s="3">
        <f>Alanine!C124</f>
        <v>2.1047194899353298E-2</v>
      </c>
      <c r="J28" s="18">
        <f>'3HB'!B124</f>
        <v>1.6717369376639098E-2</v>
      </c>
      <c r="K28" s="18" t="e">
        <f>'3HB'!C124</f>
        <v>#DIV/0!</v>
      </c>
      <c r="L28" s="3">
        <f>Palmitate!B124</f>
        <v>7.2842048260186393E-2</v>
      </c>
      <c r="M28" s="3">
        <f>Palmitate!C124</f>
        <v>5.1557591390782517E-3</v>
      </c>
      <c r="N28" s="18">
        <f>Oleate!B124</f>
        <v>0.11882323275768299</v>
      </c>
      <c r="O28" s="18">
        <f>Oleate!C124</f>
        <v>8.4875438621754759E-4</v>
      </c>
      <c r="P28" s="3">
        <f>Linoleate!B124</f>
        <v>0.12458943165704987</v>
      </c>
      <c r="Q28" s="3">
        <f>Linoleate!C124</f>
        <v>2.1472628211957008E-2</v>
      </c>
      <c r="R28" s="18">
        <f>Serine!B124</f>
        <v>6.6241382032333007E-3</v>
      </c>
      <c r="S28" s="18">
        <f>Serine!C124</f>
        <v>1.8284557286563029E-4</v>
      </c>
      <c r="T28" s="3">
        <f>Glycine!B124</f>
        <v>5.4603570110214623E-3</v>
      </c>
      <c r="U28" s="3">
        <f>Glycine!C124</f>
        <v>1.2540078046722563E-3</v>
      </c>
      <c r="V28" s="18">
        <f>Citrate!B124</f>
        <v>1.0473725844530287E-2</v>
      </c>
      <c r="W28" s="18">
        <f>Citrate!C124</f>
        <v>1.6053813111135042E-3</v>
      </c>
      <c r="X28" s="3">
        <f>Acetate!B124</f>
        <v>0.10860810825216179</v>
      </c>
      <c r="Y28" s="3">
        <f>Acetate!C124</f>
        <v>1.5206613157068059E-2</v>
      </c>
      <c r="Z28" s="18">
        <f>Glycerol!B124</f>
        <v>4.3475652289407155E-2</v>
      </c>
      <c r="AA28" s="18">
        <f>Glycerol!C124</f>
        <v>4.5735165398940328E-3</v>
      </c>
      <c r="AB28" s="3">
        <f>BCAAs!B124</f>
        <v>3.7019660818923571E-2</v>
      </c>
      <c r="AC28" s="3">
        <f>BCAAs!C124</f>
        <v>4.6826708908334303E-3</v>
      </c>
      <c r="AD28" s="18">
        <f>'6AAs'!B124</f>
        <v>1.6480709745543193E-2</v>
      </c>
      <c r="AE28" s="18">
        <f>'6AAs'!C124</f>
        <v>2.068851483261734E-3</v>
      </c>
    </row>
    <row r="29" spans="1:31">
      <c r="A29" t="s">
        <v>14</v>
      </c>
      <c r="B29" s="18">
        <f>Glucose!B125</f>
        <v>0.50493989809903994</v>
      </c>
      <c r="C29" s="18">
        <f>Glucose!C125</f>
        <v>5.8579572775114698E-2</v>
      </c>
      <c r="D29" s="3">
        <f>Lactate!B125</f>
        <v>0.31846464612702913</v>
      </c>
      <c r="E29" s="3">
        <f>Lactate!C125</f>
        <v>3.3776700177282008E-2</v>
      </c>
      <c r="F29" s="18">
        <f>Glutamine!B125</f>
        <v>4.1858934987073576E-2</v>
      </c>
      <c r="G29" s="18">
        <f>Glutamine!C125</f>
        <v>4.3620293716365201E-3</v>
      </c>
      <c r="H29" s="3">
        <f>Alanine!B125</f>
        <v>5.8199664592838818E-2</v>
      </c>
      <c r="I29" s="3">
        <f>Alanine!C125</f>
        <v>2.4351531124904139E-3</v>
      </c>
      <c r="J29" s="18">
        <f>'3HB'!B125</f>
        <v>1.9511983047235153E-2</v>
      </c>
      <c r="K29" s="18">
        <f>'3HB'!C125</f>
        <v>1.5245309733418093E-3</v>
      </c>
      <c r="L29" s="3">
        <f>Palmitate!B125</f>
        <v>8.1058164634485619E-2</v>
      </c>
      <c r="M29" s="3">
        <f>Palmitate!C125</f>
        <v>4.5155459190253031E-3</v>
      </c>
      <c r="N29" s="18">
        <f>Oleate!B125</f>
        <v>0.15099692085245014</v>
      </c>
      <c r="O29" s="18">
        <f>Oleate!C125</f>
        <v>1.428763541566264E-2</v>
      </c>
      <c r="P29" s="3">
        <f>Linoleate!B125</f>
        <v>0.1596185139902068</v>
      </c>
      <c r="Q29" s="3">
        <f>Linoleate!C125</f>
        <v>1.9013604353549908E-2</v>
      </c>
      <c r="R29" s="18">
        <f>Serine!B125</f>
        <v>4.4373017549721753E-3</v>
      </c>
      <c r="S29" s="18">
        <f>Serine!C125</f>
        <v>6.2941065349355816E-4</v>
      </c>
      <c r="T29" s="3">
        <f>Glycine!B125</f>
        <v>6.6866829635425255E-3</v>
      </c>
      <c r="U29" s="3">
        <f>Glycine!C125</f>
        <v>1.1989364004821547E-3</v>
      </c>
      <c r="V29" s="18">
        <f>Citrate!B125</f>
        <v>6.475551805158593E-3</v>
      </c>
      <c r="W29" s="18">
        <f>Citrate!C125</f>
        <v>1.0926999052888555E-3</v>
      </c>
      <c r="X29" s="3">
        <f>Acetate!B125</f>
        <v>6.7659469189372601E-2</v>
      </c>
      <c r="Y29" s="3">
        <f>Acetate!C125</f>
        <v>3.4807475523125223E-3</v>
      </c>
      <c r="Z29" s="18">
        <f>Glycerol!B125</f>
        <v>4.5727118331641767E-2</v>
      </c>
      <c r="AA29" s="18">
        <f>Glycerol!C125</f>
        <v>6.029098463905409E-3</v>
      </c>
      <c r="AB29" s="3">
        <f>BCAAs!B125</f>
        <v>1.1481526145161571E-2</v>
      </c>
      <c r="AC29" s="3">
        <f>BCAAs!C125</f>
        <v>2.9435021929304756E-3</v>
      </c>
      <c r="AD29" s="18">
        <f>'6AAs'!B125</f>
        <v>1.0541687812800404E-2</v>
      </c>
      <c r="AE29" s="18">
        <f>'6AAs'!C125</f>
        <v>2.9056933564789869E-3</v>
      </c>
    </row>
    <row r="30" spans="1:31">
      <c r="A30" t="s">
        <v>56</v>
      </c>
      <c r="B30" s="18">
        <f>Glucose!B126</f>
        <v>0.2013560116957859</v>
      </c>
      <c r="C30" s="18">
        <f>Glucose!C126</f>
        <v>3.1079650886877409E-2</v>
      </c>
      <c r="D30" s="3">
        <f>Lactate!B126</f>
        <v>0.21545459979389064</v>
      </c>
      <c r="E30" s="3">
        <f>Lactate!C126</f>
        <v>2.1859708929426052E-2</v>
      </c>
      <c r="F30" s="18">
        <f>Glutamine!B126</f>
        <v>0.17981829117467646</v>
      </c>
      <c r="G30" s="18">
        <f>Glutamine!C126</f>
        <v>3.6466619281889601E-2</v>
      </c>
      <c r="H30" s="3">
        <f>Alanine!B126</f>
        <v>8.8750296250845503E-2</v>
      </c>
      <c r="I30" s="3">
        <f>Alanine!C126</f>
        <v>1.4927736770589993E-2</v>
      </c>
      <c r="J30" s="18">
        <f>'3HB'!B126</f>
        <v>2.3642719804230033E-2</v>
      </c>
      <c r="K30" s="18" t="e">
        <f>'3HB'!C126</f>
        <v>#DIV/0!</v>
      </c>
      <c r="L30" s="3">
        <f>Palmitate!B126</f>
        <v>8.1558224893719614E-3</v>
      </c>
      <c r="M30" s="3">
        <f>Palmitate!C126</f>
        <v>4.5862715759094688E-3</v>
      </c>
      <c r="N30" s="18">
        <f>Oleate!B126</f>
        <v>6.171681303428044E-3</v>
      </c>
      <c r="O30" s="18">
        <f>Oleate!C126</f>
        <v>1.2620783235061757E-3</v>
      </c>
      <c r="P30" s="3">
        <f>Linoleate!B126</f>
        <v>6.8504227254664277E-2</v>
      </c>
      <c r="Q30" s="3">
        <f>Linoleate!C126</f>
        <v>1.3200928236422564E-2</v>
      </c>
      <c r="R30" s="18">
        <f>Serine!B126</f>
        <v>4.4718997634539638E-3</v>
      </c>
      <c r="S30" s="18">
        <f>Serine!C126</f>
        <v>1.9553478559960241E-3</v>
      </c>
      <c r="T30" s="3">
        <f>Glycine!B126</f>
        <v>0</v>
      </c>
      <c r="U30" s="3">
        <f>Glycine!C126</f>
        <v>0</v>
      </c>
      <c r="V30" s="18">
        <f>Citrate!B126</f>
        <v>0</v>
      </c>
      <c r="W30" s="18">
        <f>Citrate!C126</f>
        <v>0</v>
      </c>
      <c r="X30" s="3">
        <f>Acetate!B126</f>
        <v>6.1336251282787468E-2</v>
      </c>
      <c r="Y30" s="3">
        <f>Acetate!C126</f>
        <v>5.1602744580224909E-3</v>
      </c>
      <c r="Z30" s="18">
        <f>Glycerol!B126</f>
        <v>2.4510795474960503E-2</v>
      </c>
      <c r="AA30" s="18">
        <f>Glycerol!C126</f>
        <v>7.0688817331672031E-3</v>
      </c>
      <c r="AB30" s="3">
        <f>BCAAs!B126</f>
        <v>0</v>
      </c>
      <c r="AC30" s="3">
        <f>BCAAs!C126</f>
        <v>0</v>
      </c>
      <c r="AD30" s="18">
        <f>'6AAs'!B126</f>
        <v>1.0133918958887902E-2</v>
      </c>
      <c r="AE30" s="18">
        <f>'6AAs'!C126</f>
        <v>2.8388700302255281E-3</v>
      </c>
    </row>
    <row r="31" spans="1:31">
      <c r="A31" t="s">
        <v>57</v>
      </c>
      <c r="B31" s="18">
        <f>Glucose!B127</f>
        <v>0.28156127764114497</v>
      </c>
      <c r="C31" s="18">
        <f>Glucose!C127</f>
        <v>4.3659775900796179E-2</v>
      </c>
      <c r="D31" s="3">
        <f>Lactate!B127</f>
        <v>0.32784369920336842</v>
      </c>
      <c r="E31" s="3">
        <f>Lactate!C127</f>
        <v>2.6039814507776544E-2</v>
      </c>
      <c r="F31" s="18">
        <f>Glutamine!B127</f>
        <v>0.16890162521709387</v>
      </c>
      <c r="G31" s="18">
        <f>Glutamine!C127</f>
        <v>1.6142681379043143E-2</v>
      </c>
      <c r="H31" s="3">
        <f>Alanine!B127</f>
        <v>6.5538221695944573E-2</v>
      </c>
      <c r="I31" s="3">
        <f>Alanine!C127</f>
        <v>6.388913905116189E-3</v>
      </c>
      <c r="J31" s="18" t="str">
        <f>'3HB'!B127</f>
        <v>NaN</v>
      </c>
      <c r="K31" s="18" t="str">
        <f>'3HB'!C127</f>
        <v>NaN</v>
      </c>
      <c r="L31" s="3" t="str">
        <f>Palmitate!B127</f>
        <v>NaN</v>
      </c>
      <c r="M31" s="3" t="str">
        <f>Palmitate!C127</f>
        <v>NaN</v>
      </c>
      <c r="N31" s="18" t="str">
        <f>Oleate!B127</f>
        <v>NaN</v>
      </c>
      <c r="O31" s="18" t="str">
        <f>Oleate!C127</f>
        <v>NaN</v>
      </c>
      <c r="P31" s="3">
        <f>Linoleate!B127</f>
        <v>0</v>
      </c>
      <c r="Q31" s="3" t="e">
        <f>Linoleate!C127</f>
        <v>#DIV/0!</v>
      </c>
      <c r="R31" s="18" t="str">
        <f>Serine!B127</f>
        <v>NaN</v>
      </c>
      <c r="S31" s="18" t="str">
        <f>Serine!C127</f>
        <v>NaN</v>
      </c>
      <c r="T31" s="3">
        <f>Glycine!B127</f>
        <v>0</v>
      </c>
      <c r="U31" s="3">
        <f>Glycine!C127</f>
        <v>0</v>
      </c>
      <c r="V31" s="18" t="str">
        <f>Citrate!B127</f>
        <v>NaN</v>
      </c>
      <c r="W31" s="18" t="str">
        <f>Citrate!C127</f>
        <v>NaN</v>
      </c>
      <c r="X31" s="3" t="str">
        <f>Acetate!B127</f>
        <v>NaN</v>
      </c>
      <c r="Y31" s="3" t="str">
        <f>Acetate!C127</f>
        <v>NaN</v>
      </c>
      <c r="Z31" s="18">
        <f>Glycerol!B127</f>
        <v>3.4396924450241062E-2</v>
      </c>
      <c r="AA31" s="18">
        <f>Glycerol!C127</f>
        <v>8.9676151390802004E-3</v>
      </c>
      <c r="AB31" s="3" t="str">
        <f>BCAAs!B127</f>
        <v>NaN</v>
      </c>
      <c r="AC31" s="3" t="str">
        <f>BCAAs!C127</f>
        <v>NaN</v>
      </c>
      <c r="AD31" s="18" t="str">
        <f>'6AAs'!B127</f>
        <v>NaN</v>
      </c>
      <c r="AE31" s="18" t="str">
        <f>'6AAs'!C127</f>
        <v>NaN</v>
      </c>
    </row>
    <row r="32" spans="1:31">
      <c r="A32" t="s">
        <v>15</v>
      </c>
      <c r="B32" s="18">
        <f>Glucose!B128</f>
        <v>0.22988227121893492</v>
      </c>
      <c r="C32" s="18">
        <f>Glucose!C128</f>
        <v>2.2401001018308664E-2</v>
      </c>
      <c r="D32" s="3">
        <f>Lactate!B128</f>
        <v>0.25685450925033937</v>
      </c>
      <c r="E32" s="3">
        <f>Lactate!C128</f>
        <v>2.5304231615711627E-2</v>
      </c>
      <c r="F32" s="18">
        <f>Glutamine!B128</f>
        <v>0.20642407792641718</v>
      </c>
      <c r="G32" s="18">
        <f>Glutamine!C128</f>
        <v>3.7367038724108473E-2</v>
      </c>
      <c r="H32" s="3">
        <f>Alanine!B128</f>
        <v>6.9632881637993541E-2</v>
      </c>
      <c r="I32" s="3">
        <f>Alanine!C128</f>
        <v>1.2419930858193144E-2</v>
      </c>
      <c r="J32" s="18">
        <f>'3HB'!B128</f>
        <v>3.0064585339812946E-2</v>
      </c>
      <c r="K32" s="18">
        <f>'3HB'!C128</f>
        <v>4.233982342252831E-3</v>
      </c>
      <c r="L32" s="3">
        <f>Palmitate!B128</f>
        <v>2.397868000921223E-2</v>
      </c>
      <c r="M32" s="3">
        <f>Palmitate!C128</f>
        <v>1.1630161209184222E-3</v>
      </c>
      <c r="N32" s="18">
        <f>Oleate!B128</f>
        <v>8.7686957888011827E-2</v>
      </c>
      <c r="O32" s="18">
        <f>Oleate!C128</f>
        <v>2.0128346574295457E-2</v>
      </c>
      <c r="P32" s="3">
        <f>Linoleate!B128</f>
        <v>0.11225252361495526</v>
      </c>
      <c r="Q32" s="3">
        <f>Linoleate!C128</f>
        <v>1.0283438397108694E-2</v>
      </c>
      <c r="R32" s="18">
        <f>Serine!B128</f>
        <v>6.142705034280725E-3</v>
      </c>
      <c r="S32" s="18">
        <f>Serine!C128</f>
        <v>4.081020707885607E-4</v>
      </c>
      <c r="T32" s="3">
        <f>Glycine!B128</f>
        <v>6.0588692095176755E-3</v>
      </c>
      <c r="U32" s="3">
        <f>Glycine!C128</f>
        <v>3.4094483046372874E-4</v>
      </c>
      <c r="V32" s="18">
        <f>Citrate!B128</f>
        <v>6.4029882133132265E-3</v>
      </c>
      <c r="W32" s="18">
        <f>Citrate!C128</f>
        <v>1.826978874007753E-3</v>
      </c>
      <c r="X32" s="3">
        <f>Acetate!B128</f>
        <v>8.2915930691068104E-2</v>
      </c>
      <c r="Y32" s="3">
        <f>Acetate!C128</f>
        <v>6.0491246148793153E-3</v>
      </c>
      <c r="Z32" s="18">
        <f>Glycerol!B128</f>
        <v>2.3390912383678596E-2</v>
      </c>
      <c r="AA32" s="18">
        <f>Glycerol!C128</f>
        <v>3.6616420170480289E-3</v>
      </c>
      <c r="AB32" s="3">
        <f>BCAAs!B128</f>
        <v>2.903713907987587E-2</v>
      </c>
      <c r="AC32" s="3">
        <f>BCAAs!C128</f>
        <v>2.3349920050841303E-3</v>
      </c>
      <c r="AD32" s="18">
        <f>'6AAs'!B128</f>
        <v>1.3340130093627542E-2</v>
      </c>
      <c r="AE32" s="18">
        <f>'6AAs'!C128</f>
        <v>1.3290564228633421E-3</v>
      </c>
    </row>
    <row r="33" spans="1:31">
      <c r="A33" t="s">
        <v>22</v>
      </c>
      <c r="B33" s="18">
        <f>Glucose!B129</f>
        <v>0.59753920955514173</v>
      </c>
      <c r="C33" s="18">
        <f>Glucose!C129</f>
        <v>4.8156724999454475E-2</v>
      </c>
      <c r="D33" s="3">
        <f>Lactate!B129</f>
        <v>0.35944974350191611</v>
      </c>
      <c r="E33" s="3">
        <f>Lactate!C129</f>
        <v>4.8588760752535452E-2</v>
      </c>
      <c r="F33" s="18">
        <f>Glutamine!B129</f>
        <v>0.11835261917964564</v>
      </c>
      <c r="G33" s="18">
        <f>Glutamine!C129</f>
        <v>1.2721323627776728E-2</v>
      </c>
      <c r="H33" s="3">
        <f>Alanine!B129</f>
        <v>8.2519784686469241E-2</v>
      </c>
      <c r="I33" s="3">
        <f>Alanine!C129</f>
        <v>3.0802810820270096E-3</v>
      </c>
      <c r="J33" s="18">
        <f>'3HB'!B129</f>
        <v>1.0218739226360293E-2</v>
      </c>
      <c r="K33" s="18">
        <f>'3HB'!C129</f>
        <v>1.6945147579043845E-3</v>
      </c>
      <c r="L33" s="3">
        <f>Palmitate!B129</f>
        <v>3.2903536328026291E-2</v>
      </c>
      <c r="M33" s="3">
        <f>Palmitate!C129</f>
        <v>4.8836315332929144E-3</v>
      </c>
      <c r="N33" s="18">
        <f>Oleate!B129</f>
        <v>6.9831645358740327E-2</v>
      </c>
      <c r="O33" s="18">
        <f>Oleate!C129</f>
        <v>8.1583200376971823E-3</v>
      </c>
      <c r="P33" s="3">
        <f>Linoleate!B129</f>
        <v>9.3967211319184452E-2</v>
      </c>
      <c r="Q33" s="3">
        <f>Linoleate!C129</f>
        <v>1.8302079893237205E-2</v>
      </c>
      <c r="R33" s="18">
        <f>Serine!B129</f>
        <v>6.5088684598983088E-3</v>
      </c>
      <c r="S33" s="18">
        <f>Serine!C129</f>
        <v>3.5073584633152778E-4</v>
      </c>
      <c r="T33" s="3">
        <f>Glycine!B129</f>
        <v>5.8637230020937049E-3</v>
      </c>
      <c r="U33" s="3">
        <f>Glycine!C129</f>
        <v>6.6143505178659599E-5</v>
      </c>
      <c r="V33" s="18">
        <f>Citrate!B129</f>
        <v>3.5681927010367639E-2</v>
      </c>
      <c r="W33" s="18">
        <f>Citrate!C129</f>
        <v>2.5296115063871485E-2</v>
      </c>
      <c r="X33" s="3">
        <f>Acetate!B129</f>
        <v>3.9729132710161687E-2</v>
      </c>
      <c r="Y33" s="3">
        <f>Acetate!C129</f>
        <v>4.2690470930377318E-3</v>
      </c>
      <c r="Z33" s="18">
        <f>Glycerol!B129</f>
        <v>6.057797496586239E-2</v>
      </c>
      <c r="AA33" s="18">
        <f>Glycerol!C129</f>
        <v>9.910568008788664E-3</v>
      </c>
      <c r="AB33" s="3">
        <f>BCAAs!B129</f>
        <v>3.2754093515140734E-2</v>
      </c>
      <c r="AC33" s="3">
        <f>BCAAs!C129</f>
        <v>9.8009886900724658E-4</v>
      </c>
      <c r="AD33" s="18">
        <f>'6AAs'!B129</f>
        <v>9.5294816883476543E-3</v>
      </c>
      <c r="AE33" s="18">
        <f>'6AAs'!C129</f>
        <v>3.2728888290285388E-3</v>
      </c>
    </row>
    <row r="34" spans="1:31">
      <c r="A34" t="s">
        <v>59</v>
      </c>
      <c r="B34" s="18" t="str">
        <f>Glucose!B130</f>
        <v>NaN</v>
      </c>
      <c r="C34" s="18" t="str">
        <f>Glucose!C130</f>
        <v>NaN</v>
      </c>
      <c r="D34" s="3" t="str">
        <f>Lactate!B130</f>
        <v>NaN</v>
      </c>
      <c r="E34" s="3" t="str">
        <f>Lactate!C130</f>
        <v>NaN</v>
      </c>
      <c r="F34" s="18" t="str">
        <f>Glutamine!B130</f>
        <v>NaN</v>
      </c>
      <c r="G34" s="18" t="str">
        <f>Glutamine!C130</f>
        <v>NaN</v>
      </c>
      <c r="H34" s="3">
        <f>Alanine!B130</f>
        <v>7.1862211610417823E-2</v>
      </c>
      <c r="I34" s="3">
        <f>Alanine!C130</f>
        <v>3.8078011567996709E-3</v>
      </c>
      <c r="J34" s="18" t="str">
        <f>'3HB'!B130</f>
        <v>NaN</v>
      </c>
      <c r="K34" s="18" t="str">
        <f>'3HB'!C130</f>
        <v>NaN</v>
      </c>
      <c r="L34" s="3" t="str">
        <f>Palmitate!B130</f>
        <v>NaN</v>
      </c>
      <c r="M34" s="3" t="str">
        <f>Palmitate!C130</f>
        <v>NaN</v>
      </c>
      <c r="N34" s="18" t="str">
        <f>Oleate!B130</f>
        <v>NaN</v>
      </c>
      <c r="O34" s="18" t="str">
        <f>Oleate!C130</f>
        <v>NaN</v>
      </c>
      <c r="P34" s="3" t="str">
        <f>Linoleate!B130</f>
        <v>NaN</v>
      </c>
      <c r="Q34" s="3" t="str">
        <f>Linoleate!C130</f>
        <v>NaN</v>
      </c>
      <c r="R34" s="18" t="str">
        <f>Serine!B130</f>
        <v>NaN</v>
      </c>
      <c r="S34" s="18" t="str">
        <f>Serine!C130</f>
        <v>NaN</v>
      </c>
      <c r="T34" s="3" t="str">
        <f>Glycine!B130</f>
        <v>NaN</v>
      </c>
      <c r="U34" s="3" t="str">
        <f>Glycine!C130</f>
        <v>NaN</v>
      </c>
      <c r="V34" s="18" t="str">
        <f>Citrate!B130</f>
        <v>NaN</v>
      </c>
      <c r="W34" s="18" t="str">
        <f>Citrate!C130</f>
        <v>NaN</v>
      </c>
      <c r="X34" s="3" t="str">
        <f>Acetate!B130</f>
        <v>NaN</v>
      </c>
      <c r="Y34" s="3" t="str">
        <f>Acetate!C130</f>
        <v>NaN</v>
      </c>
      <c r="Z34" s="18">
        <f>Glycerol!B130</f>
        <v>3.6773367967613685E-2</v>
      </c>
      <c r="AA34" s="18">
        <f>Glycerol!C130</f>
        <v>4.1331418160323579E-3</v>
      </c>
      <c r="AB34" s="3">
        <f>BCAAs!B130</f>
        <v>4.9947514896293038E-2</v>
      </c>
      <c r="AC34" s="3">
        <f>BCAAs!C130</f>
        <v>5.300608378876138E-3</v>
      </c>
      <c r="AD34" s="18" t="str">
        <f>'6AAs'!B130</f>
        <v>NaN</v>
      </c>
      <c r="AE34" s="18" t="str">
        <f>'6AAs'!C130</f>
        <v>NaN</v>
      </c>
    </row>
    <row r="35" spans="1:31">
      <c r="A35" t="s">
        <v>58</v>
      </c>
      <c r="B35" s="18" t="str">
        <f>Glucose!B131</f>
        <v>NaN</v>
      </c>
      <c r="C35" s="18" t="str">
        <f>Glucose!C131</f>
        <v>NaN</v>
      </c>
      <c r="D35" s="3" t="str">
        <f>Lactate!B131</f>
        <v>NaN</v>
      </c>
      <c r="E35" s="3" t="str">
        <f>Lactate!C131</f>
        <v>NaN</v>
      </c>
      <c r="F35" s="18" t="str">
        <f>Glutamine!B131</f>
        <v>NaN</v>
      </c>
      <c r="G35" s="18" t="str">
        <f>Glutamine!C131</f>
        <v>NaN</v>
      </c>
      <c r="H35" s="3" t="str">
        <f>Alanine!B131</f>
        <v>NaN</v>
      </c>
      <c r="I35" s="3" t="str">
        <f>Alanine!C131</f>
        <v>NaN</v>
      </c>
      <c r="J35" s="18" t="str">
        <f>'3HB'!B131</f>
        <v>NaN</v>
      </c>
      <c r="K35" s="18" t="str">
        <f>'3HB'!C131</f>
        <v>NaN</v>
      </c>
      <c r="L35" s="3" t="str">
        <f>Palmitate!B131</f>
        <v>NaN</v>
      </c>
      <c r="M35" s="3" t="str">
        <f>Palmitate!C131</f>
        <v>NaN</v>
      </c>
      <c r="N35" s="18" t="str">
        <f>Oleate!B131</f>
        <v>NaN</v>
      </c>
      <c r="O35" s="18" t="str">
        <f>Oleate!C131</f>
        <v>NaN</v>
      </c>
      <c r="P35" s="3" t="str">
        <f>Linoleate!B131</f>
        <v>NaN</v>
      </c>
      <c r="Q35" s="3" t="str">
        <f>Linoleate!C131</f>
        <v>NaN</v>
      </c>
      <c r="R35" s="18" t="str">
        <f>Serine!B131</f>
        <v>NaN</v>
      </c>
      <c r="S35" s="18" t="str">
        <f>Serine!C131</f>
        <v>NaN</v>
      </c>
      <c r="T35" s="3" t="str">
        <f>Glycine!B131</f>
        <v>NaN</v>
      </c>
      <c r="U35" s="3" t="str">
        <f>Glycine!C131</f>
        <v>NaN</v>
      </c>
      <c r="V35" s="18" t="str">
        <f>Citrate!B131</f>
        <v>NaN</v>
      </c>
      <c r="W35" s="18" t="str">
        <f>Citrate!C131</f>
        <v>NaN</v>
      </c>
      <c r="X35" s="3" t="str">
        <f>Acetate!B131</f>
        <v>NaN</v>
      </c>
      <c r="Y35" s="3" t="str">
        <f>Acetate!C131</f>
        <v>NaN</v>
      </c>
      <c r="Z35" s="18" t="str">
        <f>Glycerol!B131</f>
        <v>NaN</v>
      </c>
      <c r="AA35" s="18" t="str">
        <f>Glycerol!C131</f>
        <v>NaN</v>
      </c>
      <c r="AB35" s="3" t="str">
        <f>BCAAs!B131</f>
        <v>NaN</v>
      </c>
      <c r="AC35" s="3" t="str">
        <f>BCAAs!C131</f>
        <v>NaN</v>
      </c>
      <c r="AD35" s="18" t="str">
        <f>'6AAs'!B131</f>
        <v>NaN</v>
      </c>
      <c r="AE35" s="18" t="str">
        <f>'6AAs'!C131</f>
        <v>NaN</v>
      </c>
    </row>
    <row r="36" spans="1:31">
      <c r="B36" s="18"/>
      <c r="C36" s="18"/>
      <c r="D36" s="3"/>
      <c r="E36" s="3"/>
      <c r="F36" s="18"/>
      <c r="G36" s="18"/>
      <c r="H36" s="3"/>
      <c r="I36" s="3"/>
      <c r="J36" s="18"/>
      <c r="K36" s="18"/>
      <c r="L36" s="3"/>
      <c r="M36" s="3"/>
      <c r="N36" s="18"/>
      <c r="O36" s="18"/>
      <c r="P36" s="3"/>
      <c r="Q36" s="3"/>
      <c r="R36" s="18"/>
      <c r="S36" s="18"/>
      <c r="T36" s="3"/>
      <c r="U36" s="3"/>
      <c r="V36" s="18"/>
      <c r="W36" s="18"/>
      <c r="X36" s="3"/>
      <c r="Y36" s="3"/>
      <c r="Z36" s="18"/>
      <c r="AA36" s="18"/>
      <c r="AB36" s="3"/>
      <c r="AC36" s="3"/>
      <c r="AD36" s="18"/>
      <c r="AE36" s="18"/>
    </row>
    <row r="37" spans="1:31">
      <c r="A37" s="1" t="s">
        <v>17</v>
      </c>
      <c r="B37" s="18"/>
      <c r="C37" s="18"/>
      <c r="D37" s="3"/>
      <c r="E37" s="3"/>
      <c r="F37" s="18"/>
      <c r="G37" s="18"/>
      <c r="H37" s="3"/>
      <c r="I37" s="3"/>
      <c r="J37" s="18"/>
      <c r="K37" s="18"/>
      <c r="L37" s="3"/>
      <c r="M37" s="3"/>
      <c r="N37" s="18"/>
      <c r="O37" s="18"/>
      <c r="P37" s="3"/>
      <c r="Q37" s="3"/>
      <c r="R37" s="18"/>
      <c r="S37" s="18"/>
      <c r="T37" s="3"/>
      <c r="U37" s="3"/>
      <c r="V37" s="18"/>
      <c r="W37" s="18"/>
      <c r="X37" s="3"/>
      <c r="Y37" s="3"/>
      <c r="Z37" s="18"/>
      <c r="AA37" s="18"/>
      <c r="AB37" s="3"/>
      <c r="AC37" s="3"/>
      <c r="AD37" s="18"/>
      <c r="AE37" s="18"/>
    </row>
    <row r="38" spans="1:31">
      <c r="A38" t="s">
        <v>7</v>
      </c>
      <c r="B38" s="18">
        <f>Glucose!B134</f>
        <v>0.81492128974295897</v>
      </c>
      <c r="C38" s="18">
        <f>Glucose!C134</f>
        <v>2.146688988726362E-2</v>
      </c>
      <c r="D38" s="3">
        <f>Lactate!B134</f>
        <v>0.25433957516957284</v>
      </c>
      <c r="E38" s="3">
        <f>Lactate!C134</f>
        <v>2.3654825654131441E-2</v>
      </c>
      <c r="F38" s="18">
        <f>Glutamine!B134</f>
        <v>5.7239342733408381E-2</v>
      </c>
      <c r="G38" s="18">
        <f>Glutamine!C134</f>
        <v>1.3811265764640543E-2</v>
      </c>
      <c r="H38" s="3">
        <f>Alanine!B134</f>
        <v>7.0926878596826837E-2</v>
      </c>
      <c r="I38" s="3">
        <f>Alanine!C134</f>
        <v>1.3264775296598598E-2</v>
      </c>
      <c r="J38" s="18">
        <f>'3HB'!B134</f>
        <v>1.4320859074341183E-3</v>
      </c>
      <c r="K38" s="18">
        <f>'3HB'!C134</f>
        <v>8.8551574914076401E-5</v>
      </c>
      <c r="L38" s="3">
        <f>Palmitate!B134</f>
        <v>4.6210542578990106E-3</v>
      </c>
      <c r="M38" s="3">
        <f>Palmitate!C134</f>
        <v>3.0190250726096722E-4</v>
      </c>
      <c r="N38" s="18">
        <f>Oleate!B134</f>
        <v>2.6073591427495258E-2</v>
      </c>
      <c r="O38" s="18">
        <f>Oleate!C134</f>
        <v>7.8617361292889903E-3</v>
      </c>
      <c r="P38" s="3">
        <f>Linoleate!B134</f>
        <v>4.2617520743283933E-2</v>
      </c>
      <c r="Q38" s="3">
        <f>Linoleate!C134</f>
        <v>6.7389679639341662E-3</v>
      </c>
      <c r="R38" s="18">
        <f>Serine!B134</f>
        <v>7.7594525238521032E-3</v>
      </c>
      <c r="S38" s="18">
        <f>Serine!C134</f>
        <v>9.867172171987256E-4</v>
      </c>
      <c r="T38" s="3">
        <f>Glycine!B134</f>
        <v>0</v>
      </c>
      <c r="U38" s="3">
        <f>Glycine!C134</f>
        <v>0</v>
      </c>
      <c r="V38" s="18">
        <f>Citrate!B134</f>
        <v>7.1378423696001085E-3</v>
      </c>
      <c r="W38" s="18">
        <f>Citrate!C134</f>
        <v>2.9013619025982287E-3</v>
      </c>
      <c r="X38" s="3">
        <f>Acetate!B134</f>
        <v>2.01007815428416E-2</v>
      </c>
      <c r="Y38" s="3">
        <f>Acetate!C134</f>
        <v>1.5863257759262846E-3</v>
      </c>
      <c r="Z38" s="18">
        <f>Glycerol!B134</f>
        <v>5.3410246991282162E-2</v>
      </c>
      <c r="AA38" s="18">
        <f>Glycerol!C134</f>
        <v>9.8278252501925092E-3</v>
      </c>
      <c r="AB38" s="3">
        <f>BCAAs!B134</f>
        <v>1.1479954741322837E-2</v>
      </c>
      <c r="AC38" s="3">
        <f>BCAAs!C134</f>
        <v>2.2239309207183621E-3</v>
      </c>
      <c r="AD38" s="18">
        <f>'6AAs'!B134</f>
        <v>1.8357205537535878E-2</v>
      </c>
      <c r="AE38" s="18">
        <f>'6AAs'!C134</f>
        <v>1.6172881994726848E-3</v>
      </c>
    </row>
    <row r="39" spans="1:31">
      <c r="A39" t="s">
        <v>8</v>
      </c>
      <c r="B39" s="18">
        <f>Glucose!B135</f>
        <v>0.44227041619525248</v>
      </c>
      <c r="C39" s="18">
        <f>Glucose!C135</f>
        <v>4.7992615330594179E-2</v>
      </c>
      <c r="D39" s="3">
        <f>Lactate!B135</f>
        <v>0.31569482972335983</v>
      </c>
      <c r="E39" s="3">
        <f>Lactate!C135</f>
        <v>3.4834334295611911E-2</v>
      </c>
      <c r="F39" s="18">
        <f>Glutamine!B135</f>
        <v>7.7008333458561812E-2</v>
      </c>
      <c r="G39" s="18">
        <f>Glutamine!C135</f>
        <v>6.762236937071662E-3</v>
      </c>
      <c r="H39" s="3">
        <f>Alanine!B135</f>
        <v>7.5059555198604286E-2</v>
      </c>
      <c r="I39" s="3">
        <f>Alanine!C135</f>
        <v>6.4261304168438957E-3</v>
      </c>
      <c r="J39" s="18">
        <f>'3HB'!B135</f>
        <v>9.3217937771281258E-3</v>
      </c>
      <c r="K39" s="18">
        <f>'3HB'!C135</f>
        <v>1.8906330939632593E-3</v>
      </c>
      <c r="L39" s="3">
        <f>Palmitate!B135</f>
        <v>4.9924994801478689E-2</v>
      </c>
      <c r="M39" s="3">
        <f>Palmitate!C135</f>
        <v>3.1343954945131213E-3</v>
      </c>
      <c r="N39" s="18">
        <f>Oleate!B135</f>
        <v>0.16947469580440608</v>
      </c>
      <c r="O39" s="18">
        <f>Oleate!C135</f>
        <v>3.4730443306357039E-3</v>
      </c>
      <c r="P39" s="3">
        <f>Linoleate!B135</f>
        <v>0.16264431023301731</v>
      </c>
      <c r="Q39" s="3">
        <f>Linoleate!C135</f>
        <v>7.7132517077467171E-3</v>
      </c>
      <c r="R39" s="18">
        <f>Serine!B135</f>
        <v>1.1592957405081423E-4</v>
      </c>
      <c r="S39" s="18">
        <f>Serine!C135</f>
        <v>1.1592957405081424E-4</v>
      </c>
      <c r="T39" s="3">
        <f>Glycine!B135</f>
        <v>1.523510659493923E-4</v>
      </c>
      <c r="U39" s="3">
        <f>Glycine!C135</f>
        <v>1.5235106594939227E-4</v>
      </c>
      <c r="V39" s="18">
        <f>Citrate!B135</f>
        <v>4.4406772219265306E-3</v>
      </c>
      <c r="W39" s="18">
        <f>Citrate!C135</f>
        <v>1.0046461097895198E-3</v>
      </c>
      <c r="X39" s="3">
        <f>Acetate!B135</f>
        <v>6.1791408529141362E-2</v>
      </c>
      <c r="Y39" s="3">
        <f>Acetate!C135</f>
        <v>9.0978682800791719E-3</v>
      </c>
      <c r="Z39" s="18">
        <f>Glycerol!B135</f>
        <v>2.4789070190882417E-2</v>
      </c>
      <c r="AA39" s="18">
        <f>Glycerol!C135</f>
        <v>9.9688601866166383E-3</v>
      </c>
      <c r="AB39" s="3">
        <f>BCAAs!B135</f>
        <v>5.2506514306488679E-2</v>
      </c>
      <c r="AC39" s="3">
        <f>BCAAs!C135</f>
        <v>5.8562247154518628E-3</v>
      </c>
      <c r="AD39" s="18">
        <f>'6AAs'!B135</f>
        <v>1.1261474377319218E-2</v>
      </c>
      <c r="AE39" s="18">
        <f>'6AAs'!C135</f>
        <v>2.4418528044921474E-3</v>
      </c>
    </row>
    <row r="40" spans="1:31">
      <c r="A40" t="s">
        <v>9</v>
      </c>
      <c r="B40" s="18">
        <f>Glucose!B136</f>
        <v>0.40564155870675983</v>
      </c>
      <c r="C40" s="18">
        <f>Glucose!C136</f>
        <v>2.4977423557275273E-2</v>
      </c>
      <c r="D40" s="3">
        <f>Lactate!B136</f>
        <v>0.55391524099630796</v>
      </c>
      <c r="E40" s="3">
        <f>Lactate!C136</f>
        <v>7.9594149917953036E-2</v>
      </c>
      <c r="F40" s="18">
        <f>Glutamine!B136</f>
        <v>0.15056665595436378</v>
      </c>
      <c r="G40" s="18">
        <f>Glutamine!C136</f>
        <v>7.4251353989176708E-3</v>
      </c>
      <c r="H40" s="3">
        <f>Alanine!B136</f>
        <v>0.1031066359418213</v>
      </c>
      <c r="I40" s="3">
        <f>Alanine!C136</f>
        <v>5.5721852033924144E-3</v>
      </c>
      <c r="J40" s="18">
        <f>'3HB'!B136</f>
        <v>5.5202404323047856E-2</v>
      </c>
      <c r="K40" s="18">
        <f>'3HB'!C136</f>
        <v>1.0639838969266043E-2</v>
      </c>
      <c r="L40" s="3">
        <f>Palmitate!B136</f>
        <v>3.5934413172550216E-2</v>
      </c>
      <c r="M40" s="3">
        <f>Palmitate!C136</f>
        <v>2.4770913305780027E-3</v>
      </c>
      <c r="N40" s="18">
        <f>Oleate!B136</f>
        <v>0.10354838732567713</v>
      </c>
      <c r="O40" s="18">
        <f>Oleate!C136</f>
        <v>1.0074830044634208E-2</v>
      </c>
      <c r="P40" s="3">
        <f>Linoleate!B136</f>
        <v>0.25116776697673376</v>
      </c>
      <c r="Q40" s="3">
        <f>Linoleate!C136</f>
        <v>5.2480568125080958E-2</v>
      </c>
      <c r="R40" s="18">
        <f>Serine!B136</f>
        <v>2.4728038015254892E-3</v>
      </c>
      <c r="S40" s="18">
        <f>Serine!C136</f>
        <v>2.5518936958275493E-4</v>
      </c>
      <c r="T40" s="3">
        <f>Glycine!B136</f>
        <v>3.5268715315908078E-3</v>
      </c>
      <c r="U40" s="3">
        <f>Glycine!C136</f>
        <v>4.017331041267988E-4</v>
      </c>
      <c r="V40" s="18">
        <f>Citrate!B136</f>
        <v>0.11452950970269062</v>
      </c>
      <c r="W40" s="18">
        <f>Citrate!C136</f>
        <v>2.0894569884473503E-2</v>
      </c>
      <c r="X40" s="3">
        <f>Acetate!B136</f>
        <v>0.10486011087848278</v>
      </c>
      <c r="Y40" s="3">
        <f>Acetate!C136</f>
        <v>5.4309436429804576E-3</v>
      </c>
      <c r="Z40" s="18">
        <f>Glycerol!B136</f>
        <v>6.9769118431579652E-2</v>
      </c>
      <c r="AA40" s="18">
        <f>Glycerol!C136</f>
        <v>7.1454535173477145E-3</v>
      </c>
      <c r="AB40" s="3">
        <f>BCAAs!B136</f>
        <v>3.347941355261827E-2</v>
      </c>
      <c r="AC40" s="3">
        <f>BCAAs!C136</f>
        <v>3.3021915677971161E-3</v>
      </c>
      <c r="AD40" s="18">
        <f>'6AAs'!B136</f>
        <v>2.627502024751896E-2</v>
      </c>
      <c r="AE40" s="18">
        <f>'6AAs'!C136</f>
        <v>5.8046350408514531E-3</v>
      </c>
    </row>
    <row r="41" spans="1:31">
      <c r="A41" t="s">
        <v>10</v>
      </c>
      <c r="B41" s="18">
        <f>Glucose!B137</f>
        <v>0.30774427500066526</v>
      </c>
      <c r="C41" s="18">
        <f>Glucose!C137</f>
        <v>3.1674269858046729E-2</v>
      </c>
      <c r="D41" s="3">
        <f>Lactate!B137</f>
        <v>0.34164592818355272</v>
      </c>
      <c r="E41" s="3">
        <f>Lactate!C137</f>
        <v>2.5739329913065549E-2</v>
      </c>
      <c r="F41" s="18">
        <f>Glutamine!B137</f>
        <v>0.2066947820950561</v>
      </c>
      <c r="G41" s="18">
        <f>Glutamine!C137</f>
        <v>3.1773214171998534E-2</v>
      </c>
      <c r="H41" s="3">
        <f>Alanine!B137</f>
        <v>0.12386226007884564</v>
      </c>
      <c r="I41" s="3">
        <f>Alanine!C137</f>
        <v>1.4193274763428963E-2</v>
      </c>
      <c r="J41" s="18">
        <f>'3HB'!B137</f>
        <v>8.5463452052236197E-3</v>
      </c>
      <c r="K41" s="18">
        <f>'3HB'!C137</f>
        <v>6.0071955168580164E-4</v>
      </c>
      <c r="L41" s="3">
        <f>Palmitate!B137</f>
        <v>2.7137895185915726E-2</v>
      </c>
      <c r="M41" s="3">
        <f>Palmitate!C137</f>
        <v>1.3775082765223544E-3</v>
      </c>
      <c r="N41" s="18">
        <f>Oleate!B137</f>
        <v>8.1537557495380789E-2</v>
      </c>
      <c r="O41" s="18">
        <f>Oleate!C137</f>
        <v>2.4083225888198597E-3</v>
      </c>
      <c r="P41" s="3">
        <f>Linoleate!B137</f>
        <v>0.13944001450939686</v>
      </c>
      <c r="Q41" s="3">
        <f>Linoleate!C137</f>
        <v>8.8264523353700358E-3</v>
      </c>
      <c r="R41" s="18">
        <f>Serine!B137</f>
        <v>1.0646029836931734E-2</v>
      </c>
      <c r="S41" s="18">
        <f>Serine!C137</f>
        <v>2.2073836217638862E-4</v>
      </c>
      <c r="T41" s="3">
        <f>Glycine!B137</f>
        <v>5.54375372477167E-3</v>
      </c>
      <c r="U41" s="3">
        <f>Glycine!C137</f>
        <v>1.3786477939753631E-3</v>
      </c>
      <c r="V41" s="18">
        <f>Citrate!B137</f>
        <v>6.5776736652273585E-3</v>
      </c>
      <c r="W41" s="18">
        <f>Citrate!C137</f>
        <v>1.6358694061745299E-3</v>
      </c>
      <c r="X41" s="3">
        <f>Acetate!B137</f>
        <v>2.3742160421314627E-2</v>
      </c>
      <c r="Y41" s="3">
        <f>Acetate!C137</f>
        <v>3.5937566269782042E-3</v>
      </c>
      <c r="Z41" s="18">
        <f>Glycerol!B137</f>
        <v>3.3309076769082076E-2</v>
      </c>
      <c r="AA41" s="18">
        <f>Glycerol!C137</f>
        <v>6.5340642127689665E-3</v>
      </c>
      <c r="AB41" s="3">
        <f>BCAAs!B137</f>
        <v>2.1499666974528056E-2</v>
      </c>
      <c r="AC41" s="3">
        <f>BCAAs!C137</f>
        <v>1.5474479985386647E-3</v>
      </c>
      <c r="AD41" s="18">
        <f>'6AAs'!B137</f>
        <v>6.478270032541604E-2</v>
      </c>
      <c r="AE41" s="18">
        <f>'6AAs'!C137</f>
        <v>9.8068996747306854E-3</v>
      </c>
    </row>
    <row r="42" spans="1:31">
      <c r="A42" t="s">
        <v>11</v>
      </c>
      <c r="B42" s="18">
        <f>Glucose!B138</f>
        <v>0.19890170723105335</v>
      </c>
      <c r="C42" s="18">
        <f>Glucose!C138</f>
        <v>2.2370615587197367E-2</v>
      </c>
      <c r="D42" s="3">
        <f>Lactate!B138</f>
        <v>0.26756931953876911</v>
      </c>
      <c r="E42" s="3">
        <f>Lactate!C138</f>
        <v>3.4680312680991345E-2</v>
      </c>
      <c r="F42" s="18">
        <f>Glutamine!B138</f>
        <v>0.29038054460569879</v>
      </c>
      <c r="G42" s="18">
        <f>Glutamine!C138</f>
        <v>2.1544217289816755E-2</v>
      </c>
      <c r="H42" s="3">
        <f>Alanine!B138</f>
        <v>6.4054207264987228E-2</v>
      </c>
      <c r="I42" s="3">
        <f>Alanine!C138</f>
        <v>8.4212935584143719E-3</v>
      </c>
      <c r="J42" s="18">
        <f>'3HB'!B138</f>
        <v>3.100664505264621E-2</v>
      </c>
      <c r="K42" s="18">
        <f>'3HB'!C138</f>
        <v>1.7772968476967473E-3</v>
      </c>
      <c r="L42" s="3">
        <f>Palmitate!B138</f>
        <v>7.8649800104614309E-2</v>
      </c>
      <c r="M42" s="3">
        <f>Palmitate!C138</f>
        <v>2.3297585425535411E-3</v>
      </c>
      <c r="N42" s="18">
        <f>Oleate!B138</f>
        <v>0.11443971603455812</v>
      </c>
      <c r="O42" s="18">
        <f>Oleate!C138</f>
        <v>5.2469779214013787E-3</v>
      </c>
      <c r="P42" s="3">
        <f>Linoleate!B138</f>
        <v>0.16126548033116339</v>
      </c>
      <c r="Q42" s="3">
        <f>Linoleate!C138</f>
        <v>2.2177523629696817E-2</v>
      </c>
      <c r="R42" s="18">
        <f>Serine!B138</f>
        <v>0</v>
      </c>
      <c r="S42" s="18">
        <f>Serine!C138</f>
        <v>0</v>
      </c>
      <c r="T42" s="3">
        <f>Glycine!B138</f>
        <v>5.9459870873846603E-4</v>
      </c>
      <c r="U42" s="3">
        <f>Glycine!C138</f>
        <v>3.6972655625125081E-4</v>
      </c>
      <c r="V42" s="18">
        <f>Citrate!B138</f>
        <v>4.8610143409005425E-3</v>
      </c>
      <c r="W42" s="18">
        <f>Citrate!C138</f>
        <v>1.7435096763986908E-3</v>
      </c>
      <c r="X42" s="3">
        <f>Acetate!B138</f>
        <v>0.15085144060712222</v>
      </c>
      <c r="Y42" s="3">
        <f>Acetate!C138</f>
        <v>2.209214768988747E-2</v>
      </c>
      <c r="Z42" s="18">
        <f>Glycerol!B138</f>
        <v>2.016394905984659E-2</v>
      </c>
      <c r="AA42" s="18">
        <f>Glycerol!C138</f>
        <v>8.0294305531570971E-3</v>
      </c>
      <c r="AB42" s="3">
        <f>BCAAs!B138</f>
        <v>2.9046419412327218E-2</v>
      </c>
      <c r="AC42" s="3">
        <f>BCAAs!C138</f>
        <v>2.289513896344532E-3</v>
      </c>
      <c r="AD42" s="18">
        <f>'6AAs'!B138</f>
        <v>1.7780797890969785E-2</v>
      </c>
      <c r="AE42" s="18">
        <f>'6AAs'!C138</f>
        <v>3.1091959486593936E-3</v>
      </c>
    </row>
    <row r="43" spans="1:31">
      <c r="A43" t="s">
        <v>49</v>
      </c>
      <c r="B43" s="18" t="str">
        <f>Glucose!B139</f>
        <v>NaN</v>
      </c>
      <c r="C43" s="18" t="str">
        <f>Glucose!C139</f>
        <v>NaN</v>
      </c>
      <c r="D43" s="3" t="str">
        <f>Lactate!B139</f>
        <v>NaN</v>
      </c>
      <c r="E43" s="3" t="str">
        <f>Lactate!C139</f>
        <v>NaN</v>
      </c>
      <c r="F43" s="18" t="str">
        <f>Glutamine!B139</f>
        <v>NaN</v>
      </c>
      <c r="G43" s="18" t="str">
        <f>Glutamine!C139</f>
        <v>NaN</v>
      </c>
      <c r="H43" s="3" t="str">
        <f>Alanine!B139</f>
        <v>NaN</v>
      </c>
      <c r="I43" s="3" t="str">
        <f>Alanine!C139</f>
        <v>NaN</v>
      </c>
      <c r="J43" s="18" t="str">
        <f>'3HB'!B139</f>
        <v>NaN</v>
      </c>
      <c r="K43" s="18" t="str">
        <f>'3HB'!C139</f>
        <v>NaN</v>
      </c>
      <c r="L43" s="3" t="str">
        <f>Palmitate!B139</f>
        <v>NaN</v>
      </c>
      <c r="M43" s="3" t="str">
        <f>Palmitate!C139</f>
        <v>NaN</v>
      </c>
      <c r="N43" s="18" t="str">
        <f>Oleate!B139</f>
        <v>NaN</v>
      </c>
      <c r="O43" s="18" t="str">
        <f>Oleate!C139</f>
        <v>NaN</v>
      </c>
      <c r="P43" s="3">
        <f>Linoleate!B139</f>
        <v>0</v>
      </c>
      <c r="Q43" s="3">
        <f>Linoleate!C139</f>
        <v>0</v>
      </c>
      <c r="R43" s="18" t="str">
        <f>Serine!B139</f>
        <v>NaN</v>
      </c>
      <c r="S43" s="18" t="str">
        <f>Serine!C139</f>
        <v>NaN</v>
      </c>
      <c r="T43" s="3">
        <f>Glycine!B139</f>
        <v>0</v>
      </c>
      <c r="U43" s="3">
        <f>Glycine!C139</f>
        <v>0</v>
      </c>
      <c r="V43" s="18" t="str">
        <f>Citrate!B139</f>
        <v>NaN</v>
      </c>
      <c r="W43" s="18" t="str">
        <f>Citrate!C139</f>
        <v>NaN</v>
      </c>
      <c r="X43" s="3" t="str">
        <f>Acetate!B139</f>
        <v>NaN</v>
      </c>
      <c r="Y43" s="3" t="str">
        <f>Acetate!C139</f>
        <v>NaN</v>
      </c>
      <c r="Z43" s="18" t="str">
        <f>Glycerol!B139</f>
        <v>NaN</v>
      </c>
      <c r="AA43" s="18" t="str">
        <f>Glycerol!C139</f>
        <v>NaN</v>
      </c>
      <c r="AB43" s="3" t="str">
        <f>BCAAs!B139</f>
        <v>NaN</v>
      </c>
      <c r="AC43" s="3" t="str">
        <f>BCAAs!C139</f>
        <v>NaN</v>
      </c>
      <c r="AD43" s="18" t="str">
        <f>'6AAs'!B139</f>
        <v>NaN</v>
      </c>
      <c r="AE43" s="18" t="str">
        <f>'6AAs'!C139</f>
        <v>NaN</v>
      </c>
    </row>
    <row r="44" spans="1:31">
      <c r="A44" t="s">
        <v>12</v>
      </c>
      <c r="B44" s="18">
        <f>Glucose!B140</f>
        <v>0.27227942159344015</v>
      </c>
      <c r="C44" s="18">
        <f>Glucose!C140</f>
        <v>1.2840814882275732E-2</v>
      </c>
      <c r="D44" s="3">
        <f>Lactate!B140</f>
        <v>0.32938272217733</v>
      </c>
      <c r="E44" s="3">
        <f>Lactate!C140</f>
        <v>2.3651993556033039E-2</v>
      </c>
      <c r="F44" s="18">
        <f>Glutamine!B140</f>
        <v>0.48467035017222226</v>
      </c>
      <c r="G44" s="18">
        <f>Glutamine!C140</f>
        <v>1.7834755823900834E-2</v>
      </c>
      <c r="H44" s="3">
        <f>Alanine!B140</f>
        <v>0.19260262167235709</v>
      </c>
      <c r="I44" s="3">
        <f>Alanine!C140</f>
        <v>2.7632551045859485E-2</v>
      </c>
      <c r="J44" s="18">
        <f>'3HB'!B140</f>
        <v>1.9650115355951035E-2</v>
      </c>
      <c r="K44" s="18">
        <f>'3HB'!C140</f>
        <v>1.7951136131835221E-3</v>
      </c>
      <c r="L44" s="3">
        <f>Palmitate!B140</f>
        <v>2.6897332437899709E-2</v>
      </c>
      <c r="M44" s="3">
        <f>Palmitate!C140</f>
        <v>3.9450608173301326E-3</v>
      </c>
      <c r="N44" s="18">
        <f>Oleate!B140</f>
        <v>7.6661246052132884E-2</v>
      </c>
      <c r="O44" s="18">
        <f>Oleate!C140</f>
        <v>4.4837344229370279E-3</v>
      </c>
      <c r="P44" s="3">
        <f>Linoleate!B140</f>
        <v>0.10828262362702258</v>
      </c>
      <c r="Q44" s="3">
        <f>Linoleate!C140</f>
        <v>5.6503203013134008E-3</v>
      </c>
      <c r="R44" s="18">
        <f>Serine!B140</f>
        <v>5.0996368075923405E-3</v>
      </c>
      <c r="S44" s="18">
        <f>Serine!C140</f>
        <v>2.2464445327351075E-3</v>
      </c>
      <c r="T44" s="3">
        <f>Glycine!B140</f>
        <v>1.9302219781883107E-3</v>
      </c>
      <c r="U44" s="3">
        <f>Glycine!C140</f>
        <v>1.6390813358848776E-3</v>
      </c>
      <c r="V44" s="18">
        <f>Citrate!B140</f>
        <v>7.9184823996641205E-3</v>
      </c>
      <c r="W44" s="18">
        <f>Citrate!C140</f>
        <v>2.1922040693565562E-3</v>
      </c>
      <c r="X44" s="3">
        <f>Acetate!B140</f>
        <v>6.3771883634835339E-2</v>
      </c>
      <c r="Y44" s="3">
        <f>Acetate!C140</f>
        <v>3.1631019405833076E-3</v>
      </c>
      <c r="Z44" s="18">
        <f>Glycerol!B140</f>
        <v>2.3943714985463452E-2</v>
      </c>
      <c r="AA44" s="18">
        <f>Glycerol!C140</f>
        <v>5.5123108722057931E-3</v>
      </c>
      <c r="AB44" s="3">
        <f>BCAAs!B140</f>
        <v>0.18968585155055559</v>
      </c>
      <c r="AC44" s="3">
        <f>BCAAs!C140</f>
        <v>3.0750086577856082E-2</v>
      </c>
      <c r="AD44" s="18">
        <f>'6AAs'!B140</f>
        <v>4.6510297643238462E-2</v>
      </c>
      <c r="AE44" s="18">
        <f>'6AAs'!C140</f>
        <v>6.9478989211325852E-3</v>
      </c>
    </row>
    <row r="45" spans="1:31">
      <c r="A45" t="s">
        <v>13</v>
      </c>
      <c r="B45" s="18">
        <f>Glucose!B141</f>
        <v>0.30715872987068543</v>
      </c>
      <c r="C45" s="18">
        <f>Glucose!C141</f>
        <v>2.4317721404105697E-2</v>
      </c>
      <c r="D45" s="3">
        <f>Lactate!B141</f>
        <v>0.30024093360895387</v>
      </c>
      <c r="E45" s="3">
        <f>Lactate!C141</f>
        <v>4.4127498210485644E-2</v>
      </c>
      <c r="F45" s="18">
        <f>Glutamine!B141</f>
        <v>9.271652931782548E-2</v>
      </c>
      <c r="G45" s="18">
        <f>Glutamine!C141</f>
        <v>2.2439099192636803E-2</v>
      </c>
      <c r="H45" s="3">
        <f>Alanine!B141</f>
        <v>8.3467668597889733E-2</v>
      </c>
      <c r="I45" s="3">
        <f>Alanine!C141</f>
        <v>8.8885045101260891E-3</v>
      </c>
      <c r="J45" s="18">
        <f>'3HB'!B141</f>
        <v>1.1151502925156346E-2</v>
      </c>
      <c r="K45" s="18" t="e">
        <f>'3HB'!C141</f>
        <v>#DIV/0!</v>
      </c>
      <c r="L45" s="3">
        <f>Palmitate!B141</f>
        <v>9.5949394111576922E-2</v>
      </c>
      <c r="M45" s="3">
        <f>Palmitate!C141</f>
        <v>6.0318366500373378E-3</v>
      </c>
      <c r="N45" s="18">
        <f>Oleate!B141</f>
        <v>0.11667295194543104</v>
      </c>
      <c r="O45" s="18">
        <f>Oleate!C141</f>
        <v>7.5987910159479276E-3</v>
      </c>
      <c r="P45" s="3">
        <f>Linoleate!B141</f>
        <v>0.14939929483690895</v>
      </c>
      <c r="Q45" s="3">
        <f>Linoleate!C141</f>
        <v>2.7311753804391648E-2</v>
      </c>
      <c r="R45" s="18">
        <f>Serine!B141</f>
        <v>1.3521077102752254E-4</v>
      </c>
      <c r="S45" s="18">
        <f>Serine!C141</f>
        <v>1.3521077102752254E-4</v>
      </c>
      <c r="T45" s="3">
        <f>Glycine!B141</f>
        <v>0</v>
      </c>
      <c r="U45" s="3">
        <f>Glycine!C141</f>
        <v>0</v>
      </c>
      <c r="V45" s="18">
        <f>Citrate!B141</f>
        <v>1.1917929053669493E-2</v>
      </c>
      <c r="W45" s="18">
        <f>Citrate!C141</f>
        <v>2.4354588588579858E-3</v>
      </c>
      <c r="X45" s="3">
        <f>Acetate!B141</f>
        <v>0.10903958816224919</v>
      </c>
      <c r="Y45" s="3">
        <f>Acetate!C141</f>
        <v>2.2127581968562564E-2</v>
      </c>
      <c r="Z45" s="18">
        <f>Glycerol!B141</f>
        <v>2.9651474080258578E-2</v>
      </c>
      <c r="AA45" s="18">
        <f>Glycerol!C141</f>
        <v>1.1943534409045593E-2</v>
      </c>
      <c r="AB45" s="3">
        <f>BCAAs!B141</f>
        <v>3.1056149447464789E-2</v>
      </c>
      <c r="AC45" s="3">
        <f>BCAAs!C141</f>
        <v>3.9914297390540405E-3</v>
      </c>
      <c r="AD45" s="18">
        <f>'6AAs'!B141</f>
        <v>1.3811388805112942E-2</v>
      </c>
      <c r="AE45" s="18">
        <f>'6AAs'!C141</f>
        <v>2.8624826093868565E-3</v>
      </c>
    </row>
    <row r="46" spans="1:31">
      <c r="A46" t="s">
        <v>14</v>
      </c>
      <c r="B46" s="18">
        <f>Glucose!B142</f>
        <v>0.54133225820062536</v>
      </c>
      <c r="C46" s="18">
        <f>Glucose!C142</f>
        <v>5.4663893557266793E-2</v>
      </c>
      <c r="D46" s="3">
        <f>Lactate!B142</f>
        <v>0.32878053331138768</v>
      </c>
      <c r="E46" s="3">
        <f>Lactate!C142</f>
        <v>3.4786320878652112E-2</v>
      </c>
      <c r="F46" s="18">
        <f>Glutamine!B142</f>
        <v>3.0394751197823949E-2</v>
      </c>
      <c r="G46" s="18">
        <f>Glutamine!C142</f>
        <v>4.8268155421761624E-3</v>
      </c>
      <c r="H46" s="3">
        <f>Alanine!B142</f>
        <v>6.0978842794095399E-2</v>
      </c>
      <c r="I46" s="3">
        <f>Alanine!C142</f>
        <v>3.0947433425246936E-3</v>
      </c>
      <c r="J46" s="18">
        <f>'3HB'!B142</f>
        <v>2.0313827990076805E-2</v>
      </c>
      <c r="K46" s="18">
        <f>'3HB'!C142</f>
        <v>2.988976125315566E-3</v>
      </c>
      <c r="L46" s="3">
        <f>Palmitate!B142</f>
        <v>8.7137417832413799E-2</v>
      </c>
      <c r="M46" s="3">
        <f>Palmitate!C142</f>
        <v>5.280561450688382E-3</v>
      </c>
      <c r="N46" s="18">
        <f>Oleate!B142</f>
        <v>0.1719481831969237</v>
      </c>
      <c r="O46" s="18">
        <f>Oleate!C142</f>
        <v>5.8946290349683487E-3</v>
      </c>
      <c r="P46" s="3">
        <f>Linoleate!B142</f>
        <v>0.18260116793399142</v>
      </c>
      <c r="Q46" s="3">
        <f>Linoleate!C142</f>
        <v>1.8127034438854613E-2</v>
      </c>
      <c r="R46" s="18">
        <f>Serine!B142</f>
        <v>2.1591721294883723E-3</v>
      </c>
      <c r="S46" s="18">
        <f>Serine!C142</f>
        <v>6.6157798195893387E-4</v>
      </c>
      <c r="T46" s="3">
        <f>Glycine!B142</f>
        <v>8.1509538394190664E-4</v>
      </c>
      <c r="U46" s="3">
        <f>Glycine!C142</f>
        <v>2.4566062031831665E-5</v>
      </c>
      <c r="V46" s="18">
        <f>Citrate!B142</f>
        <v>4.3594789109811377E-3</v>
      </c>
      <c r="W46" s="18">
        <f>Citrate!C142</f>
        <v>4.2408766873164755E-4</v>
      </c>
      <c r="X46" s="3">
        <f>Acetate!B142</f>
        <v>6.142657552788805E-2</v>
      </c>
      <c r="Y46" s="3">
        <f>Acetate!C142</f>
        <v>3.6721422378198656E-3</v>
      </c>
      <c r="Z46" s="18">
        <f>Glycerol!B142</f>
        <v>4.5797002592547334E-2</v>
      </c>
      <c r="AA46" s="18">
        <f>Glycerol!C142</f>
        <v>6.4050006391585413E-3</v>
      </c>
      <c r="AB46" s="3">
        <f>BCAAs!B142</f>
        <v>1.5709561732824538E-2</v>
      </c>
      <c r="AC46" s="3">
        <f>BCAAs!C142</f>
        <v>2.2051759684879554E-3</v>
      </c>
      <c r="AD46" s="18">
        <f>'6AAs'!B142</f>
        <v>1.1155084629405752E-2</v>
      </c>
      <c r="AE46" s="18">
        <f>'6AAs'!C142</f>
        <v>3.2328813441791634E-3</v>
      </c>
    </row>
    <row r="47" spans="1:31">
      <c r="A47" t="s">
        <v>56</v>
      </c>
      <c r="B47" s="18">
        <f>Glucose!B143</f>
        <v>0.20451861410002437</v>
      </c>
      <c r="C47" s="18">
        <f>Glucose!C143</f>
        <v>5.2029747053135761E-2</v>
      </c>
      <c r="D47" s="3">
        <f>Lactate!B143</f>
        <v>0.26827033781304233</v>
      </c>
      <c r="E47" s="3">
        <f>Lactate!C143</f>
        <v>1.5708484373475544E-2</v>
      </c>
      <c r="F47" s="18">
        <f>Glutamine!B143</f>
        <v>0.20082064987945114</v>
      </c>
      <c r="G47" s="18">
        <f>Glutamine!C143</f>
        <v>3.7691121937429108E-2</v>
      </c>
      <c r="H47" s="3">
        <f>Alanine!B143</f>
        <v>0.10375538561070911</v>
      </c>
      <c r="I47" s="3">
        <f>Alanine!C143</f>
        <v>1.7174836428451974E-2</v>
      </c>
      <c r="J47" s="18">
        <f>'3HB'!B143</f>
        <v>3.9153014987800628E-3</v>
      </c>
      <c r="K47" s="18">
        <f>'3HB'!C143</f>
        <v>3.9153014987800619E-3</v>
      </c>
      <c r="L47" s="3">
        <f>Palmitate!B143</f>
        <v>1.5957299694972154E-2</v>
      </c>
      <c r="M47" s="3">
        <f>Palmitate!C143</f>
        <v>6.3064124851806187E-3</v>
      </c>
      <c r="N47" s="18">
        <f>Oleate!B143</f>
        <v>3.4064244378381868E-2</v>
      </c>
      <c r="O47" s="18">
        <f>Oleate!C143</f>
        <v>1.1852214918799646E-2</v>
      </c>
      <c r="P47" s="3">
        <f>Linoleate!B143</f>
        <v>3.7177242685491538E-2</v>
      </c>
      <c r="Q47" s="3">
        <f>Linoleate!C143</f>
        <v>9.5891383079579201E-3</v>
      </c>
      <c r="R47" s="18">
        <f>Serine!B143</f>
        <v>0</v>
      </c>
      <c r="S47" s="18">
        <f>Serine!C143</f>
        <v>0</v>
      </c>
      <c r="T47" s="3">
        <f>Glycine!B143</f>
        <v>0</v>
      </c>
      <c r="U47" s="3">
        <f>Glycine!C143</f>
        <v>0</v>
      </c>
      <c r="V47" s="18">
        <f>Citrate!B143</f>
        <v>1.6043984083834774E-3</v>
      </c>
      <c r="W47" s="18">
        <f>Citrate!C143</f>
        <v>1.5304171571327292E-3</v>
      </c>
      <c r="X47" s="3">
        <f>Acetate!B143</f>
        <v>5.3913889676064815E-2</v>
      </c>
      <c r="Y47" s="3">
        <f>Acetate!C143</f>
        <v>2.7726899999693882E-3</v>
      </c>
      <c r="Z47" s="18">
        <f>Glycerol!B143</f>
        <v>2.2609945902439758E-2</v>
      </c>
      <c r="AA47" s="18">
        <f>Glycerol!C143</f>
        <v>5.0439999123342676E-3</v>
      </c>
      <c r="AB47" s="3">
        <f>BCAAs!B143</f>
        <v>1.1595237866438068E-2</v>
      </c>
      <c r="AC47" s="3">
        <f>BCAAs!C143</f>
        <v>2.4932915029571095E-3</v>
      </c>
      <c r="AD47" s="18">
        <f>'6AAs'!B143</f>
        <v>1.0521122552935979E-2</v>
      </c>
      <c r="AE47" s="18">
        <f>'6AAs'!C143</f>
        <v>5.1057693305916526E-3</v>
      </c>
    </row>
    <row r="48" spans="1:31">
      <c r="A48" t="s">
        <v>57</v>
      </c>
      <c r="B48" s="18">
        <f>Glucose!B144</f>
        <v>0.28973842519588539</v>
      </c>
      <c r="C48" s="18">
        <f>Glucose!C144</f>
        <v>5.8054480435928223E-2</v>
      </c>
      <c r="D48" s="3">
        <f>Lactate!B144</f>
        <v>0.35484260990261829</v>
      </c>
      <c r="E48" s="3">
        <f>Lactate!C144</f>
        <v>2.0251822414779699E-2</v>
      </c>
      <c r="F48" s="18">
        <f>Glutamine!B144</f>
        <v>0.17084207313837182</v>
      </c>
      <c r="G48" s="18">
        <f>Glutamine!C144</f>
        <v>2.4136212201993752E-2</v>
      </c>
      <c r="H48" s="3">
        <f>Alanine!B144</f>
        <v>7.6158394778542873E-2</v>
      </c>
      <c r="I48" s="3">
        <f>Alanine!C144</f>
        <v>8.6281259455719336E-3</v>
      </c>
      <c r="J48" s="18" t="str">
        <f>'3HB'!B144</f>
        <v>NaN</v>
      </c>
      <c r="K48" s="18" t="str">
        <f>'3HB'!C144</f>
        <v>NaN</v>
      </c>
      <c r="L48" s="3" t="str">
        <f>Palmitate!B144</f>
        <v>NaN</v>
      </c>
      <c r="M48" s="3" t="str">
        <f>Palmitate!C144</f>
        <v>NaN</v>
      </c>
      <c r="N48" s="18" t="str">
        <f>Oleate!B144</f>
        <v>NaN</v>
      </c>
      <c r="O48" s="18" t="str">
        <f>Oleate!C144</f>
        <v>NaN</v>
      </c>
      <c r="P48" s="3">
        <f>Linoleate!B144</f>
        <v>0</v>
      </c>
      <c r="Q48" s="3" t="e">
        <f>Linoleate!C144</f>
        <v>#DIV/0!</v>
      </c>
      <c r="R48" s="18" t="str">
        <f>Serine!B144</f>
        <v>NaN</v>
      </c>
      <c r="S48" s="18" t="str">
        <f>Serine!C144</f>
        <v>NaN</v>
      </c>
      <c r="T48" s="3">
        <f>Glycine!B144</f>
        <v>0</v>
      </c>
      <c r="U48" s="3">
        <f>Glycine!C144</f>
        <v>0</v>
      </c>
      <c r="V48" s="18" t="str">
        <f>Citrate!B144</f>
        <v>NaN</v>
      </c>
      <c r="W48" s="18" t="str">
        <f>Citrate!C144</f>
        <v>NaN</v>
      </c>
      <c r="X48" s="3" t="str">
        <f>Acetate!B144</f>
        <v>NaN</v>
      </c>
      <c r="Y48" s="3" t="str">
        <f>Acetate!C144</f>
        <v>NaN</v>
      </c>
      <c r="Z48" s="18">
        <f>Glycerol!B144</f>
        <v>4.4661476141473942E-2</v>
      </c>
      <c r="AA48" s="18">
        <f>Glycerol!C144</f>
        <v>8.7008116030715538E-3</v>
      </c>
      <c r="AB48" s="3" t="str">
        <f>BCAAs!B144</f>
        <v>NaN</v>
      </c>
      <c r="AC48" s="3" t="str">
        <f>BCAAs!C144</f>
        <v>NaN</v>
      </c>
      <c r="AD48" s="18" t="str">
        <f>'6AAs'!B144</f>
        <v>NaN</v>
      </c>
      <c r="AE48" s="18" t="str">
        <f>'6AAs'!C144</f>
        <v>NaN</v>
      </c>
    </row>
    <row r="49" spans="1:31">
      <c r="A49" t="s">
        <v>15</v>
      </c>
      <c r="B49" s="18">
        <f>Glucose!B145</f>
        <v>0.20469085819663582</v>
      </c>
      <c r="C49" s="18">
        <f>Glucose!C145</f>
        <v>2.2473909873529419E-2</v>
      </c>
      <c r="D49" s="3">
        <f>Lactate!B145</f>
        <v>0.246019393925135</v>
      </c>
      <c r="E49" s="3">
        <f>Lactate!C145</f>
        <v>2.4340594541629412E-2</v>
      </c>
      <c r="F49" s="18">
        <f>Glutamine!B145</f>
        <v>0.19338877239810934</v>
      </c>
      <c r="G49" s="18">
        <f>Glutamine!C145</f>
        <v>5.5690768491221773E-2</v>
      </c>
      <c r="H49" s="3">
        <f>Alanine!B145</f>
        <v>6.9547847689650291E-2</v>
      </c>
      <c r="I49" s="3">
        <f>Alanine!C145</f>
        <v>1.2824679049046864E-2</v>
      </c>
      <c r="J49" s="18">
        <f>'3HB'!B145</f>
        <v>2.5661772772507911E-2</v>
      </c>
      <c r="K49" s="18">
        <f>'3HB'!C145</f>
        <v>3.9137769551499356E-3</v>
      </c>
      <c r="L49" s="3">
        <f>Palmitate!B145</f>
        <v>2.4206355069359E-2</v>
      </c>
      <c r="M49" s="3">
        <f>Palmitate!C145</f>
        <v>1.7307485411998222E-3</v>
      </c>
      <c r="N49" s="18">
        <f>Oleate!B145</f>
        <v>8.9455119439045563E-2</v>
      </c>
      <c r="O49" s="18">
        <f>Oleate!C145</f>
        <v>2.2315669198235629E-2</v>
      </c>
      <c r="P49" s="3">
        <f>Linoleate!B145</f>
        <v>0.1248613949167489</v>
      </c>
      <c r="Q49" s="3">
        <f>Linoleate!C145</f>
        <v>1.0550206283722887E-2</v>
      </c>
      <c r="R49" s="18">
        <f>Serine!B145</f>
        <v>2.3187011242726298E-3</v>
      </c>
      <c r="S49" s="18">
        <f>Serine!C145</f>
        <v>4.2329548403942591E-4</v>
      </c>
      <c r="T49" s="3">
        <f>Glycine!B145</f>
        <v>0</v>
      </c>
      <c r="U49" s="3">
        <f>Glycine!C145</f>
        <v>0</v>
      </c>
      <c r="V49" s="18">
        <f>Citrate!B145</f>
        <v>2.8574591815862869E-3</v>
      </c>
      <c r="W49" s="18">
        <f>Citrate!C145</f>
        <v>1.2010939101929684E-3</v>
      </c>
      <c r="X49" s="3">
        <f>Acetate!B145</f>
        <v>7.7340572293896861E-2</v>
      </c>
      <c r="Y49" s="3">
        <f>Acetate!C145</f>
        <v>8.6650284090821067E-3</v>
      </c>
      <c r="Z49" s="18">
        <f>Glycerol!B145</f>
        <v>1.9592068475697919E-2</v>
      </c>
      <c r="AA49" s="18">
        <f>Glycerol!C145</f>
        <v>7.0733186049415885E-3</v>
      </c>
      <c r="AB49" s="3">
        <f>BCAAs!B145</f>
        <v>2.7652742541866018E-2</v>
      </c>
      <c r="AC49" s="3">
        <f>BCAAs!C145</f>
        <v>1.8266859878737557E-3</v>
      </c>
      <c r="AD49" s="18">
        <f>'6AAs'!B145</f>
        <v>1.1963090661530843E-2</v>
      </c>
      <c r="AE49" s="18">
        <f>'6AAs'!C145</f>
        <v>2.4498473981174147E-3</v>
      </c>
    </row>
    <row r="50" spans="1:31">
      <c r="A50" t="s">
        <v>22</v>
      </c>
      <c r="B50" s="18">
        <f>Glucose!B146</f>
        <v>0.653348097901855</v>
      </c>
      <c r="C50" s="18">
        <f>Glucose!C146</f>
        <v>6.3317761964379313E-2</v>
      </c>
      <c r="D50" s="3">
        <f>Lactate!B146</f>
        <v>0.36591818990008612</v>
      </c>
      <c r="E50" s="3">
        <f>Lactate!C146</f>
        <v>4.3642275512271317E-2</v>
      </c>
      <c r="F50" s="18">
        <f>Glutamine!B146</f>
        <v>0.12939215299676471</v>
      </c>
      <c r="G50" s="18">
        <f>Glutamine!C146</f>
        <v>1.298438337981112E-2</v>
      </c>
      <c r="H50" s="3">
        <f>Alanine!B146</f>
        <v>8.8345855364312276E-2</v>
      </c>
      <c r="I50" s="3">
        <f>Alanine!C146</f>
        <v>5.9694577105594499E-3</v>
      </c>
      <c r="J50" s="18">
        <f>'3HB'!B146</f>
        <v>7.0471811851705079E-3</v>
      </c>
      <c r="K50" s="18">
        <f>'3HB'!C146</f>
        <v>2.7862071113774357E-4</v>
      </c>
      <c r="L50" s="3">
        <f>Palmitate!B146</f>
        <v>3.6306055207019149E-2</v>
      </c>
      <c r="M50" s="3">
        <f>Palmitate!C146</f>
        <v>5.2401774618179081E-3</v>
      </c>
      <c r="N50" s="18">
        <f>Oleate!B146</f>
        <v>7.9350196537962533E-2</v>
      </c>
      <c r="O50" s="18">
        <f>Oleate!C146</f>
        <v>3.7834568546914853E-3</v>
      </c>
      <c r="P50" s="3">
        <f>Linoleate!B146</f>
        <v>0.10167304724666064</v>
      </c>
      <c r="Q50" s="3">
        <f>Linoleate!C146</f>
        <v>1.1885188688752128E-2</v>
      </c>
      <c r="R50" s="18">
        <f>Serine!B146</f>
        <v>4.0177014192431413E-3</v>
      </c>
      <c r="S50" s="18">
        <f>Serine!C146</f>
        <v>1.4396594776397716E-4</v>
      </c>
      <c r="T50" s="3">
        <f>Glycine!B146</f>
        <v>2.9835950630130422E-3</v>
      </c>
      <c r="U50" s="3">
        <f>Glycine!C146</f>
        <v>7.2770200811666478E-4</v>
      </c>
      <c r="V50" s="18">
        <f>Citrate!B146</f>
        <v>2.7217522583049717E-2</v>
      </c>
      <c r="W50" s="18">
        <f>Citrate!C146</f>
        <v>1.8910732645376509E-2</v>
      </c>
      <c r="X50" s="3">
        <f>Acetate!B146</f>
        <v>3.5588241753534831E-2</v>
      </c>
      <c r="Y50" s="3">
        <f>Acetate!C146</f>
        <v>3.1360283664951748E-3</v>
      </c>
      <c r="Z50" s="18">
        <f>Glycerol!B146</f>
        <v>6.5481712019091448E-2</v>
      </c>
      <c r="AA50" s="18">
        <f>Glycerol!C146</f>
        <v>1.2171012465545647E-2</v>
      </c>
      <c r="AB50" s="3">
        <f>BCAAs!B146</f>
        <v>3.0693906384896708E-2</v>
      </c>
      <c r="AC50" s="3">
        <f>BCAAs!C146</f>
        <v>3.9035192823009854E-3</v>
      </c>
      <c r="AD50" s="18">
        <f>'6AAs'!B146</f>
        <v>1.3324035551029657E-2</v>
      </c>
      <c r="AE50" s="18">
        <f>'6AAs'!C146</f>
        <v>3.1007298922699758E-3</v>
      </c>
    </row>
    <row r="51" spans="1:31">
      <c r="A51" t="s">
        <v>59</v>
      </c>
      <c r="B51" s="18" t="str">
        <f>Glucose!B147</f>
        <v>NaN</v>
      </c>
      <c r="C51" s="18" t="str">
        <f>Glucose!C147</f>
        <v>NaN</v>
      </c>
      <c r="D51" s="3" t="str">
        <f>Lactate!B147</f>
        <v>NaN</v>
      </c>
      <c r="E51" s="3" t="str">
        <f>Lactate!C147</f>
        <v>NaN</v>
      </c>
      <c r="F51" s="18" t="str">
        <f>Glutamine!B147</f>
        <v>NaN</v>
      </c>
      <c r="G51" s="18" t="str">
        <f>Glutamine!C147</f>
        <v>NaN</v>
      </c>
      <c r="H51" s="3">
        <f>Alanine!B147</f>
        <v>7.2015055569491712E-2</v>
      </c>
      <c r="I51" s="3">
        <f>Alanine!C147</f>
        <v>3.6628716799961664E-3</v>
      </c>
      <c r="J51" s="18" t="str">
        <f>'3HB'!B147</f>
        <v>NaN</v>
      </c>
      <c r="K51" s="18" t="str">
        <f>'3HB'!C147</f>
        <v>NaN</v>
      </c>
      <c r="L51" s="3" t="str">
        <f>Palmitate!B147</f>
        <v>NaN</v>
      </c>
      <c r="M51" s="3" t="str">
        <f>Palmitate!C147</f>
        <v>NaN</v>
      </c>
      <c r="N51" s="18" t="str">
        <f>Oleate!B147</f>
        <v>NaN</v>
      </c>
      <c r="O51" s="18" t="str">
        <f>Oleate!C147</f>
        <v>NaN</v>
      </c>
      <c r="P51" s="3" t="str">
        <f>Linoleate!B147</f>
        <v>NaN</v>
      </c>
      <c r="Q51" s="3" t="str">
        <f>Linoleate!C147</f>
        <v>NaN</v>
      </c>
      <c r="R51" s="18" t="str">
        <f>Serine!B147</f>
        <v>NaN</v>
      </c>
      <c r="S51" s="18" t="str">
        <f>Serine!C147</f>
        <v>NaN</v>
      </c>
      <c r="T51" s="3" t="str">
        <f>Glycine!B147</f>
        <v>NaN</v>
      </c>
      <c r="U51" s="3" t="str">
        <f>Glycine!C147</f>
        <v>NaN</v>
      </c>
      <c r="V51" s="18" t="str">
        <f>Citrate!B147</f>
        <v>NaN</v>
      </c>
      <c r="W51" s="18" t="str">
        <f>Citrate!C147</f>
        <v>NaN</v>
      </c>
      <c r="X51" s="3" t="str">
        <f>Acetate!B147</f>
        <v>NaN</v>
      </c>
      <c r="Y51" s="3" t="str">
        <f>Acetate!C147</f>
        <v>NaN</v>
      </c>
      <c r="Z51" s="18">
        <f>Glycerol!B147</f>
        <v>3.6677576747462193E-2</v>
      </c>
      <c r="AA51" s="18">
        <f>Glycerol!C147</f>
        <v>2.7038042634949262E-3</v>
      </c>
      <c r="AB51" s="3">
        <f>BCAAs!B147</f>
        <v>8.1855390834161545E-2</v>
      </c>
      <c r="AC51" s="3">
        <f>BCAAs!C147</f>
        <v>9.7756068321171747E-3</v>
      </c>
      <c r="AD51" s="18" t="str">
        <f>'6AAs'!B147</f>
        <v>NaN</v>
      </c>
      <c r="AE51" s="18" t="str">
        <f>'6AAs'!C147</f>
        <v>NaN</v>
      </c>
    </row>
    <row r="52" spans="1:31">
      <c r="A52" t="s">
        <v>58</v>
      </c>
      <c r="B52" s="18" t="str">
        <f>Glucose!B148</f>
        <v>NaN</v>
      </c>
      <c r="C52" s="18" t="str">
        <f>Glucose!C148</f>
        <v>NaN</v>
      </c>
      <c r="D52" s="3" t="str">
        <f>Lactate!B148</f>
        <v>NaN</v>
      </c>
      <c r="E52" s="3" t="str">
        <f>Lactate!C148</f>
        <v>NaN</v>
      </c>
      <c r="F52" s="18" t="str">
        <f>Glutamine!B148</f>
        <v>NaN</v>
      </c>
      <c r="G52" s="18" t="str">
        <f>Glutamine!C148</f>
        <v>NaN</v>
      </c>
      <c r="H52" s="3" t="str">
        <f>Alanine!B148</f>
        <v>NaN</v>
      </c>
      <c r="I52" s="3" t="str">
        <f>Alanine!C148</f>
        <v>NaN</v>
      </c>
      <c r="J52" s="18" t="str">
        <f>'3HB'!B148</f>
        <v>NaN</v>
      </c>
      <c r="K52" s="18" t="str">
        <f>'3HB'!C148</f>
        <v>NaN</v>
      </c>
      <c r="L52" s="3" t="str">
        <f>Palmitate!B148</f>
        <v>NaN</v>
      </c>
      <c r="M52" s="3" t="str">
        <f>Palmitate!C148</f>
        <v>NaN</v>
      </c>
      <c r="N52" s="18" t="str">
        <f>Oleate!B148</f>
        <v>NaN</v>
      </c>
      <c r="O52" s="18" t="str">
        <f>Oleate!C148</f>
        <v>NaN</v>
      </c>
      <c r="P52" s="3" t="str">
        <f>Linoleate!B148</f>
        <v>NaN</v>
      </c>
      <c r="Q52" s="3" t="str">
        <f>Linoleate!C148</f>
        <v>NaN</v>
      </c>
      <c r="R52" s="18" t="str">
        <f>Serine!B148</f>
        <v>NaN</v>
      </c>
      <c r="S52" s="18" t="str">
        <f>Serine!C148</f>
        <v>NaN</v>
      </c>
      <c r="T52" s="3" t="str">
        <f>Glycine!B148</f>
        <v>NaN</v>
      </c>
      <c r="U52" s="3" t="str">
        <f>Glycine!C148</f>
        <v>NaN</v>
      </c>
      <c r="V52" s="18" t="str">
        <f>Citrate!B148</f>
        <v>NaN</v>
      </c>
      <c r="W52" s="18" t="str">
        <f>Citrate!C148</f>
        <v>NaN</v>
      </c>
      <c r="X52" s="3" t="str">
        <f>Acetate!B148</f>
        <v>NaN</v>
      </c>
      <c r="Y52" s="3" t="str">
        <f>Acetate!C148</f>
        <v>NaN</v>
      </c>
      <c r="Z52" s="18" t="str">
        <f>Glycerol!B148</f>
        <v>NaN</v>
      </c>
      <c r="AA52" s="18" t="str">
        <f>Glycerol!C148</f>
        <v>NaN</v>
      </c>
      <c r="AB52" s="3" t="str">
        <f>BCAAs!B148</f>
        <v>NaN</v>
      </c>
      <c r="AC52" s="3" t="str">
        <f>BCAAs!C148</f>
        <v>NaN</v>
      </c>
      <c r="AD52" s="18" t="str">
        <f>'6AAs'!B148</f>
        <v>NaN</v>
      </c>
      <c r="AE52" s="18" t="str">
        <f>'6AAs'!C148</f>
        <v>NaN</v>
      </c>
    </row>
    <row r="53" spans="1:31">
      <c r="B53" s="18"/>
      <c r="C53" s="18"/>
      <c r="D53" s="3"/>
      <c r="E53" s="3"/>
      <c r="F53" s="18"/>
      <c r="G53" s="18"/>
      <c r="H53" s="3"/>
      <c r="I53" s="3"/>
      <c r="J53" s="18"/>
      <c r="K53" s="18"/>
      <c r="L53" s="3"/>
      <c r="M53" s="3"/>
      <c r="N53" s="18"/>
      <c r="O53" s="18"/>
      <c r="P53" s="3"/>
      <c r="Q53" s="3"/>
      <c r="R53" s="18"/>
      <c r="S53" s="18"/>
      <c r="T53" s="3"/>
      <c r="U53" s="3"/>
      <c r="V53" s="18"/>
      <c r="W53" s="18"/>
      <c r="X53" s="3"/>
      <c r="Y53" s="3"/>
      <c r="Z53" s="18"/>
      <c r="AA53" s="18"/>
      <c r="AB53" s="3"/>
      <c r="AC53" s="3"/>
      <c r="AD53" s="18"/>
      <c r="AE53" s="18"/>
    </row>
    <row r="54" spans="1:31">
      <c r="B54" s="18"/>
      <c r="C54" s="18"/>
      <c r="D54" s="3"/>
      <c r="E54" s="3"/>
      <c r="F54" s="18"/>
      <c r="G54" s="18"/>
      <c r="H54" s="3"/>
      <c r="I54" s="3"/>
      <c r="J54" s="18"/>
      <c r="K54" s="18"/>
      <c r="L54" s="3"/>
      <c r="M54" s="3"/>
      <c r="N54" s="18"/>
      <c r="O54" s="18"/>
      <c r="P54" s="3"/>
      <c r="Q54" s="3"/>
      <c r="R54" s="18"/>
      <c r="S54" s="18"/>
      <c r="T54" s="3"/>
      <c r="U54" s="3"/>
      <c r="V54" s="18"/>
      <c r="W54" s="18"/>
      <c r="X54" s="3"/>
      <c r="Y54" s="3"/>
      <c r="Z54" s="18"/>
      <c r="AA54" s="18"/>
      <c r="AB54" s="3"/>
      <c r="AC54" s="3"/>
    </row>
    <row r="55" spans="1:31">
      <c r="B55" s="18"/>
      <c r="C55" s="18"/>
      <c r="D55" s="3"/>
      <c r="E55" s="3"/>
      <c r="F55" s="18"/>
      <c r="G55" s="18"/>
      <c r="H55" s="3"/>
      <c r="I55" s="3"/>
      <c r="J55" s="18"/>
      <c r="K55" s="18"/>
      <c r="L55" s="3"/>
      <c r="M55" s="3"/>
      <c r="N55" s="18"/>
      <c r="O55" s="18"/>
      <c r="P55" s="3"/>
      <c r="Q55" s="3"/>
      <c r="R55" s="18"/>
      <c r="S55" s="18"/>
      <c r="T55" s="3"/>
      <c r="U55" s="3"/>
      <c r="V55" s="18"/>
      <c r="W55" s="18"/>
      <c r="X55" s="3"/>
      <c r="Y55" s="3"/>
      <c r="Z55" s="18"/>
      <c r="AA55" s="18"/>
      <c r="AB55" s="3"/>
      <c r="AC55" s="3"/>
    </row>
  </sheetData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F148"/>
  <sheetViews>
    <sheetView tabSelected="1" topLeftCell="A19" zoomScale="109" zoomScaleNormal="112" workbookViewId="0">
      <selection activeCell="F51" sqref="F51"/>
    </sheetView>
  </sheetViews>
  <sheetFormatPr baseColWidth="10" defaultRowHeight="16"/>
  <cols>
    <col min="1" max="1" width="17.6640625" bestFit="1" customWidth="1"/>
    <col min="5" max="5" width="19.5" customWidth="1"/>
    <col min="9" max="9" width="20.83203125" customWidth="1"/>
    <col min="13" max="13" width="24.1640625" customWidth="1"/>
    <col min="17" max="17" width="22" customWidth="1"/>
    <col min="21" max="21" width="24.6640625" customWidth="1"/>
    <col min="23" max="23" width="22.1640625" customWidth="1"/>
    <col min="27" max="27" width="21.1640625" customWidth="1"/>
    <col min="29" max="29" width="27.83203125" customWidth="1"/>
    <col min="32" max="32" width="20.83203125" customWidth="1"/>
    <col min="39" max="39" width="17.1640625" customWidth="1"/>
    <col min="40" max="40" width="19.83203125" customWidth="1"/>
    <col min="43" max="43" width="20.6640625" customWidth="1"/>
    <col min="44" max="44" width="21.83203125" customWidth="1"/>
  </cols>
  <sheetData>
    <row r="1" spans="1:21">
      <c r="A1" s="1" t="s">
        <v>32</v>
      </c>
      <c r="E1" s="74">
        <v>42551</v>
      </c>
      <c r="I1" s="74">
        <v>42551</v>
      </c>
      <c r="M1" s="74">
        <v>42587</v>
      </c>
      <c r="Q1" s="74">
        <v>42587</v>
      </c>
      <c r="U1" s="74">
        <v>42599</v>
      </c>
    </row>
    <row r="2" spans="1:21">
      <c r="A2" s="1" t="s">
        <v>33</v>
      </c>
      <c r="E2" s="75" t="s">
        <v>39</v>
      </c>
      <c r="I2" s="75" t="s">
        <v>39</v>
      </c>
      <c r="M2" s="75" t="s">
        <v>39</v>
      </c>
      <c r="Q2" s="75" t="s">
        <v>39</v>
      </c>
      <c r="U2" s="75" t="s">
        <v>39</v>
      </c>
    </row>
    <row r="3" spans="1:21">
      <c r="A3" s="1" t="s">
        <v>34</v>
      </c>
      <c r="E3" s="76" t="s">
        <v>40</v>
      </c>
      <c r="I3" s="76" t="s">
        <v>90</v>
      </c>
      <c r="M3" s="76" t="s">
        <v>178</v>
      </c>
      <c r="Q3" s="76" t="s">
        <v>180</v>
      </c>
      <c r="U3" s="76" t="s">
        <v>51</v>
      </c>
    </row>
    <row r="4" spans="1:21">
      <c r="A4" s="1" t="s">
        <v>35</v>
      </c>
      <c r="E4" s="75" t="s">
        <v>41</v>
      </c>
      <c r="I4" s="75" t="s">
        <v>41</v>
      </c>
      <c r="M4" s="75" t="s">
        <v>41</v>
      </c>
      <c r="Q4" s="75" t="s">
        <v>41</v>
      </c>
      <c r="U4" s="75" t="s">
        <v>41</v>
      </c>
    </row>
    <row r="5" spans="1:21">
      <c r="A5" s="1" t="s">
        <v>36</v>
      </c>
      <c r="E5" s="77" t="s">
        <v>175</v>
      </c>
      <c r="I5" s="77" t="s">
        <v>175</v>
      </c>
      <c r="M5" s="77" t="s">
        <v>175</v>
      </c>
      <c r="Q5" s="77" t="s">
        <v>175</v>
      </c>
      <c r="U5" s="77" t="s">
        <v>175</v>
      </c>
    </row>
    <row r="6" spans="1:21">
      <c r="A6" s="1" t="s">
        <v>37</v>
      </c>
      <c r="E6" s="44">
        <v>200</v>
      </c>
      <c r="I6" s="44">
        <v>200</v>
      </c>
      <c r="M6" s="44">
        <v>200</v>
      </c>
      <c r="Q6" s="44">
        <v>200</v>
      </c>
      <c r="U6" s="44">
        <v>200</v>
      </c>
    </row>
    <row r="7" spans="1:21">
      <c r="A7" s="1" t="s">
        <v>38</v>
      </c>
      <c r="E7" s="44">
        <v>0.1</v>
      </c>
      <c r="I7" s="44">
        <v>0.1</v>
      </c>
      <c r="M7" s="44">
        <v>0.1</v>
      </c>
      <c r="Q7" s="44">
        <v>0.1</v>
      </c>
      <c r="U7" s="44">
        <v>0.1</v>
      </c>
    </row>
    <row r="8" spans="1:21">
      <c r="A8" s="1" t="s">
        <v>43</v>
      </c>
      <c r="E8">
        <f>AVERAGE(0.1057,0.0893)</f>
        <v>9.7500000000000003E-2</v>
      </c>
      <c r="I8">
        <f>AVERAGE(0.093458739,0.077063051)</f>
        <v>8.5260895000000003E-2</v>
      </c>
      <c r="M8">
        <f>AVERAGE(0.136188665,0.121714775)</f>
        <v>0.12895171999999999</v>
      </c>
      <c r="Q8">
        <f>AVERAGE(0.14372084,0.130972383)</f>
        <v>0.13734661149999999</v>
      </c>
      <c r="U8">
        <f>AVERAGE(0.150802201,0.158904472)</f>
        <v>0.15485333649999999</v>
      </c>
    </row>
    <row r="9" spans="1:21">
      <c r="A9" s="1" t="s">
        <v>53</v>
      </c>
      <c r="E9">
        <f>AVERAGE(E19:F19)</f>
        <v>0.10982500000000001</v>
      </c>
      <c r="I9">
        <f>AVERAGE(I19:J19)</f>
        <v>9.7977000000000009E-2</v>
      </c>
      <c r="M9">
        <f>AVERAGE(M19:N19)</f>
        <v>0.15152500000000002</v>
      </c>
      <c r="Q9">
        <f>AVERAGE(Q19:R19)</f>
        <v>0.17038999999999999</v>
      </c>
      <c r="U9">
        <f>AVERAGE(U19:V19)</f>
        <v>0.18426999999999999</v>
      </c>
    </row>
    <row r="10" spans="1:21">
      <c r="A10" s="1" t="s">
        <v>44</v>
      </c>
      <c r="E10" s="21">
        <f>E6*E7*(1-E8)/E8</f>
        <v>185.12820512820514</v>
      </c>
      <c r="I10" s="21">
        <f>I6*I7*(1-I8)/I8</f>
        <v>214.57412686085453</v>
      </c>
      <c r="M10" s="21">
        <f>M6*M7*(1-M8)/M8</f>
        <v>135.09680677388405</v>
      </c>
      <c r="Q10" s="21">
        <f>Q6*Q7*(1-Q8)/Q8</f>
        <v>125.61698888363185</v>
      </c>
      <c r="U10" s="21">
        <f>U6*U7*(1-U8)/U8</f>
        <v>109.15446610347979</v>
      </c>
    </row>
    <row r="11" spans="1:21">
      <c r="A11" s="1" t="s">
        <v>292</v>
      </c>
      <c r="C11" s="43">
        <f>AVERAGE(E11:U11)</f>
        <v>0.82980937612634409</v>
      </c>
      <c r="E11">
        <f>(1-E9)*E8/E9/(1-E8)</f>
        <v>0.87565208563359109</v>
      </c>
      <c r="I11">
        <f>(1-I9)*I8/I9/(1-I8)</f>
        <v>0.85811622911028707</v>
      </c>
      <c r="M11">
        <f>(1-M9)*M8/M9/(1-M8)</f>
        <v>0.82897163324598355</v>
      </c>
      <c r="Q11">
        <f>(1-Q9)*Q8/Q9/(1-Q8)</f>
        <v>0.77519594484453869</v>
      </c>
      <c r="U11">
        <f>(1-U9)*U8/U9/(1-U8)</f>
        <v>0.8111109877973206</v>
      </c>
    </row>
    <row r="12" spans="1:21">
      <c r="A12" s="1" t="s">
        <v>33</v>
      </c>
      <c r="E12" t="s">
        <v>39</v>
      </c>
      <c r="I12" t="s">
        <v>39</v>
      </c>
      <c r="M12" t="s">
        <v>39</v>
      </c>
      <c r="Q12" t="s">
        <v>39</v>
      </c>
      <c r="U12" t="s">
        <v>39</v>
      </c>
    </row>
    <row r="13" spans="1:21">
      <c r="A13" s="1" t="s">
        <v>45</v>
      </c>
      <c r="E13" t="s">
        <v>47</v>
      </c>
      <c r="I13" t="s">
        <v>47</v>
      </c>
      <c r="M13" t="s">
        <v>47</v>
      </c>
      <c r="Q13" t="s">
        <v>47</v>
      </c>
      <c r="U13" t="s">
        <v>47</v>
      </c>
    </row>
    <row r="14" spans="1:21" ht="34">
      <c r="A14" s="12" t="s">
        <v>31</v>
      </c>
      <c r="E14" s="11" t="s">
        <v>176</v>
      </c>
      <c r="I14" s="11" t="s">
        <v>176</v>
      </c>
      <c r="M14" s="11" t="s">
        <v>179</v>
      </c>
      <c r="Q14" s="11" t="s">
        <v>179</v>
      </c>
      <c r="U14" s="11" t="s">
        <v>181</v>
      </c>
    </row>
    <row r="16" spans="1:21">
      <c r="A16" s="1" t="s">
        <v>50</v>
      </c>
      <c r="E16" t="s">
        <v>177</v>
      </c>
      <c r="I16" t="s">
        <v>177</v>
      </c>
      <c r="M16" t="s">
        <v>177</v>
      </c>
      <c r="Q16" t="s">
        <v>177</v>
      </c>
      <c r="U16" t="s">
        <v>177</v>
      </c>
    </row>
    <row r="17" spans="1:23">
      <c r="B17" s="1" t="s">
        <v>5</v>
      </c>
      <c r="C17" s="1" t="s">
        <v>6</v>
      </c>
      <c r="D17" s="1" t="s">
        <v>55</v>
      </c>
    </row>
    <row r="18" spans="1:23">
      <c r="A18" s="1" t="s">
        <v>0</v>
      </c>
    </row>
    <row r="19" spans="1:23">
      <c r="A19" t="s">
        <v>60</v>
      </c>
      <c r="B19">
        <f>AVERAGE(E19/E$9,F19/E$9,I19/I$9,J19/I$9,M19/M$9,N19/M$9,Q19/Q$9,R19/Q$9,U19/U$9,V19/U$9)</f>
        <v>1</v>
      </c>
      <c r="C19">
        <f>STDEV(E19/E$9,F19/E$9,I19/I$9,J19/I$9,M19/M$9,N19/M$9,Q19/Q$9,R19/Q$9,U19/U$9,V19/U$9)/SQRT(D19)</f>
        <v>2.2032872108515764E-2</v>
      </c>
      <c r="D19">
        <f>COUNT(E19:V19)/2</f>
        <v>7</v>
      </c>
      <c r="E19">
        <v>0.11698</v>
      </c>
      <c r="F19">
        <v>0.10267</v>
      </c>
      <c r="G19" s="17">
        <f>AVERAGE(E19:F19)</f>
        <v>0.10982500000000001</v>
      </c>
      <c r="I19">
        <v>0.10641</v>
      </c>
      <c r="J19">
        <v>8.9543999999999999E-2</v>
      </c>
      <c r="K19" s="17">
        <f>AVERAGE(I19:J19)</f>
        <v>9.7977000000000009E-2</v>
      </c>
      <c r="M19">
        <v>0.15781000000000001</v>
      </c>
      <c r="N19">
        <v>0.14524000000000001</v>
      </c>
      <c r="O19" s="17">
        <f>AVERAGE(M19:N19)</f>
        <v>0.15152500000000002</v>
      </c>
      <c r="Q19">
        <v>0.17609</v>
      </c>
      <c r="R19">
        <v>0.16469</v>
      </c>
      <c r="S19" s="17">
        <f>AVERAGE(Q19:R19)</f>
        <v>0.17038999999999999</v>
      </c>
      <c r="U19">
        <v>0.17906</v>
      </c>
      <c r="V19">
        <v>0.18948000000000001</v>
      </c>
      <c r="W19" s="17">
        <f>AVERAGE(U19:V19)</f>
        <v>0.18426999999999999</v>
      </c>
    </row>
    <row r="20" spans="1:23">
      <c r="A20" t="s">
        <v>61</v>
      </c>
      <c r="B20">
        <f t="shared" ref="B20:B29" si="0">AVERAGE(E20/E$9,F20/E$9,I20/I$9,J20/I$9,M20/M$9,N20/M$9,Q20/Q$9,R20/Q$9,U20/U$9,V20/U$9)</f>
        <v>0.64790843456567537</v>
      </c>
      <c r="C20">
        <f t="shared" ref="C20:C29" si="1">STDEV(E20/E$9,F20/E$9,I20/I$9,J20/I$9,M20/M$9,N20/M$9,Q20/Q$9,R20/Q$9,U20/U$9,V20/U$9)/SQRT(D20)</f>
        <v>1.7780970163920898E-2</v>
      </c>
      <c r="D20">
        <f t="shared" ref="D20:D29" si="2">COUNT(E20:V20)/2</f>
        <v>7</v>
      </c>
      <c r="E20">
        <v>7.1618000000000001E-2</v>
      </c>
      <c r="F20">
        <v>7.3561000000000001E-2</v>
      </c>
      <c r="G20" s="17">
        <f t="shared" ref="G20:G83" si="3">AVERAGE(E20:F20)</f>
        <v>7.2589500000000001E-2</v>
      </c>
      <c r="I20">
        <v>7.0056999999999994E-2</v>
      </c>
      <c r="J20">
        <v>7.0508000000000001E-2</v>
      </c>
      <c r="K20" s="17">
        <f t="shared" ref="K20:K33" si="4">AVERAGE(I20:J20)</f>
        <v>7.0282499999999998E-2</v>
      </c>
      <c r="M20">
        <v>0.10005</v>
      </c>
      <c r="N20">
        <v>9.0581999999999996E-2</v>
      </c>
      <c r="O20" s="17">
        <f t="shared" ref="O20:O33" si="5">AVERAGE(M20:N20)</f>
        <v>9.5315999999999998E-2</v>
      </c>
      <c r="Q20">
        <v>0.10661</v>
      </c>
      <c r="R20">
        <v>9.9303000000000002E-2</v>
      </c>
      <c r="S20" s="17">
        <f t="shared" ref="S20:S33" si="6">AVERAGE(Q20:R20)</f>
        <v>0.10295650000000001</v>
      </c>
      <c r="U20">
        <v>0.11054</v>
      </c>
      <c r="V20">
        <v>0.12089</v>
      </c>
      <c r="W20" s="17">
        <f t="shared" ref="W20:W33" si="7">AVERAGE(U20:V20)</f>
        <v>0.115715</v>
      </c>
    </row>
    <row r="21" spans="1:23">
      <c r="A21" t="s">
        <v>62</v>
      </c>
      <c r="B21">
        <f t="shared" si="0"/>
        <v>0.12237446148488847</v>
      </c>
      <c r="C21">
        <f t="shared" si="1"/>
        <v>1.0740744973081877E-2</v>
      </c>
      <c r="D21">
        <f t="shared" si="2"/>
        <v>7</v>
      </c>
      <c r="E21">
        <v>1.4931E-2</v>
      </c>
      <c r="F21">
        <v>1.5802E-2</v>
      </c>
      <c r="G21" s="17">
        <f t="shared" si="3"/>
        <v>1.53665E-2</v>
      </c>
      <c r="I21">
        <v>1.5017000000000001E-2</v>
      </c>
      <c r="J21">
        <v>1.5696999999999999E-2</v>
      </c>
      <c r="K21" s="17">
        <f t="shared" si="4"/>
        <v>1.5356999999999999E-2</v>
      </c>
      <c r="M21">
        <v>1.4617E-2</v>
      </c>
      <c r="N21">
        <v>1.6386999999999999E-2</v>
      </c>
      <c r="O21" s="17">
        <f t="shared" si="5"/>
        <v>1.5501999999999998E-2</v>
      </c>
      <c r="Q21">
        <v>2.1586000000000001E-2</v>
      </c>
      <c r="R21">
        <v>2.2357999999999999E-2</v>
      </c>
      <c r="S21" s="17">
        <f t="shared" si="6"/>
        <v>2.1971999999999998E-2</v>
      </c>
      <c r="U21">
        <v>1.3167999999999999E-2</v>
      </c>
      <c r="V21">
        <v>1.7773000000000001E-2</v>
      </c>
      <c r="W21" s="17">
        <f t="shared" si="7"/>
        <v>1.54705E-2</v>
      </c>
    </row>
    <row r="22" spans="1:23">
      <c r="A22" t="s">
        <v>63</v>
      </c>
      <c r="B22">
        <f t="shared" si="0"/>
        <v>0.44702171079025027</v>
      </c>
      <c r="C22">
        <f t="shared" si="1"/>
        <v>1.4909844519505775E-2</v>
      </c>
      <c r="D22">
        <f t="shared" si="2"/>
        <v>7</v>
      </c>
      <c r="E22">
        <v>4.6335000000000001E-2</v>
      </c>
      <c r="F22">
        <v>4.6708E-2</v>
      </c>
      <c r="G22" s="17">
        <f t="shared" si="3"/>
        <v>4.65215E-2</v>
      </c>
      <c r="I22">
        <v>5.2255000000000003E-2</v>
      </c>
      <c r="J22">
        <v>4.6591E-2</v>
      </c>
      <c r="K22" s="17">
        <f t="shared" si="4"/>
        <v>4.9423000000000002E-2</v>
      </c>
      <c r="M22">
        <v>6.7291000000000004E-2</v>
      </c>
      <c r="N22">
        <v>6.5618999999999997E-2</v>
      </c>
      <c r="O22" s="17">
        <f t="shared" si="5"/>
        <v>6.6455E-2</v>
      </c>
      <c r="Q22">
        <v>8.1462000000000007E-2</v>
      </c>
      <c r="R22">
        <v>6.7445000000000005E-2</v>
      </c>
      <c r="S22" s="17">
        <f t="shared" si="6"/>
        <v>7.4453500000000006E-2</v>
      </c>
      <c r="U22">
        <v>7.7016000000000001E-2</v>
      </c>
      <c r="V22">
        <v>8.2025000000000001E-2</v>
      </c>
      <c r="W22" s="17">
        <f t="shared" si="7"/>
        <v>7.9520499999999994E-2</v>
      </c>
    </row>
    <row r="23" spans="1:23">
      <c r="A23" t="s">
        <v>64</v>
      </c>
      <c r="B23">
        <f t="shared" si="0"/>
        <v>6.8719553491184762E-3</v>
      </c>
      <c r="C23">
        <f t="shared" si="1"/>
        <v>2.0126254568460589E-3</v>
      </c>
      <c r="D23">
        <f t="shared" si="2"/>
        <v>7</v>
      </c>
      <c r="E23">
        <v>1.5E-3</v>
      </c>
      <c r="F23">
        <v>5.6742000000000001E-4</v>
      </c>
      <c r="G23" s="17">
        <f t="shared" si="3"/>
        <v>1.03371E-3</v>
      </c>
      <c r="I23">
        <v>1.7746000000000001E-3</v>
      </c>
      <c r="J23">
        <v>7.3015999999999999E-4</v>
      </c>
      <c r="K23" s="17">
        <f t="shared" si="4"/>
        <v>1.25238E-3</v>
      </c>
      <c r="M23">
        <v>2.1871E-4</v>
      </c>
      <c r="N23">
        <v>1.0877E-3</v>
      </c>
      <c r="O23" s="17">
        <f t="shared" si="5"/>
        <v>6.5320500000000002E-4</v>
      </c>
      <c r="Q23">
        <v>1.0901000000000001E-3</v>
      </c>
      <c r="R23">
        <v>8.6262000000000003E-4</v>
      </c>
      <c r="S23" s="17">
        <f t="shared" si="6"/>
        <v>9.7636000000000012E-4</v>
      </c>
      <c r="U23">
        <v>5.4553999999999996E-4</v>
      </c>
      <c r="V23">
        <v>2.3724999999999999E-4</v>
      </c>
      <c r="W23" s="17">
        <f t="shared" si="7"/>
        <v>3.91395E-4</v>
      </c>
    </row>
    <row r="24" spans="1:23">
      <c r="A24" t="s">
        <v>65</v>
      </c>
      <c r="B24">
        <f t="shared" si="0"/>
        <v>7.5895517910307838E-5</v>
      </c>
      <c r="C24">
        <f t="shared" si="1"/>
        <v>4.156760087140766E-5</v>
      </c>
      <c r="D24">
        <f t="shared" si="2"/>
        <v>7</v>
      </c>
      <c r="E24" s="15">
        <v>2.0222999999999999E-5</v>
      </c>
      <c r="F24">
        <v>0</v>
      </c>
      <c r="G24" s="17">
        <f t="shared" si="3"/>
        <v>1.01115E-5</v>
      </c>
      <c r="I24" s="15">
        <v>9.4876000000000004E-6</v>
      </c>
      <c r="J24" s="15">
        <v>2.9966000000000001E-5</v>
      </c>
      <c r="K24" s="17">
        <f t="shared" si="4"/>
        <v>1.9726800000000002E-5</v>
      </c>
      <c r="M24">
        <v>0</v>
      </c>
      <c r="N24">
        <v>0</v>
      </c>
      <c r="O24" s="17">
        <f t="shared" si="5"/>
        <v>0</v>
      </c>
      <c r="Q24">
        <v>0</v>
      </c>
      <c r="R24" s="15">
        <v>2.9329999999999999E-5</v>
      </c>
      <c r="S24" s="17">
        <f t="shared" si="6"/>
        <v>1.4664999999999999E-5</v>
      </c>
      <c r="U24">
        <v>0</v>
      </c>
      <c r="V24">
        <v>0</v>
      </c>
      <c r="W24" s="17">
        <f t="shared" si="7"/>
        <v>0</v>
      </c>
    </row>
    <row r="25" spans="1:23">
      <c r="A25" t="s">
        <v>66</v>
      </c>
      <c r="B25">
        <f t="shared" si="0"/>
        <v>1.240860218339604E-4</v>
      </c>
      <c r="C25">
        <f t="shared" si="1"/>
        <v>6.4894752422716857E-5</v>
      </c>
      <c r="D25">
        <f t="shared" si="2"/>
        <v>7</v>
      </c>
      <c r="E25" s="15">
        <v>7.5090999999999998E-6</v>
      </c>
      <c r="F25">
        <v>0</v>
      </c>
      <c r="G25" s="17">
        <f t="shared" si="3"/>
        <v>3.7545499999999999E-6</v>
      </c>
      <c r="I25" s="15">
        <v>3.4714000000000002E-7</v>
      </c>
      <c r="J25" s="15">
        <v>2.7906999999999999E-5</v>
      </c>
      <c r="K25" s="17">
        <f t="shared" si="4"/>
        <v>1.412707E-5</v>
      </c>
      <c r="M25" s="15">
        <v>8.2204000000000001E-5</v>
      </c>
      <c r="N25">
        <v>0</v>
      </c>
      <c r="O25" s="17">
        <f t="shared" si="5"/>
        <v>4.1102000000000001E-5</v>
      </c>
      <c r="Q25" s="15">
        <v>1.8607E-5</v>
      </c>
      <c r="R25">
        <v>0</v>
      </c>
      <c r="S25" s="17">
        <f t="shared" si="6"/>
        <v>9.3034999999999999E-6</v>
      </c>
      <c r="U25" s="15">
        <v>1.9468999999999999E-5</v>
      </c>
      <c r="V25" s="15">
        <v>2.3354999999999999E-5</v>
      </c>
      <c r="W25" s="17">
        <f t="shared" si="7"/>
        <v>2.1411999999999998E-5</v>
      </c>
    </row>
    <row r="26" spans="1:23">
      <c r="A26" t="s">
        <v>67</v>
      </c>
      <c r="B26">
        <f t="shared" si="0"/>
        <v>0</v>
      </c>
      <c r="C26">
        <f t="shared" si="1"/>
        <v>0</v>
      </c>
      <c r="D26">
        <f t="shared" si="2"/>
        <v>7</v>
      </c>
      <c r="E26">
        <v>0</v>
      </c>
      <c r="F26">
        <v>0</v>
      </c>
      <c r="G26" s="17">
        <f t="shared" si="3"/>
        <v>0</v>
      </c>
      <c r="I26">
        <v>0</v>
      </c>
      <c r="J26">
        <v>0</v>
      </c>
      <c r="K26" s="17">
        <f t="shared" si="4"/>
        <v>0</v>
      </c>
      <c r="M26">
        <v>0</v>
      </c>
      <c r="N26">
        <v>0</v>
      </c>
      <c r="O26" s="17">
        <f t="shared" si="5"/>
        <v>0</v>
      </c>
      <c r="Q26">
        <v>0</v>
      </c>
      <c r="R26">
        <v>0</v>
      </c>
      <c r="S26" s="17">
        <f t="shared" si="6"/>
        <v>0</v>
      </c>
      <c r="U26">
        <v>0</v>
      </c>
      <c r="V26">
        <v>0</v>
      </c>
      <c r="W26" s="17">
        <f t="shared" si="7"/>
        <v>0</v>
      </c>
    </row>
    <row r="27" spans="1:23">
      <c r="A27" t="s">
        <v>71</v>
      </c>
      <c r="B27">
        <f t="shared" si="0"/>
        <v>9.8022080559933819E-2</v>
      </c>
      <c r="C27">
        <f t="shared" si="1"/>
        <v>9.0668805820886128E-3</v>
      </c>
      <c r="D27">
        <f t="shared" si="2"/>
        <v>7</v>
      </c>
      <c r="E27">
        <v>1.2282E-2</v>
      </c>
      <c r="F27">
        <v>1.338E-2</v>
      </c>
      <c r="G27" s="17">
        <f t="shared" si="3"/>
        <v>1.2830999999999999E-2</v>
      </c>
      <c r="I27">
        <v>1.1872000000000001E-2</v>
      </c>
      <c r="J27">
        <v>1.0926E-2</v>
      </c>
      <c r="K27" s="17">
        <f t="shared" si="4"/>
        <v>1.1398999999999999E-2</v>
      </c>
      <c r="M27">
        <v>1.1801000000000001E-2</v>
      </c>
      <c r="N27">
        <v>1.2529999999999999E-2</v>
      </c>
      <c r="O27" s="17">
        <f t="shared" si="5"/>
        <v>1.2165499999999999E-2</v>
      </c>
      <c r="Q27">
        <v>2.0611000000000001E-2</v>
      </c>
      <c r="R27">
        <v>1.8144E-2</v>
      </c>
      <c r="S27" s="17">
        <f t="shared" si="6"/>
        <v>1.9377499999999999E-2</v>
      </c>
      <c r="U27">
        <v>1.1448E-2</v>
      </c>
      <c r="V27">
        <v>1.1742000000000001E-2</v>
      </c>
      <c r="W27" s="17">
        <f t="shared" si="7"/>
        <v>1.1595000000000001E-2</v>
      </c>
    </row>
    <row r="28" spans="1:23">
      <c r="A28" t="s">
        <v>72</v>
      </c>
      <c r="B28">
        <f t="shared" si="0"/>
        <v>3.9638624822276522E-2</v>
      </c>
      <c r="C28">
        <f t="shared" si="1"/>
        <v>1.2097855670500122E-2</v>
      </c>
      <c r="D28">
        <f t="shared" si="2"/>
        <v>7</v>
      </c>
      <c r="E28">
        <v>1.9446999999999999E-3</v>
      </c>
      <c r="F28">
        <v>1.4473999999999999E-3</v>
      </c>
      <c r="G28" s="17">
        <f t="shared" si="3"/>
        <v>1.6960499999999999E-3</v>
      </c>
      <c r="I28">
        <v>7.6654000000000002E-4</v>
      </c>
      <c r="J28">
        <v>2.5084999999999999E-3</v>
      </c>
      <c r="K28" s="17">
        <f t="shared" si="4"/>
        <v>1.6375199999999999E-3</v>
      </c>
      <c r="M28">
        <v>1.1363E-2</v>
      </c>
      <c r="N28">
        <v>1.0699E-2</v>
      </c>
      <c r="O28" s="17">
        <f t="shared" si="5"/>
        <v>1.1030999999999999E-2</v>
      </c>
      <c r="Q28">
        <v>1.6112000000000001E-2</v>
      </c>
      <c r="R28">
        <v>1.0233000000000001E-2</v>
      </c>
      <c r="S28" s="17">
        <f t="shared" si="6"/>
        <v>1.31725E-2</v>
      </c>
      <c r="U28">
        <v>1.8940999999999999E-3</v>
      </c>
      <c r="V28">
        <v>3.9763000000000003E-3</v>
      </c>
      <c r="W28" s="17">
        <f t="shared" si="7"/>
        <v>2.9352000000000002E-3</v>
      </c>
    </row>
    <row r="29" spans="1:23">
      <c r="A29" t="s">
        <v>69</v>
      </c>
      <c r="B29">
        <f t="shared" si="0"/>
        <v>0.11567133372623004</v>
      </c>
      <c r="C29">
        <f t="shared" si="1"/>
        <v>1.1397593272697935E-2</v>
      </c>
      <c r="D29">
        <f t="shared" si="2"/>
        <v>7</v>
      </c>
      <c r="E29">
        <v>1.3610000000000001E-2</v>
      </c>
      <c r="F29">
        <v>1.5067000000000001E-2</v>
      </c>
      <c r="G29" s="17">
        <f t="shared" si="3"/>
        <v>1.4338500000000001E-2</v>
      </c>
      <c r="I29">
        <v>1.5703999999999999E-2</v>
      </c>
      <c r="J29">
        <v>1.4937000000000001E-2</v>
      </c>
      <c r="K29" s="17">
        <f t="shared" si="4"/>
        <v>1.5320500000000001E-2</v>
      </c>
      <c r="M29">
        <v>1.3445E-2</v>
      </c>
      <c r="N29">
        <v>1.585E-2</v>
      </c>
      <c r="O29" s="17">
        <f t="shared" si="5"/>
        <v>1.4647500000000001E-2</v>
      </c>
      <c r="Q29">
        <v>2.1035999999999999E-2</v>
      </c>
      <c r="R29">
        <v>1.9746E-2</v>
      </c>
      <c r="S29" s="17">
        <f t="shared" si="6"/>
        <v>2.0390999999999999E-2</v>
      </c>
      <c r="U29">
        <v>1.2488000000000001E-2</v>
      </c>
      <c r="V29">
        <v>1.5186E-2</v>
      </c>
      <c r="W29" s="17">
        <f t="shared" si="7"/>
        <v>1.3837E-2</v>
      </c>
    </row>
    <row r="30" spans="1:23">
      <c r="A30" t="s">
        <v>68</v>
      </c>
      <c r="B30" t="e">
        <f>AVERAGE(#REF!/#REF!,#REF!/#REF!,#REF!/#REF!)</f>
        <v>#REF!</v>
      </c>
      <c r="C30" t="e">
        <f>STDEV(#REF!/#REF!,#REF!/#REF!,#REF!/#REF!)/SQRT(D30)</f>
        <v>#REF!</v>
      </c>
      <c r="D30">
        <v>3</v>
      </c>
      <c r="G30" s="17" t="e">
        <f t="shared" si="3"/>
        <v>#DIV/0!</v>
      </c>
      <c r="K30" s="17" t="e">
        <f t="shared" si="4"/>
        <v>#DIV/0!</v>
      </c>
      <c r="O30" s="17" t="e">
        <f t="shared" si="5"/>
        <v>#DIV/0!</v>
      </c>
      <c r="S30" s="17" t="e">
        <f t="shared" si="6"/>
        <v>#DIV/0!</v>
      </c>
      <c r="W30" s="17" t="e">
        <f t="shared" si="7"/>
        <v>#DIV/0!</v>
      </c>
    </row>
    <row r="31" spans="1:23">
      <c r="A31" t="s">
        <v>70</v>
      </c>
      <c r="B31" t="e">
        <f>AVERAGE(AVERAGE(#REF!/#REF!,#REF!/#REF!),AVERAGE(#REF!/#REF!,#REF!/#REF!),#REF!/#REF!,#REF!/#REF!)</f>
        <v>#REF!</v>
      </c>
      <c r="C31" t="e">
        <f>STDEV(AVERAGE(#REF!/#REF!,#REF!/#REF!),AVERAGE(#REF!/#REF!,#REF!/#REF!),#REF!/#REF!,#REF!/#REF!)*SQRT(D31)</f>
        <v>#REF!</v>
      </c>
      <c r="D31">
        <v>4</v>
      </c>
      <c r="G31" s="17" t="e">
        <f t="shared" si="3"/>
        <v>#DIV/0!</v>
      </c>
      <c r="K31" s="17" t="e">
        <f t="shared" si="4"/>
        <v>#DIV/0!</v>
      </c>
      <c r="O31" s="17" t="e">
        <f t="shared" si="5"/>
        <v>#DIV/0!</v>
      </c>
      <c r="S31" s="17" t="e">
        <f t="shared" si="6"/>
        <v>#DIV/0!</v>
      </c>
      <c r="W31" s="17" t="e">
        <f t="shared" si="7"/>
        <v>#DIV/0!</v>
      </c>
    </row>
    <row r="32" spans="1:23">
      <c r="A32" t="s">
        <v>23</v>
      </c>
      <c r="B32">
        <f t="shared" ref="B32:B33" si="8">AVERAGE(E32/E$9,F32/E$9,I32/I$9,J32/I$9,M32/M$9,N32/M$9,Q32/Q$9,R32/Q$9,U32/U$9,V32/U$9)</f>
        <v>0</v>
      </c>
      <c r="C32">
        <f>STDEV(E32/E$9,F32/E$9,I32/I$9,J32/I$9,M32/M$9,N32/M$9,Q32/Q$9,R32/Q$9,U32/U$9,V32/U$9)/SQRT(D32)</f>
        <v>0</v>
      </c>
      <c r="D32">
        <f t="shared" ref="D32:D33" si="9">COUNT(E32:V32)/2</f>
        <v>7</v>
      </c>
      <c r="E32">
        <v>0</v>
      </c>
      <c r="F32">
        <v>0</v>
      </c>
      <c r="G32" s="17">
        <f t="shared" si="3"/>
        <v>0</v>
      </c>
      <c r="I32">
        <v>0</v>
      </c>
      <c r="J32">
        <v>0</v>
      </c>
      <c r="K32" s="17">
        <f t="shared" si="4"/>
        <v>0</v>
      </c>
      <c r="M32">
        <v>0</v>
      </c>
      <c r="N32">
        <v>0</v>
      </c>
      <c r="O32" s="17">
        <f t="shared" si="5"/>
        <v>0</v>
      </c>
      <c r="Q32">
        <v>0</v>
      </c>
      <c r="R32">
        <v>0</v>
      </c>
      <c r="S32" s="17">
        <f t="shared" si="6"/>
        <v>0</v>
      </c>
      <c r="U32">
        <v>0</v>
      </c>
      <c r="V32">
        <v>0</v>
      </c>
      <c r="W32" s="17">
        <f t="shared" si="7"/>
        <v>0</v>
      </c>
    </row>
    <row r="33" spans="1:23">
      <c r="A33" t="s">
        <v>24</v>
      </c>
      <c r="B33">
        <f t="shared" si="8"/>
        <v>0</v>
      </c>
      <c r="C33">
        <f t="shared" ref="C33" si="10">STDEV(E33/E$9,F33/E$9,I33/I$9,J33/I$9,M33/M$9,N33/M$9,Q33/Q$9,R33/Q$9,U33/U$9,V33/U$9)/SQRT(D33)</f>
        <v>0</v>
      </c>
      <c r="D33">
        <f t="shared" si="9"/>
        <v>7</v>
      </c>
      <c r="E33">
        <v>0</v>
      </c>
      <c r="F33">
        <v>0</v>
      </c>
      <c r="G33" s="17">
        <f t="shared" si="3"/>
        <v>0</v>
      </c>
      <c r="I33">
        <v>0</v>
      </c>
      <c r="J33">
        <v>0</v>
      </c>
      <c r="K33" s="17">
        <f t="shared" si="4"/>
        <v>0</v>
      </c>
      <c r="M33">
        <v>0</v>
      </c>
      <c r="N33">
        <v>0</v>
      </c>
      <c r="O33" s="17">
        <f t="shared" si="5"/>
        <v>0</v>
      </c>
      <c r="Q33">
        <v>0</v>
      </c>
      <c r="R33">
        <v>0</v>
      </c>
      <c r="S33" s="17">
        <f t="shared" si="6"/>
        <v>0</v>
      </c>
      <c r="U33">
        <v>0</v>
      </c>
      <c r="V33">
        <v>0</v>
      </c>
      <c r="W33" s="17">
        <f t="shared" si="7"/>
        <v>0</v>
      </c>
    </row>
    <row r="36" spans="1:23">
      <c r="A36" s="1" t="s">
        <v>16</v>
      </c>
    </row>
    <row r="37" spans="1:23">
      <c r="A37" t="s">
        <v>7</v>
      </c>
      <c r="B37">
        <f t="shared" ref="B37:B38" si="11">AVERAGE(E37/E$9,F37/E$9,I37/I$9,J37/I$9,M37/M$9,N37/M$9,Q37/Q$9,R37/Q$9,U37/U$9,V37/U$9)</f>
        <v>0.76561281869244391</v>
      </c>
      <c r="C37">
        <f t="shared" ref="C37:C38" si="12">STDEV(E37/E$9,F37/E$9,I37/I$9,J37/I$9,M37/M$9,N37/M$9,Q37/Q$9,R37/Q$9,U37/U$9,V37/U$9)/SQRT(D37)</f>
        <v>5.1759706731853662E-3</v>
      </c>
      <c r="D37">
        <f>COUNT(E37:V37)/2</f>
        <v>7</v>
      </c>
      <c r="E37">
        <v>8.5418999999999995E-2</v>
      </c>
      <c r="F37">
        <v>8.5420999999999997E-2</v>
      </c>
      <c r="G37" s="17">
        <f>AVERAGE(E37:F37)</f>
        <v>8.5419999999999996E-2</v>
      </c>
      <c r="I37">
        <v>7.4704999999999994E-2</v>
      </c>
      <c r="J37">
        <v>7.4769000000000002E-2</v>
      </c>
      <c r="K37" s="17">
        <f>AVERAGE(I37:J37)</f>
        <v>7.4736999999999998E-2</v>
      </c>
      <c r="M37">
        <v>0.11704000000000001</v>
      </c>
      <c r="N37">
        <v>0.11516</v>
      </c>
      <c r="O37" s="17">
        <f>AVERAGE(M37:N37)</f>
        <v>0.11610000000000001</v>
      </c>
      <c r="Q37">
        <v>0.12533</v>
      </c>
      <c r="R37">
        <v>0.13073000000000001</v>
      </c>
      <c r="S37" s="17">
        <f>AVERAGE(Q37:R37)</f>
        <v>0.12803</v>
      </c>
      <c r="U37">
        <v>0.14432</v>
      </c>
      <c r="V37">
        <v>0.13941000000000001</v>
      </c>
      <c r="W37" s="17">
        <f>AVERAGE(U37:V37)</f>
        <v>0.14186500000000002</v>
      </c>
    </row>
    <row r="38" spans="1:23">
      <c r="A38" t="s">
        <v>8</v>
      </c>
      <c r="B38">
        <f t="shared" si="11"/>
        <v>0.22203293787076497</v>
      </c>
      <c r="C38">
        <f t="shared" si="12"/>
        <v>2.1853155944346562E-2</v>
      </c>
      <c r="D38">
        <f t="shared" ref="D38:D39" si="13">COUNT(E38:V38)/2</f>
        <v>7</v>
      </c>
      <c r="E38">
        <v>3.2807000000000003E-2</v>
      </c>
      <c r="F38">
        <v>2.9871000000000002E-2</v>
      </c>
      <c r="G38" s="17">
        <f t="shared" si="3"/>
        <v>3.1339000000000006E-2</v>
      </c>
      <c r="I38">
        <v>2.7997999999999999E-2</v>
      </c>
      <c r="J38">
        <v>2.5174999999999999E-2</v>
      </c>
      <c r="K38" s="17">
        <f t="shared" ref="K38:K69" si="14">AVERAGE(I38:J38)</f>
        <v>2.6586499999999999E-2</v>
      </c>
      <c r="M38">
        <v>3.1816999999999998E-2</v>
      </c>
      <c r="N38">
        <v>1.9647000000000001E-2</v>
      </c>
      <c r="O38" s="17">
        <f t="shared" ref="O38:O69" si="15">AVERAGE(M38:N38)</f>
        <v>2.5731999999999998E-2</v>
      </c>
      <c r="Q38">
        <v>2.7068999999999999E-2</v>
      </c>
      <c r="R38">
        <v>2.7795E-2</v>
      </c>
      <c r="S38" s="17">
        <f t="shared" ref="S38:S69" si="16">AVERAGE(Q38:R38)</f>
        <v>2.7431999999999998E-2</v>
      </c>
      <c r="U38">
        <v>3.8803999999999998E-2</v>
      </c>
      <c r="V38">
        <v>4.3248000000000002E-2</v>
      </c>
      <c r="W38" s="17">
        <f t="shared" ref="W38:W69" si="17">AVERAGE(U38:V38)</f>
        <v>4.1026E-2</v>
      </c>
    </row>
    <row r="39" spans="1:23">
      <c r="A39" t="s">
        <v>9</v>
      </c>
      <c r="B39">
        <f t="shared" ref="B39:B41" si="18">AVERAGE(E39/E$9,F39/E$9,I39/I$9,J39/I$9,M39/M$9,N39/M$9,Q39/Q$9,R39/Q$9,U39/U$9,V39/U$9)</f>
        <v>0.19661024590094342</v>
      </c>
      <c r="C39">
        <f t="shared" ref="C39:C41" si="19">STDEV(E39/E$9,F39/E$9,I39/I$9,J39/I$9,M39/M$9,N39/M$9,Q39/Q$9,R39/Q$9,U39/U$9,V39/U$9)/SQRT(D39)</f>
        <v>1.9798373956011348E-2</v>
      </c>
      <c r="D39">
        <f t="shared" si="13"/>
        <v>7</v>
      </c>
      <c r="E39">
        <v>2.7314000000000001E-2</v>
      </c>
      <c r="F39">
        <v>2.8766E-2</v>
      </c>
      <c r="G39" s="17">
        <f t="shared" si="3"/>
        <v>2.8040000000000002E-2</v>
      </c>
      <c r="I39">
        <v>2.4084999999999999E-2</v>
      </c>
      <c r="J39">
        <v>2.5918E-2</v>
      </c>
      <c r="K39" s="17">
        <f t="shared" si="14"/>
        <v>2.5001499999999999E-2</v>
      </c>
      <c r="M39">
        <v>2.8549999999999999E-2</v>
      </c>
      <c r="N39">
        <v>2.1604000000000002E-2</v>
      </c>
      <c r="O39" s="17">
        <f>AVERAGE(M39:N39)</f>
        <v>2.5077000000000002E-2</v>
      </c>
      <c r="Q39">
        <v>2.5590000000000002E-2</v>
      </c>
      <c r="R39">
        <v>2.4132000000000001E-2</v>
      </c>
      <c r="S39" s="17">
        <f t="shared" si="16"/>
        <v>2.4861000000000001E-2</v>
      </c>
      <c r="U39">
        <v>2.9735000000000001E-2</v>
      </c>
      <c r="V39">
        <v>2.9656999999999999E-2</v>
      </c>
      <c r="W39" s="17">
        <f t="shared" si="17"/>
        <v>2.9696E-2</v>
      </c>
    </row>
    <row r="40" spans="1:23">
      <c r="A40" t="s">
        <v>10</v>
      </c>
      <c r="B40">
        <f t="shared" si="18"/>
        <v>0.16373151192056329</v>
      </c>
      <c r="C40">
        <f t="shared" si="19"/>
        <v>6.2916825799935348E-3</v>
      </c>
      <c r="D40">
        <f t="shared" ref="D40:D41" si="20">COUNT(E40:V40)/2</f>
        <v>7</v>
      </c>
      <c r="E40">
        <v>1.8773999999999999E-2</v>
      </c>
      <c r="F40">
        <v>1.9852999999999999E-2</v>
      </c>
      <c r="G40" s="17">
        <f>AVERAGE(E40:F40)</f>
        <v>1.9313499999999997E-2</v>
      </c>
      <c r="I40">
        <v>1.7915E-2</v>
      </c>
      <c r="J40">
        <v>1.8756999999999999E-2</v>
      </c>
      <c r="K40" s="17">
        <f t="shared" si="14"/>
        <v>1.8335999999999998E-2</v>
      </c>
      <c r="M40">
        <v>2.2314000000000001E-2</v>
      </c>
      <c r="N40">
        <v>2.2013000000000001E-2</v>
      </c>
      <c r="O40" s="17">
        <f t="shared" si="15"/>
        <v>2.2163500000000003E-2</v>
      </c>
      <c r="Q40">
        <v>2.5992000000000001E-2</v>
      </c>
      <c r="R40">
        <v>2.5846000000000001E-2</v>
      </c>
      <c r="S40" s="17">
        <f t="shared" si="16"/>
        <v>2.5919000000000001E-2</v>
      </c>
      <c r="U40">
        <v>2.9925E-2</v>
      </c>
      <c r="V40">
        <v>2.8035000000000001E-2</v>
      </c>
      <c r="W40" s="17">
        <f>AVERAGE(U40:V40)</f>
        <v>2.8979999999999999E-2</v>
      </c>
    </row>
    <row r="41" spans="1:23">
      <c r="A41" t="s">
        <v>11</v>
      </c>
      <c r="B41">
        <f t="shared" si="18"/>
        <v>0.11934018814789782</v>
      </c>
      <c r="C41">
        <f t="shared" si="19"/>
        <v>1.1768687488171961E-2</v>
      </c>
      <c r="D41">
        <f t="shared" si="20"/>
        <v>7</v>
      </c>
      <c r="E41">
        <v>1.5218000000000001E-2</v>
      </c>
      <c r="F41">
        <v>1.5153E-2</v>
      </c>
      <c r="G41" s="17">
        <f t="shared" si="3"/>
        <v>1.5185500000000001E-2</v>
      </c>
      <c r="I41">
        <v>1.54E-2</v>
      </c>
      <c r="J41">
        <v>1.4437E-2</v>
      </c>
      <c r="K41" s="17">
        <f t="shared" si="14"/>
        <v>1.4918500000000001E-2</v>
      </c>
      <c r="M41">
        <v>1.3275E-2</v>
      </c>
      <c r="N41">
        <v>1.2463999999999999E-2</v>
      </c>
      <c r="O41" s="17">
        <f t="shared" si="15"/>
        <v>1.2869499999999999E-2</v>
      </c>
      <c r="Q41">
        <v>2.4150999999999999E-2</v>
      </c>
      <c r="R41">
        <v>2.3001000000000001E-2</v>
      </c>
      <c r="S41" s="17">
        <f t="shared" si="16"/>
        <v>2.3576E-2</v>
      </c>
      <c r="U41">
        <v>1.5037999999999999E-2</v>
      </c>
      <c r="V41">
        <v>1.5502E-2</v>
      </c>
      <c r="W41" s="17">
        <f t="shared" si="17"/>
        <v>1.5269999999999999E-2</v>
      </c>
    </row>
    <row r="42" spans="1:23">
      <c r="A42" t="s">
        <v>49</v>
      </c>
      <c r="B42" t="s">
        <v>30</v>
      </c>
      <c r="C42" t="s">
        <v>30</v>
      </c>
      <c r="D42">
        <v>0</v>
      </c>
      <c r="G42" s="17" t="e">
        <f t="shared" si="3"/>
        <v>#DIV/0!</v>
      </c>
      <c r="K42" s="17" t="e">
        <f t="shared" si="14"/>
        <v>#DIV/0!</v>
      </c>
      <c r="O42" s="17" t="e">
        <f t="shared" si="15"/>
        <v>#DIV/0!</v>
      </c>
      <c r="S42" s="17" t="e">
        <f t="shared" si="16"/>
        <v>#DIV/0!</v>
      </c>
      <c r="W42" s="17" t="e">
        <f t="shared" si="17"/>
        <v>#DIV/0!</v>
      </c>
    </row>
    <row r="43" spans="1:23">
      <c r="A43" t="s">
        <v>12</v>
      </c>
      <c r="B43">
        <f t="shared" ref="B43:B45" si="21">AVERAGE(E43/E$9,F43/E$9,I43/I$9,J43/I$9,M43/M$9,N43/M$9,Q43/Q$9,R43/Q$9,U43/U$9,V43/U$9)</f>
        <v>0.14487504379263522</v>
      </c>
      <c r="C43">
        <f t="shared" ref="C43:C48" si="22">STDEV(E43/E$9,F43/E$9,I43/I$9,J43/I$9,M43/M$9,N43/M$9,Q43/Q$9,R43/Q$9,U43/U$9,V43/U$9)/SQRT(D43)</f>
        <v>1.2761019276229803E-2</v>
      </c>
      <c r="D43">
        <f>COUNT(E43:V43)/2</f>
        <v>7</v>
      </c>
      <c r="E43">
        <v>2.0177E-2</v>
      </c>
      <c r="F43">
        <v>1.9191E-2</v>
      </c>
      <c r="G43" s="17">
        <f t="shared" si="3"/>
        <v>1.9684E-2</v>
      </c>
      <c r="I43">
        <v>1.6563999999999999E-2</v>
      </c>
      <c r="J43">
        <v>1.8575000000000001E-2</v>
      </c>
      <c r="K43" s="17">
        <f t="shared" si="14"/>
        <v>1.7569500000000002E-2</v>
      </c>
      <c r="M43">
        <v>1.8263999999999999E-2</v>
      </c>
      <c r="N43">
        <v>1.7876E-2</v>
      </c>
      <c r="O43" s="17">
        <f t="shared" si="15"/>
        <v>1.8069999999999999E-2</v>
      </c>
      <c r="Q43">
        <v>2.044E-2</v>
      </c>
      <c r="R43">
        <v>2.7535E-2</v>
      </c>
      <c r="S43" s="17">
        <f t="shared" si="16"/>
        <v>2.3987500000000002E-2</v>
      </c>
      <c r="U43">
        <v>1.9681000000000001E-2</v>
      </c>
      <c r="V43">
        <v>1.9306E-2</v>
      </c>
      <c r="W43" s="17">
        <f t="shared" si="17"/>
        <v>1.94935E-2</v>
      </c>
    </row>
    <row r="44" spans="1:23">
      <c r="A44" t="s">
        <v>13</v>
      </c>
      <c r="B44">
        <f t="shared" si="21"/>
        <v>0.20061320565779117</v>
      </c>
      <c r="C44">
        <f t="shared" si="22"/>
        <v>1.8904112542040837E-2</v>
      </c>
      <c r="D44">
        <f>COUNT(E44:V44)/2</f>
        <v>7</v>
      </c>
      <c r="E44">
        <v>2.5493999999999999E-2</v>
      </c>
      <c r="F44">
        <v>2.4826000000000001E-2</v>
      </c>
      <c r="G44" s="17">
        <f t="shared" si="3"/>
        <v>2.5160000000000002E-2</v>
      </c>
      <c r="I44">
        <v>2.7614E-2</v>
      </c>
      <c r="J44">
        <v>2.5359E-2</v>
      </c>
      <c r="K44" s="17">
        <f t="shared" si="14"/>
        <v>2.64865E-2</v>
      </c>
      <c r="M44">
        <v>2.6452E-2</v>
      </c>
      <c r="N44">
        <v>1.7330000000000002E-2</v>
      </c>
      <c r="O44" s="17">
        <f t="shared" si="15"/>
        <v>2.1891000000000001E-2</v>
      </c>
      <c r="Q44">
        <v>3.0714000000000002E-2</v>
      </c>
      <c r="R44">
        <v>2.6421E-2</v>
      </c>
      <c r="S44" s="17">
        <f t="shared" si="16"/>
        <v>2.8567500000000003E-2</v>
      </c>
      <c r="U44">
        <v>3.3888000000000001E-2</v>
      </c>
      <c r="V44">
        <v>3.6691000000000001E-2</v>
      </c>
      <c r="W44" s="17">
        <f t="shared" si="17"/>
        <v>3.5289500000000001E-2</v>
      </c>
    </row>
    <row r="45" spans="1:23">
      <c r="A45" t="s">
        <v>14</v>
      </c>
      <c r="B45">
        <f t="shared" si="21"/>
        <v>0.15863446874979609</v>
      </c>
      <c r="C45">
        <f t="shared" si="22"/>
        <v>2.741327343906438E-2</v>
      </c>
      <c r="D45">
        <f>COUNT(E45:V45)/2</f>
        <v>7</v>
      </c>
      <c r="E45">
        <v>2.0320000000000001E-2</v>
      </c>
      <c r="F45">
        <v>2.2141000000000001E-2</v>
      </c>
      <c r="G45" s="17">
        <f t="shared" si="3"/>
        <v>2.1230499999999999E-2</v>
      </c>
      <c r="I45">
        <v>2.8669E-2</v>
      </c>
      <c r="J45">
        <v>2.5697000000000001E-2</v>
      </c>
      <c r="K45" s="17">
        <f t="shared" si="14"/>
        <v>2.7182999999999999E-2</v>
      </c>
      <c r="M45">
        <v>1.4442E-2</v>
      </c>
      <c r="N45">
        <v>1.6112999999999999E-2</v>
      </c>
      <c r="O45" s="17">
        <f t="shared" si="15"/>
        <v>1.5277499999999999E-2</v>
      </c>
      <c r="Q45">
        <v>1.8981000000000001E-2</v>
      </c>
      <c r="R45">
        <v>1.9722E-2</v>
      </c>
      <c r="S45" s="17">
        <f t="shared" si="16"/>
        <v>1.9351500000000001E-2</v>
      </c>
      <c r="U45">
        <v>1.8199E-2</v>
      </c>
      <c r="V45">
        <v>2.1610999999999998E-2</v>
      </c>
      <c r="W45" s="17">
        <f t="shared" si="17"/>
        <v>1.9904999999999999E-2</v>
      </c>
    </row>
    <row r="46" spans="1:23">
      <c r="A46" t="s">
        <v>56</v>
      </c>
      <c r="B46">
        <f>AVERAGE(E46/E$9,I46/I$9,M46/M$9,Q46/Q$9,U46/U$9)</f>
        <v>0.15131952291080639</v>
      </c>
      <c r="C46">
        <f>STDEV(E46/E$9,I46/I$9,M46/M$9,Q46/Q$9,U46/U$9)/SQRT(D46)</f>
        <v>1.3657844480082471E-2</v>
      </c>
      <c r="D46">
        <f>COUNT(E46:V46)</f>
        <v>9</v>
      </c>
      <c r="E46">
        <v>1.9158999999999999E-2</v>
      </c>
      <c r="G46" s="17">
        <f t="shared" si="3"/>
        <v>1.9158999999999999E-2</v>
      </c>
      <c r="I46">
        <v>1.9918000000000002E-2</v>
      </c>
      <c r="K46" s="17">
        <f t="shared" si="14"/>
        <v>1.9918000000000002E-2</v>
      </c>
      <c r="M46">
        <v>1.5022000000000001E-2</v>
      </c>
      <c r="O46" s="17">
        <f t="shared" si="15"/>
        <v>1.5022000000000001E-2</v>
      </c>
      <c r="Q46">
        <v>2.6506999999999999E-2</v>
      </c>
      <c r="S46" s="17">
        <f t="shared" si="16"/>
        <v>2.6506999999999999E-2</v>
      </c>
      <c r="U46">
        <v>2.2877000000000002E-2</v>
      </c>
      <c r="W46" s="17">
        <f t="shared" si="17"/>
        <v>2.2877000000000002E-2</v>
      </c>
    </row>
    <row r="47" spans="1:23">
      <c r="A47" t="s">
        <v>57</v>
      </c>
      <c r="B47">
        <f>AVERAGE(F47/E$9,J47/I$9,N47/M$9,R47/Q$9,V47/U$9)</f>
        <v>0.14825689189555291</v>
      </c>
      <c r="C47">
        <f>STDEV(F47/E$9,J47/I$9,N47/M$9,R47/Q$9,V47/U$9)/SQRT(D47)</f>
        <v>1.0716261381452437E-2</v>
      </c>
      <c r="D47">
        <f>COUNT(E47:V47)</f>
        <v>9</v>
      </c>
      <c r="F47">
        <v>1.8464000000000001E-2</v>
      </c>
      <c r="G47" s="17">
        <f t="shared" si="3"/>
        <v>1.8464000000000001E-2</v>
      </c>
      <c r="J47">
        <v>1.7269E-2</v>
      </c>
      <c r="K47" s="17">
        <f t="shared" si="14"/>
        <v>1.7269E-2</v>
      </c>
      <c r="N47">
        <v>1.9310999999999998E-2</v>
      </c>
      <c r="O47" s="17">
        <f t="shared" si="15"/>
        <v>1.9310999999999998E-2</v>
      </c>
      <c r="R47">
        <v>2.8552000000000001E-2</v>
      </c>
      <c r="S47" s="17">
        <f t="shared" si="16"/>
        <v>2.8552000000000001E-2</v>
      </c>
      <c r="V47">
        <v>1.8776000000000001E-2</v>
      </c>
      <c r="W47" s="17">
        <f t="shared" si="17"/>
        <v>1.8776000000000001E-2</v>
      </c>
    </row>
    <row r="48" spans="1:23">
      <c r="A48" t="s">
        <v>15</v>
      </c>
      <c r="B48">
        <f>AVERAGE(E48/E$9,F48/E$9,I48/I$9,J48/I$9,M48/M$9,N48/M$9,Q48/Q$9,R48/Q$9,U48/U$9,V48/U$9)</f>
        <v>0.12626288446857586</v>
      </c>
      <c r="C48">
        <f t="shared" si="22"/>
        <v>1.3997232716516135E-2</v>
      </c>
      <c r="D48">
        <f>COUNT(E48:V48)/2</f>
        <v>7</v>
      </c>
      <c r="E48">
        <v>1.3939999999999999E-2</v>
      </c>
      <c r="F48">
        <v>1.8574E-2</v>
      </c>
      <c r="G48" s="17">
        <f t="shared" si="3"/>
        <v>1.6257000000000001E-2</v>
      </c>
      <c r="I48">
        <v>1.7065E-2</v>
      </c>
      <c r="J48">
        <v>1.8157E-2</v>
      </c>
      <c r="K48" s="17">
        <f t="shared" si="14"/>
        <v>1.7611000000000002E-2</v>
      </c>
      <c r="M48">
        <v>1.4799E-2</v>
      </c>
      <c r="N48">
        <v>1.3509999999999999E-2</v>
      </c>
      <c r="O48" s="17">
        <f t="shared" si="15"/>
        <v>1.41545E-2</v>
      </c>
      <c r="Q48">
        <v>2.1479000000000002E-2</v>
      </c>
      <c r="R48">
        <v>1.8363999999999998E-2</v>
      </c>
      <c r="S48" s="17">
        <f t="shared" si="16"/>
        <v>1.9921500000000002E-2</v>
      </c>
      <c r="U48">
        <v>1.7010999999999998E-2</v>
      </c>
      <c r="V48">
        <v>1.7340999999999999E-2</v>
      </c>
      <c r="W48" s="17">
        <f t="shared" si="17"/>
        <v>1.7175999999999997E-2</v>
      </c>
    </row>
    <row r="49" spans="1:23">
      <c r="A49" t="s">
        <v>22</v>
      </c>
      <c r="B49">
        <f>AVERAGE(E49/E$9,J49/I$9,Q49/Q$9,R49/Q$9,V49/U$9)</f>
        <v>0.19944619133622676</v>
      </c>
      <c r="C49">
        <f>STDEV(E49/E$9,J49/I$9,Q49/Q$9,R49/Q$9,V49/U$9)/SQRT(D49)</f>
        <v>2.6878128787964604E-2</v>
      </c>
      <c r="D49">
        <v>4</v>
      </c>
      <c r="E49">
        <v>2.3073E-2</v>
      </c>
      <c r="G49" s="17">
        <f t="shared" si="3"/>
        <v>2.3073E-2</v>
      </c>
      <c r="J49">
        <v>2.7837000000000001E-2</v>
      </c>
      <c r="K49" s="17">
        <f t="shared" si="14"/>
        <v>2.7837000000000001E-2</v>
      </c>
      <c r="O49" s="17" t="e">
        <f t="shared" si="15"/>
        <v>#DIV/0!</v>
      </c>
      <c r="Q49">
        <v>2.9548999999999999E-2</v>
      </c>
      <c r="R49">
        <v>3.2252000000000003E-2</v>
      </c>
      <c r="S49" s="17">
        <f t="shared" si="16"/>
        <v>3.0900500000000001E-2</v>
      </c>
      <c r="V49">
        <v>2.5857000000000002E-2</v>
      </c>
      <c r="W49" s="17">
        <f t="shared" si="17"/>
        <v>2.5857000000000002E-2</v>
      </c>
    </row>
    <row r="50" spans="1:23">
      <c r="A50" t="s">
        <v>59</v>
      </c>
      <c r="B50" t="s">
        <v>30</v>
      </c>
      <c r="C50" t="s">
        <v>30</v>
      </c>
      <c r="D50">
        <v>0</v>
      </c>
      <c r="G50" s="17" t="e">
        <f t="shared" si="3"/>
        <v>#DIV/0!</v>
      </c>
      <c r="K50" s="17" t="e">
        <f t="shared" si="14"/>
        <v>#DIV/0!</v>
      </c>
      <c r="O50" s="17" t="e">
        <f t="shared" si="15"/>
        <v>#DIV/0!</v>
      </c>
      <c r="S50" s="17" t="e">
        <f t="shared" si="16"/>
        <v>#DIV/0!</v>
      </c>
      <c r="W50" s="17" t="e">
        <f t="shared" si="17"/>
        <v>#DIV/0!</v>
      </c>
    </row>
    <row r="51" spans="1:23">
      <c r="A51" t="s">
        <v>58</v>
      </c>
      <c r="B51" t="s">
        <v>30</v>
      </c>
      <c r="C51" t="s">
        <v>30</v>
      </c>
      <c r="D51">
        <v>0</v>
      </c>
      <c r="G51" s="17" t="e">
        <f t="shared" si="3"/>
        <v>#DIV/0!</v>
      </c>
      <c r="K51" s="17" t="e">
        <f t="shared" si="14"/>
        <v>#DIV/0!</v>
      </c>
      <c r="O51" s="17" t="e">
        <f t="shared" si="15"/>
        <v>#DIV/0!</v>
      </c>
      <c r="S51" s="17" t="e">
        <f t="shared" si="16"/>
        <v>#DIV/0!</v>
      </c>
      <c r="W51" s="17" t="e">
        <f t="shared" si="17"/>
        <v>#DIV/0!</v>
      </c>
    </row>
    <row r="52" spans="1:23">
      <c r="G52" s="17" t="e">
        <f t="shared" si="3"/>
        <v>#DIV/0!</v>
      </c>
      <c r="K52" s="17" t="e">
        <f t="shared" si="14"/>
        <v>#DIV/0!</v>
      </c>
      <c r="O52" s="17" t="e">
        <f t="shared" si="15"/>
        <v>#DIV/0!</v>
      </c>
      <c r="S52" s="17" t="e">
        <f t="shared" si="16"/>
        <v>#DIV/0!</v>
      </c>
      <c r="W52" s="17" t="e">
        <f t="shared" si="17"/>
        <v>#DIV/0!</v>
      </c>
    </row>
    <row r="53" spans="1:23">
      <c r="A53" s="1" t="s">
        <v>17</v>
      </c>
      <c r="G53" s="17" t="e">
        <f t="shared" si="3"/>
        <v>#DIV/0!</v>
      </c>
      <c r="K53" s="17" t="e">
        <f t="shared" si="14"/>
        <v>#DIV/0!</v>
      </c>
      <c r="O53" s="17" t="e">
        <f t="shared" si="15"/>
        <v>#DIV/0!</v>
      </c>
      <c r="S53" s="17" t="e">
        <f t="shared" si="16"/>
        <v>#DIV/0!</v>
      </c>
      <c r="W53" s="17" t="e">
        <f t="shared" si="17"/>
        <v>#DIV/0!</v>
      </c>
    </row>
    <row r="54" spans="1:23">
      <c r="A54" t="s">
        <v>7</v>
      </c>
      <c r="B54">
        <f t="shared" ref="B54:B58" si="23">AVERAGE(E54/E$9,F54/E$9,I54/I$9,J54/I$9,M54/M$9,N54/M$9,Q54/Q$9,R54/Q$9,U54/U$9,V54/U$9)</f>
        <v>0.76340271006614757</v>
      </c>
      <c r="C54">
        <f t="shared" ref="C54:C58" si="24">STDEV(E54/E$9,F54/E$9,I54/I$9,J54/I$9,M54/M$9,N54/M$9,Q54/Q$9,R54/Q$9,U54/U$9,V54/U$9)/SQRT(D54)</f>
        <v>6.7117172432476276E-3</v>
      </c>
      <c r="D54">
        <f>COUNT(E54:V54)/2</f>
        <v>7</v>
      </c>
      <c r="E54">
        <v>8.6935999999999999E-2</v>
      </c>
      <c r="F54">
        <v>8.5488999999999996E-2</v>
      </c>
      <c r="G54" s="17">
        <f t="shared" si="3"/>
        <v>8.6212499999999997E-2</v>
      </c>
      <c r="I54">
        <v>7.5400999999999996E-2</v>
      </c>
      <c r="J54">
        <v>7.4961E-2</v>
      </c>
      <c r="K54" s="17">
        <f t="shared" si="14"/>
        <v>7.5180999999999998E-2</v>
      </c>
      <c r="M54">
        <v>0.11391999999999999</v>
      </c>
      <c r="N54">
        <v>0.11376</v>
      </c>
      <c r="O54" s="17">
        <f t="shared" si="15"/>
        <v>0.11384</v>
      </c>
      <c r="Q54">
        <v>0.12393</v>
      </c>
      <c r="R54">
        <v>0.12961</v>
      </c>
      <c r="S54" s="17">
        <f t="shared" si="16"/>
        <v>0.12676999999999999</v>
      </c>
      <c r="U54">
        <v>0.1431</v>
      </c>
      <c r="V54">
        <v>0.14044999999999999</v>
      </c>
      <c r="W54" s="17">
        <f t="shared" si="17"/>
        <v>0.14177499999999998</v>
      </c>
    </row>
    <row r="55" spans="1:23">
      <c r="A55" t="s">
        <v>8</v>
      </c>
      <c r="B55">
        <f t="shared" si="23"/>
        <v>0.22450273649253175</v>
      </c>
      <c r="C55">
        <f t="shared" si="24"/>
        <v>2.7950165652214077E-2</v>
      </c>
      <c r="D55">
        <f t="shared" ref="D55:D58" si="25">COUNT(E55:V55)/2</f>
        <v>7</v>
      </c>
      <c r="E55">
        <v>3.5095000000000001E-2</v>
      </c>
      <c r="F55">
        <v>3.2689999999999997E-2</v>
      </c>
      <c r="G55" s="17">
        <f t="shared" si="3"/>
        <v>3.3892499999999999E-2</v>
      </c>
      <c r="I55">
        <v>3.1772000000000002E-2</v>
      </c>
      <c r="J55">
        <v>2.6318999999999999E-2</v>
      </c>
      <c r="K55" s="17">
        <f t="shared" si="14"/>
        <v>2.9045500000000002E-2</v>
      </c>
      <c r="M55">
        <v>2.5746999999999999E-2</v>
      </c>
      <c r="N55">
        <v>1.9199000000000001E-2</v>
      </c>
      <c r="O55" s="17">
        <f t="shared" si="15"/>
        <v>2.2473E-2</v>
      </c>
      <c r="Q55">
        <v>2.6817000000000001E-2</v>
      </c>
      <c r="R55">
        <v>2.5989000000000002E-2</v>
      </c>
      <c r="S55" s="17">
        <f t="shared" si="16"/>
        <v>2.6403000000000003E-2</v>
      </c>
      <c r="U55">
        <v>3.6595000000000003E-2</v>
      </c>
      <c r="V55">
        <v>4.2341999999999998E-2</v>
      </c>
      <c r="W55" s="17">
        <f t="shared" si="17"/>
        <v>3.9468500000000004E-2</v>
      </c>
    </row>
    <row r="56" spans="1:23">
      <c r="A56" t="s">
        <v>9</v>
      </c>
      <c r="B56">
        <f t="shared" si="23"/>
        <v>0.19689336377097383</v>
      </c>
      <c r="C56">
        <f t="shared" si="24"/>
        <v>2.4103523248558918E-2</v>
      </c>
      <c r="D56">
        <f t="shared" si="25"/>
        <v>7</v>
      </c>
      <c r="E56">
        <v>2.6317E-2</v>
      </c>
      <c r="F56">
        <v>2.9116E-2</v>
      </c>
      <c r="G56" s="17">
        <f t="shared" si="3"/>
        <v>2.7716499999999998E-2</v>
      </c>
      <c r="I56">
        <v>2.5793E-2</v>
      </c>
      <c r="J56">
        <v>2.9748E-2</v>
      </c>
      <c r="K56" s="17">
        <f t="shared" si="14"/>
        <v>2.77705E-2</v>
      </c>
      <c r="M56">
        <v>2.4784E-2</v>
      </c>
      <c r="N56">
        <v>1.8981000000000001E-2</v>
      </c>
      <c r="O56" s="17">
        <f t="shared" si="15"/>
        <v>2.1882499999999999E-2</v>
      </c>
      <c r="Q56">
        <v>2.6082000000000001E-2</v>
      </c>
      <c r="R56">
        <v>2.4909000000000001E-2</v>
      </c>
      <c r="S56" s="17">
        <f t="shared" si="16"/>
        <v>2.5495500000000001E-2</v>
      </c>
      <c r="U56">
        <v>2.9055999999999998E-2</v>
      </c>
      <c r="V56">
        <v>2.7924999999999998E-2</v>
      </c>
      <c r="W56" s="17">
        <f t="shared" si="17"/>
        <v>2.8490499999999998E-2</v>
      </c>
    </row>
    <row r="57" spans="1:23">
      <c r="A57" t="s">
        <v>10</v>
      </c>
      <c r="B57">
        <f t="shared" si="23"/>
        <v>0.15866759776026462</v>
      </c>
      <c r="C57">
        <f t="shared" si="24"/>
        <v>9.9547718599954337E-3</v>
      </c>
      <c r="D57">
        <f t="shared" si="25"/>
        <v>7</v>
      </c>
      <c r="E57">
        <v>1.9306E-2</v>
      </c>
      <c r="F57">
        <v>1.8992999999999999E-2</v>
      </c>
      <c r="G57" s="17">
        <f t="shared" si="3"/>
        <v>1.91495E-2</v>
      </c>
      <c r="I57">
        <v>1.7923999999999999E-2</v>
      </c>
      <c r="J57">
        <v>1.8407E-2</v>
      </c>
      <c r="K57" s="17">
        <f t="shared" si="14"/>
        <v>1.8165500000000001E-2</v>
      </c>
      <c r="M57">
        <v>2.1471000000000001E-2</v>
      </c>
      <c r="N57">
        <v>1.4513E-2</v>
      </c>
      <c r="O57" s="17">
        <f t="shared" si="15"/>
        <v>1.7992000000000001E-2</v>
      </c>
      <c r="Q57">
        <v>2.6530999999999999E-2</v>
      </c>
      <c r="R57">
        <v>2.5925E-2</v>
      </c>
      <c r="S57" s="17">
        <f t="shared" si="16"/>
        <v>2.6228000000000001E-2</v>
      </c>
      <c r="U57">
        <v>2.9576000000000002E-2</v>
      </c>
      <c r="V57">
        <v>2.9721999999999998E-2</v>
      </c>
      <c r="W57" s="17">
        <f t="shared" si="17"/>
        <v>2.9649000000000002E-2</v>
      </c>
    </row>
    <row r="58" spans="1:23">
      <c r="A58" t="s">
        <v>11</v>
      </c>
      <c r="B58">
        <f t="shared" si="23"/>
        <v>0.10984356383183677</v>
      </c>
      <c r="C58">
        <f t="shared" si="24"/>
        <v>1.2929741080924246E-2</v>
      </c>
      <c r="D58">
        <f t="shared" si="25"/>
        <v>7</v>
      </c>
      <c r="E58">
        <v>1.5126000000000001E-2</v>
      </c>
      <c r="F58">
        <v>1.6684999999999998E-2</v>
      </c>
      <c r="G58" s="17">
        <f t="shared" si="3"/>
        <v>1.5905499999999999E-2</v>
      </c>
      <c r="I58">
        <v>1.4453000000000001E-2</v>
      </c>
      <c r="J58">
        <v>1.4395E-2</v>
      </c>
      <c r="K58" s="17">
        <f t="shared" si="14"/>
        <v>1.4423999999999999E-2</v>
      </c>
      <c r="M58">
        <v>1.1436999999999999E-2</v>
      </c>
      <c r="N58">
        <v>1.1037999999999999E-2</v>
      </c>
      <c r="O58" s="17">
        <f t="shared" si="15"/>
        <v>1.1237499999999999E-2</v>
      </c>
      <c r="Q58">
        <v>1.8284000000000002E-2</v>
      </c>
      <c r="R58">
        <v>1.9009000000000002E-2</v>
      </c>
      <c r="S58" s="17">
        <f t="shared" si="16"/>
        <v>1.8646500000000003E-2</v>
      </c>
      <c r="U58">
        <v>1.3476999999999999E-2</v>
      </c>
      <c r="V58">
        <v>1.3639E-2</v>
      </c>
      <c r="W58" s="17">
        <f t="shared" si="17"/>
        <v>1.3558000000000001E-2</v>
      </c>
    </row>
    <row r="59" spans="1:23">
      <c r="A59" t="s">
        <v>49</v>
      </c>
      <c r="B59" t="s">
        <v>30</v>
      </c>
      <c r="C59" t="s">
        <v>30</v>
      </c>
      <c r="D59">
        <v>0</v>
      </c>
      <c r="G59" s="17" t="e">
        <f t="shared" si="3"/>
        <v>#DIV/0!</v>
      </c>
      <c r="K59" s="17" t="e">
        <f t="shared" si="14"/>
        <v>#DIV/0!</v>
      </c>
      <c r="O59" s="17" t="e">
        <f t="shared" si="15"/>
        <v>#DIV/0!</v>
      </c>
      <c r="S59" s="17" t="e">
        <f t="shared" si="16"/>
        <v>#DIV/0!</v>
      </c>
      <c r="W59" s="17" t="e">
        <f t="shared" si="17"/>
        <v>#DIV/0!</v>
      </c>
    </row>
    <row r="60" spans="1:23">
      <c r="A60" t="s">
        <v>12</v>
      </c>
      <c r="B60">
        <f t="shared" ref="B60:B62" si="26">AVERAGE(E60/E$9,F60/E$9,I60/I$9,J60/I$9,M60/M$9,N60/M$9,Q60/Q$9,R60/Q$9,U60/U$9,V60/U$9)</f>
        <v>0.14368615735774654</v>
      </c>
      <c r="C60">
        <f t="shared" ref="C60:C62" si="27">STDEV(E60/E$9,F60/E$9,I60/I$9,J60/I$9,M60/M$9,N60/M$9,Q60/Q$9,R60/Q$9,U60/U$9,V60/U$9)/SQRT(D60)</f>
        <v>1.5144614211319586E-2</v>
      </c>
      <c r="D60">
        <f>COUNT(E60:V60)/2</f>
        <v>7</v>
      </c>
      <c r="E60">
        <v>2.043E-2</v>
      </c>
      <c r="F60">
        <v>2.1406000000000001E-2</v>
      </c>
      <c r="G60" s="17">
        <f t="shared" si="3"/>
        <v>2.0917999999999999E-2</v>
      </c>
      <c r="I60">
        <v>1.7968000000000001E-2</v>
      </c>
      <c r="J60">
        <v>1.6889999999999999E-2</v>
      </c>
      <c r="K60" s="17">
        <f t="shared" si="14"/>
        <v>1.7429E-2</v>
      </c>
      <c r="M60">
        <v>1.7769E-2</v>
      </c>
      <c r="N60">
        <v>1.7509E-2</v>
      </c>
      <c r="O60" s="17">
        <f t="shared" si="15"/>
        <v>1.7639000000000002E-2</v>
      </c>
      <c r="Q60">
        <v>1.9776999999999999E-2</v>
      </c>
      <c r="R60">
        <v>2.7892E-2</v>
      </c>
      <c r="S60" s="17">
        <f t="shared" si="16"/>
        <v>2.3834500000000002E-2</v>
      </c>
      <c r="U60">
        <v>1.7323000000000002E-2</v>
      </c>
      <c r="V60">
        <v>1.7239999999999998E-2</v>
      </c>
      <c r="W60" s="17">
        <f t="shared" si="17"/>
        <v>1.7281499999999998E-2</v>
      </c>
    </row>
    <row r="61" spans="1:23">
      <c r="A61" t="s">
        <v>13</v>
      </c>
      <c r="B61">
        <f t="shared" si="26"/>
        <v>0.15459784812947314</v>
      </c>
      <c r="C61">
        <f t="shared" si="27"/>
        <v>1.7971343317166627E-2</v>
      </c>
      <c r="D61">
        <f>COUNT(E61:V61)/2</f>
        <v>7</v>
      </c>
      <c r="E61">
        <v>2.3120000000000002E-2</v>
      </c>
      <c r="F61">
        <v>2.1857000000000001E-2</v>
      </c>
      <c r="G61" s="17">
        <f t="shared" si="3"/>
        <v>2.2488500000000002E-2</v>
      </c>
      <c r="I61">
        <v>2.1765E-2</v>
      </c>
      <c r="J61">
        <v>1.9824000000000001E-2</v>
      </c>
      <c r="K61" s="17">
        <f t="shared" si="14"/>
        <v>2.07945E-2</v>
      </c>
      <c r="M61">
        <v>1.5852000000000002E-2</v>
      </c>
      <c r="N61">
        <v>1.7402000000000001E-2</v>
      </c>
      <c r="O61" s="17">
        <f t="shared" si="15"/>
        <v>1.6627000000000003E-2</v>
      </c>
      <c r="Q61">
        <v>2.1579000000000001E-2</v>
      </c>
      <c r="R61">
        <v>2.2749999999999999E-2</v>
      </c>
      <c r="S61" s="17">
        <f t="shared" si="16"/>
        <v>2.21645E-2</v>
      </c>
      <c r="U61">
        <v>1.9817999999999999E-2</v>
      </c>
      <c r="V61">
        <v>2.2995999999999999E-2</v>
      </c>
      <c r="W61" s="17">
        <f t="shared" si="17"/>
        <v>2.1406999999999999E-2</v>
      </c>
    </row>
    <row r="62" spans="1:23">
      <c r="A62" t="s">
        <v>14</v>
      </c>
      <c r="B62">
        <f t="shared" si="26"/>
        <v>0.1645010957451882</v>
      </c>
      <c r="C62">
        <f t="shared" si="27"/>
        <v>3.0396015876402564E-2</v>
      </c>
      <c r="D62">
        <f>COUNT(E62:V62)/2</f>
        <v>7</v>
      </c>
      <c r="E62">
        <v>2.0843E-2</v>
      </c>
      <c r="F62">
        <v>2.3845999999999999E-2</v>
      </c>
      <c r="G62" s="17">
        <f t="shared" si="3"/>
        <v>2.23445E-2</v>
      </c>
      <c r="I62">
        <v>2.9243000000000002E-2</v>
      </c>
      <c r="J62">
        <v>2.8892999999999999E-2</v>
      </c>
      <c r="K62" s="17">
        <f t="shared" si="14"/>
        <v>2.9068E-2</v>
      </c>
      <c r="M62">
        <v>1.4421E-2</v>
      </c>
      <c r="N62">
        <v>1.6612999999999999E-2</v>
      </c>
      <c r="O62" s="17">
        <f t="shared" si="15"/>
        <v>1.5517E-2</v>
      </c>
      <c r="Q62">
        <v>1.9411000000000001E-2</v>
      </c>
      <c r="R62">
        <v>1.9737000000000001E-2</v>
      </c>
      <c r="S62" s="17">
        <f t="shared" si="16"/>
        <v>1.9574000000000001E-2</v>
      </c>
      <c r="U62">
        <v>1.8495000000000001E-2</v>
      </c>
      <c r="V62">
        <v>2.0233000000000001E-2</v>
      </c>
      <c r="W62" s="17">
        <f t="shared" si="17"/>
        <v>1.9363999999999999E-2</v>
      </c>
    </row>
    <row r="63" spans="1:23">
      <c r="A63" t="s">
        <v>56</v>
      </c>
      <c r="B63">
        <f>AVERAGE(E63/E$9,I63/I$9,M63/M$9,Q63/Q$9,U63/U$9)</f>
        <v>0.16592446004352607</v>
      </c>
      <c r="C63">
        <f>STDEV(E63/E$9,I63/I$9,M63/M$9,Q63/Q$9,U63/U$9)/SQRT(D63)</f>
        <v>2.9250369133400216E-2</v>
      </c>
      <c r="D63">
        <f>COUNT(E63:V63)</f>
        <v>9</v>
      </c>
      <c r="E63">
        <v>1.8783000000000001E-2</v>
      </c>
      <c r="G63" s="17">
        <f t="shared" si="3"/>
        <v>1.8783000000000001E-2</v>
      </c>
      <c r="I63">
        <v>3.0897000000000001E-2</v>
      </c>
      <c r="K63" s="17">
        <f t="shared" si="14"/>
        <v>3.0897000000000001E-2</v>
      </c>
      <c r="M63">
        <v>1.4609E-2</v>
      </c>
      <c r="O63" s="17">
        <f t="shared" si="15"/>
        <v>1.4609E-2</v>
      </c>
      <c r="Q63">
        <v>2.1174999999999999E-2</v>
      </c>
      <c r="S63" s="17">
        <f t="shared" si="16"/>
        <v>2.1174999999999999E-2</v>
      </c>
      <c r="U63">
        <v>2.2584E-2</v>
      </c>
      <c r="W63" s="17">
        <f t="shared" si="17"/>
        <v>2.2584E-2</v>
      </c>
    </row>
    <row r="64" spans="1:23">
      <c r="A64" t="s">
        <v>57</v>
      </c>
      <c r="B64">
        <f>AVERAGE(F64/E$9,J64/I$9,N64/M$9,R64/Q$9,V64/U$9)</f>
        <v>0.12083919499836231</v>
      </c>
      <c r="C64">
        <f>STDEV(F64/E$9,J64/I$9,N64/M$9,R64/Q$9,V64/U$9)/SQRT(D64)</f>
        <v>2.8683395254775267E-2</v>
      </c>
      <c r="D64">
        <f>COUNT(E64:V64)</f>
        <v>7</v>
      </c>
      <c r="F64">
        <v>1.5299E-2</v>
      </c>
      <c r="G64" s="17">
        <f t="shared" si="3"/>
        <v>1.5299E-2</v>
      </c>
      <c r="J64">
        <v>1.8582999999999999E-2</v>
      </c>
      <c r="K64" s="17">
        <f t="shared" si="14"/>
        <v>1.8582999999999999E-2</v>
      </c>
      <c r="O64" s="17" t="e">
        <f t="shared" si="15"/>
        <v>#DIV/0!</v>
      </c>
      <c r="R64">
        <v>2.9815999999999999E-2</v>
      </c>
      <c r="S64" s="17">
        <f t="shared" si="16"/>
        <v>2.9815999999999999E-2</v>
      </c>
      <c r="V64">
        <v>1.8471000000000001E-2</v>
      </c>
      <c r="W64" s="17">
        <f t="shared" si="17"/>
        <v>1.8471000000000001E-2</v>
      </c>
    </row>
    <row r="65" spans="1:23">
      <c r="A65" t="s">
        <v>15</v>
      </c>
      <c r="B65">
        <f>AVERAGE(E65/E$9,F65/E$9,I65/I$9,J65/I$9,M65/M$9,N65/M$9,Q65/Q$9,R65/Q$9,U65/U$9,V65/U$9)</f>
        <v>0.12714374392163261</v>
      </c>
      <c r="C65">
        <f t="shared" ref="C65" si="28">STDEV(E65/E$9,F65/E$9,I65/I$9,J65/I$9,M65/M$9,N65/M$9,Q65/Q$9,R65/Q$9,U65/U$9,V65/U$9)/SQRT(D65)</f>
        <v>1.5037169596136097E-2</v>
      </c>
      <c r="D65">
        <f>COUNT(E65:V65)/2</f>
        <v>7</v>
      </c>
      <c r="E65">
        <v>1.2930000000000001E-2</v>
      </c>
      <c r="F65">
        <v>1.7566999999999999E-2</v>
      </c>
      <c r="G65" s="17">
        <f t="shared" si="3"/>
        <v>1.52485E-2</v>
      </c>
      <c r="I65">
        <v>1.8467000000000001E-2</v>
      </c>
      <c r="J65">
        <v>1.8870000000000001E-2</v>
      </c>
      <c r="K65" s="17">
        <f t="shared" si="14"/>
        <v>1.8668500000000001E-2</v>
      </c>
      <c r="M65">
        <v>1.4465E-2</v>
      </c>
      <c r="N65">
        <v>1.9628E-2</v>
      </c>
      <c r="O65" s="17">
        <f t="shared" si="15"/>
        <v>1.7046499999999999E-2</v>
      </c>
      <c r="Q65">
        <v>1.9161000000000001E-2</v>
      </c>
      <c r="R65">
        <v>1.6590000000000001E-2</v>
      </c>
      <c r="S65" s="17">
        <f t="shared" si="16"/>
        <v>1.7875500000000002E-2</v>
      </c>
      <c r="U65">
        <v>1.6285000000000001E-2</v>
      </c>
      <c r="V65">
        <v>1.6487999999999999E-2</v>
      </c>
      <c r="W65" s="17">
        <f t="shared" si="17"/>
        <v>1.6386499999999998E-2</v>
      </c>
    </row>
    <row r="66" spans="1:23">
      <c r="A66" t="s">
        <v>22</v>
      </c>
      <c r="B66">
        <f>AVERAGE(E66/E$9,J66/I$9,Q66/Q$9,R66/Q$9,V66/U$9)</f>
        <v>0.19250698813831263</v>
      </c>
      <c r="C66">
        <f>STDEV(E66/E$9,J66/I$9,Q66/Q$9,R66/Q$9,V66/U$9)/SQRT(D66)</f>
        <v>2.9767107667378799E-2</v>
      </c>
      <c r="D66">
        <v>4</v>
      </c>
      <c r="E66">
        <v>2.3016000000000002E-2</v>
      </c>
      <c r="G66" s="17">
        <f t="shared" si="3"/>
        <v>2.3016000000000002E-2</v>
      </c>
      <c r="J66">
        <v>2.7817999999999999E-2</v>
      </c>
      <c r="K66" s="17">
        <f t="shared" si="14"/>
        <v>2.7817999999999999E-2</v>
      </c>
      <c r="N66">
        <v>1.3886000000000001E-2</v>
      </c>
      <c r="O66" s="17">
        <f t="shared" si="15"/>
        <v>1.3886000000000001E-2</v>
      </c>
      <c r="Q66">
        <v>2.9291000000000001E-2</v>
      </c>
      <c r="R66">
        <v>2.9562999999999999E-2</v>
      </c>
      <c r="S66" s="17">
        <f t="shared" si="16"/>
        <v>2.9427000000000002E-2</v>
      </c>
      <c r="V66">
        <v>2.2782E-2</v>
      </c>
      <c r="W66" s="17">
        <f t="shared" si="17"/>
        <v>2.2782E-2</v>
      </c>
    </row>
    <row r="67" spans="1:23">
      <c r="A67" t="s">
        <v>59</v>
      </c>
      <c r="B67" t="s">
        <v>30</v>
      </c>
      <c r="C67" t="s">
        <v>30</v>
      </c>
      <c r="D67">
        <v>0</v>
      </c>
      <c r="G67" s="17" t="e">
        <f t="shared" si="3"/>
        <v>#DIV/0!</v>
      </c>
      <c r="K67" s="17" t="e">
        <f t="shared" si="14"/>
        <v>#DIV/0!</v>
      </c>
      <c r="O67" s="17" t="e">
        <f t="shared" si="15"/>
        <v>#DIV/0!</v>
      </c>
      <c r="S67" s="17" t="e">
        <f t="shared" si="16"/>
        <v>#DIV/0!</v>
      </c>
      <c r="W67" s="17" t="e">
        <f t="shared" si="17"/>
        <v>#DIV/0!</v>
      </c>
    </row>
    <row r="68" spans="1:23">
      <c r="A68" t="s">
        <v>58</v>
      </c>
      <c r="B68" t="s">
        <v>30</v>
      </c>
      <c r="C68" t="s">
        <v>30</v>
      </c>
      <c r="D68">
        <v>0</v>
      </c>
      <c r="G68" s="17" t="e">
        <f t="shared" si="3"/>
        <v>#DIV/0!</v>
      </c>
      <c r="K68" s="17" t="e">
        <f t="shared" si="14"/>
        <v>#DIV/0!</v>
      </c>
      <c r="O68" s="17" t="e">
        <f t="shared" si="15"/>
        <v>#DIV/0!</v>
      </c>
      <c r="S68" s="17" t="e">
        <f t="shared" si="16"/>
        <v>#DIV/0!</v>
      </c>
      <c r="W68" s="17" t="e">
        <f t="shared" si="17"/>
        <v>#DIV/0!</v>
      </c>
    </row>
    <row r="69" spans="1:23">
      <c r="G69" s="17" t="e">
        <f t="shared" si="3"/>
        <v>#DIV/0!</v>
      </c>
      <c r="K69" s="17" t="e">
        <f t="shared" si="14"/>
        <v>#DIV/0!</v>
      </c>
      <c r="O69" s="17" t="e">
        <f t="shared" si="15"/>
        <v>#DIV/0!</v>
      </c>
      <c r="S69" s="17" t="e">
        <f t="shared" si="16"/>
        <v>#DIV/0!</v>
      </c>
      <c r="W69" s="17" t="e">
        <f t="shared" si="17"/>
        <v>#DIV/0!</v>
      </c>
    </row>
    <row r="81" spans="1:32">
      <c r="A81" s="1" t="s">
        <v>32</v>
      </c>
      <c r="E81" s="74">
        <v>42544</v>
      </c>
      <c r="I81" s="74">
        <v>42544</v>
      </c>
      <c r="M81" s="74">
        <v>42625</v>
      </c>
      <c r="Q81" s="74">
        <v>42625</v>
      </c>
      <c r="U81" s="74"/>
      <c r="W81" s="74"/>
      <c r="AA81" s="74"/>
      <c r="AC81" s="74"/>
      <c r="AF81" s="13"/>
    </row>
    <row r="82" spans="1:32">
      <c r="A82" s="1" t="s">
        <v>33</v>
      </c>
      <c r="E82" s="75" t="s">
        <v>39</v>
      </c>
      <c r="I82" s="75" t="s">
        <v>39</v>
      </c>
      <c r="M82" s="75" t="s">
        <v>39</v>
      </c>
      <c r="Q82" s="75" t="s">
        <v>39</v>
      </c>
      <c r="U82" s="75" t="s">
        <v>252</v>
      </c>
      <c r="W82" s="75" t="s">
        <v>252</v>
      </c>
      <c r="AA82" s="75" t="s">
        <v>132</v>
      </c>
      <c r="AC82" s="75" t="s">
        <v>132</v>
      </c>
      <c r="AF82" s="14" t="s">
        <v>272</v>
      </c>
    </row>
    <row r="83" spans="1:32" ht="17">
      <c r="A83" s="1" t="s">
        <v>34</v>
      </c>
      <c r="E83" s="76" t="s">
        <v>73</v>
      </c>
      <c r="I83" s="76" t="s">
        <v>51</v>
      </c>
      <c r="M83" s="76" t="s">
        <v>178</v>
      </c>
      <c r="Q83" s="76" t="s">
        <v>184</v>
      </c>
      <c r="U83" s="76" t="s">
        <v>209</v>
      </c>
      <c r="W83" s="76" t="s">
        <v>208</v>
      </c>
      <c r="AA83" s="76" t="s">
        <v>208</v>
      </c>
      <c r="AC83" s="76" t="s">
        <v>216</v>
      </c>
      <c r="AF83" s="53" t="s">
        <v>286</v>
      </c>
    </row>
    <row r="84" spans="1:32">
      <c r="A84" s="1" t="s">
        <v>35</v>
      </c>
      <c r="E84" s="75" t="s">
        <v>52</v>
      </c>
      <c r="I84" s="75" t="s">
        <v>52</v>
      </c>
      <c r="M84" s="75" t="s">
        <v>52</v>
      </c>
      <c r="Q84" s="75" t="s">
        <v>52</v>
      </c>
      <c r="U84" s="75" t="s">
        <v>52</v>
      </c>
      <c r="W84" s="75" t="s">
        <v>52</v>
      </c>
      <c r="AA84" s="75" t="s">
        <v>52</v>
      </c>
      <c r="AC84" s="75" t="s">
        <v>52</v>
      </c>
      <c r="AF84" s="14" t="s">
        <v>52</v>
      </c>
    </row>
    <row r="85" spans="1:32">
      <c r="A85" s="1" t="s">
        <v>36</v>
      </c>
      <c r="E85" s="77" t="s">
        <v>175</v>
      </c>
      <c r="I85" s="77" t="s">
        <v>175</v>
      </c>
      <c r="M85" s="77" t="s">
        <v>175</v>
      </c>
      <c r="Q85" s="77" t="s">
        <v>175</v>
      </c>
      <c r="U85" s="77" t="s">
        <v>175</v>
      </c>
      <c r="W85" s="77" t="s">
        <v>175</v>
      </c>
      <c r="AA85" s="77" t="s">
        <v>175</v>
      </c>
      <c r="AC85" s="77" t="s">
        <v>175</v>
      </c>
      <c r="AF85" s="38" t="s">
        <v>175</v>
      </c>
    </row>
    <row r="86" spans="1:32">
      <c r="A86" s="1" t="s">
        <v>37</v>
      </c>
      <c r="E86" s="44">
        <v>200</v>
      </c>
      <c r="I86" s="44">
        <v>200</v>
      </c>
      <c r="M86" s="44">
        <v>200</v>
      </c>
      <c r="Q86" s="44">
        <v>200</v>
      </c>
      <c r="U86" s="44">
        <v>400</v>
      </c>
      <c r="W86" s="44">
        <v>400</v>
      </c>
      <c r="AA86" s="44">
        <v>400</v>
      </c>
      <c r="AC86" s="44">
        <v>400</v>
      </c>
      <c r="AF86" s="2"/>
    </row>
    <row r="87" spans="1:32">
      <c r="A87" s="1" t="s">
        <v>38</v>
      </c>
      <c r="E87" s="44">
        <v>0.1</v>
      </c>
      <c r="I87" s="44">
        <v>0.1</v>
      </c>
      <c r="M87" s="44">
        <v>0.1</v>
      </c>
      <c r="Q87" s="44">
        <v>0.1</v>
      </c>
      <c r="U87" s="44">
        <v>0.2</v>
      </c>
      <c r="W87" s="44">
        <v>0.2</v>
      </c>
      <c r="AA87" s="44">
        <v>0.2</v>
      </c>
      <c r="AC87" s="44">
        <v>0.2</v>
      </c>
      <c r="AF87" s="2"/>
    </row>
    <row r="88" spans="1:32">
      <c r="A88" s="1" t="s">
        <v>43</v>
      </c>
      <c r="E88" s="27">
        <v>5.0457372E-2</v>
      </c>
      <c r="I88" s="27">
        <v>4.2219808999999997E-2</v>
      </c>
      <c r="M88" s="27">
        <v>4.6049235000000001E-2</v>
      </c>
      <c r="N88" s="27"/>
      <c r="Q88" s="27">
        <v>4.0426218E-2</v>
      </c>
      <c r="U88" s="31">
        <v>0.15362820402181199</v>
      </c>
      <c r="V88" s="31"/>
      <c r="W88" s="31">
        <v>0.16826573052277999</v>
      </c>
      <c r="AA88">
        <f>AVERAGE(0.14725585,0.15728741)</f>
        <v>0.15227162999999999</v>
      </c>
      <c r="AC88">
        <f>AVERAGE(0.154716672,0.175252074)</f>
        <v>0.16498437300000002</v>
      </c>
    </row>
    <row r="89" spans="1:32">
      <c r="A89" s="1" t="s">
        <v>54</v>
      </c>
      <c r="E89">
        <f>E99</f>
        <v>5.3608000000000003E-2</v>
      </c>
      <c r="I89">
        <f>I99</f>
        <v>4.6267000000000003E-2</v>
      </c>
      <c r="M89">
        <f>M99</f>
        <v>5.058E-2</v>
      </c>
      <c r="Q89">
        <f>Q99</f>
        <v>4.4880000000000003E-2</v>
      </c>
      <c r="U89">
        <f>U99</f>
        <v>0.17083000000000001</v>
      </c>
      <c r="W89">
        <f>W99</f>
        <v>0.18984000000000001</v>
      </c>
      <c r="AA89">
        <f>AVERAGE(AA99:AB99)</f>
        <v>0.16747000000000001</v>
      </c>
      <c r="AC89">
        <f>AVERAGE(AC99:AD99)</f>
        <v>0.18109</v>
      </c>
      <c r="AF89">
        <v>0.18545</v>
      </c>
    </row>
    <row r="90" spans="1:32">
      <c r="A90" s="1" t="s">
        <v>44</v>
      </c>
      <c r="E90" s="21">
        <f>E86*E87*(1-E88)/E88</f>
        <v>376.3741908714548</v>
      </c>
      <c r="I90" s="21">
        <f>I86*I87*(1-I88)/I88</f>
        <v>453.71128561950627</v>
      </c>
      <c r="M90" s="21">
        <f>M86*M87*(1-M88)/M88</f>
        <v>414.31774708092325</v>
      </c>
      <c r="Q90" s="21">
        <f>Q86*Q87*(1-Q88)/Q88</f>
        <v>474.72844578238806</v>
      </c>
      <c r="U90" s="21">
        <f>U86*U87*(1-U88)/U88</f>
        <v>440.73771550855122</v>
      </c>
      <c r="W90" s="21">
        <f>W86*W87*(1-W88)/W88</f>
        <v>395.4384612449029</v>
      </c>
      <c r="AA90" s="21">
        <f>AA86*AA87*(1-AA88)/AA88</f>
        <v>445.37692017876219</v>
      </c>
      <c r="AC90" s="21">
        <f>AC86*AC87*(1-AC88)/AC88</f>
        <v>404.89440875712506</v>
      </c>
      <c r="AF90" s="21" t="e">
        <f>AF86*AF87*(1-AF88)/AF88</f>
        <v>#DIV/0!</v>
      </c>
    </row>
    <row r="91" spans="1:32">
      <c r="A91" s="1" t="s">
        <v>292</v>
      </c>
      <c r="C91" s="43">
        <f>AVERAGE(E91:AC91)</f>
        <v>0.89753548138609152</v>
      </c>
      <c r="E91">
        <f>(1-E89)*E88/E89/(1-E88)</f>
        <v>0.93810535775804649</v>
      </c>
      <c r="I91">
        <f>(1-I89)*I88/I89/(1-I88)</f>
        <v>0.90866935816880279</v>
      </c>
      <c r="M91">
        <f>(1-M89)*M88/M89/(1-M88)</f>
        <v>0.90609974939785198</v>
      </c>
      <c r="Q91">
        <f>(1-Q89)*Q88/Q89/(1-Q88)</f>
        <v>0.89658161914544698</v>
      </c>
      <c r="U91">
        <f>(1-U89)*U88/U89/(1-U88)</f>
        <v>0.88102698466656038</v>
      </c>
      <c r="W91">
        <f>(1-W89)*W88/W89/(1-W88)</f>
        <v>0.86336442838340488</v>
      </c>
      <c r="AA91">
        <f>(1-AA89)*AA88/AA89/(1-AA88)</f>
        <v>0.8929459072547562</v>
      </c>
      <c r="AC91">
        <f>(1-AC89)*AC88/AC89/(1-AC88)</f>
        <v>0.89349044631386332</v>
      </c>
    </row>
    <row r="92" spans="1:32">
      <c r="A92" s="1" t="s">
        <v>33</v>
      </c>
      <c r="E92" t="s">
        <v>39</v>
      </c>
      <c r="I92" t="s">
        <v>39</v>
      </c>
      <c r="M92" t="s">
        <v>39</v>
      </c>
      <c r="Q92" t="s">
        <v>39</v>
      </c>
      <c r="U92" t="s">
        <v>252</v>
      </c>
      <c r="W92" t="s">
        <v>252</v>
      </c>
      <c r="AA92" t="s">
        <v>132</v>
      </c>
      <c r="AC92" t="s">
        <v>132</v>
      </c>
      <c r="AF92" t="s">
        <v>272</v>
      </c>
    </row>
    <row r="93" spans="1:32">
      <c r="A93" s="1" t="s">
        <v>45</v>
      </c>
      <c r="E93" t="s">
        <v>47</v>
      </c>
      <c r="I93" t="s">
        <v>47</v>
      </c>
      <c r="M93" t="s">
        <v>47</v>
      </c>
      <c r="Q93" t="s">
        <v>47</v>
      </c>
      <c r="U93" t="s">
        <v>47</v>
      </c>
      <c r="W93" t="s">
        <v>47</v>
      </c>
      <c r="AA93" t="s">
        <v>47</v>
      </c>
      <c r="AC93" t="s">
        <v>47</v>
      </c>
      <c r="AF93" t="s">
        <v>106</v>
      </c>
    </row>
    <row r="94" spans="1:32" ht="119">
      <c r="A94" s="12" t="s">
        <v>31</v>
      </c>
      <c r="E94" s="11" t="s">
        <v>182</v>
      </c>
      <c r="I94" s="11" t="s">
        <v>182</v>
      </c>
      <c r="M94" s="11" t="s">
        <v>183</v>
      </c>
      <c r="Q94" s="11" t="s">
        <v>183</v>
      </c>
      <c r="U94" s="11" t="s">
        <v>253</v>
      </c>
      <c r="W94" s="11" t="s">
        <v>253</v>
      </c>
      <c r="AA94" s="10" t="s">
        <v>230</v>
      </c>
      <c r="AC94" s="10" t="s">
        <v>230</v>
      </c>
      <c r="AF94" s="10" t="s">
        <v>280</v>
      </c>
    </row>
    <row r="95" spans="1:32">
      <c r="B95" s="1"/>
      <c r="C95" s="1"/>
      <c r="D95" s="1"/>
    </row>
    <row r="96" spans="1:32">
      <c r="A96" s="1" t="s">
        <v>50</v>
      </c>
      <c r="E96" t="s">
        <v>177</v>
      </c>
      <c r="I96" t="s">
        <v>177</v>
      </c>
    </row>
    <row r="97" spans="1:32">
      <c r="B97" s="1" t="s">
        <v>5</v>
      </c>
      <c r="C97" s="1" t="s">
        <v>6</v>
      </c>
      <c r="D97" s="1" t="s">
        <v>55</v>
      </c>
    </row>
    <row r="98" spans="1:32">
      <c r="A98" s="1" t="s">
        <v>0</v>
      </c>
    </row>
    <row r="99" spans="1:32">
      <c r="A99" t="s">
        <v>60</v>
      </c>
      <c r="B99">
        <f>AVERAGE(E99/E$89,I99/I$89,M99/M$89,Q99/Q$89,AVERAGE(AA99/AA$89,AB99/AA$89),AVERAGE(AC99/AC$89,AD99/AC$89))</f>
        <v>1</v>
      </c>
      <c r="C99">
        <f>STDEV(E99/E$89,I99/I$89,M99/M$89,Q99/Q$89,AVERAGE(AA99/AA$89,AB99/AA$89),AVERAGE(AC99/AC$89,AD99/AC$89))/SQRT(D99)</f>
        <v>0</v>
      </c>
      <c r="D99">
        <f>COUNT(E99:AZ99)-2</f>
        <v>8</v>
      </c>
      <c r="E99">
        <v>5.3608000000000003E-2</v>
      </c>
      <c r="I99">
        <v>4.6267000000000003E-2</v>
      </c>
      <c r="M99">
        <v>5.058E-2</v>
      </c>
      <c r="Q99">
        <v>4.4880000000000003E-2</v>
      </c>
      <c r="U99">
        <v>0.17083000000000001</v>
      </c>
      <c r="W99">
        <v>0.18984000000000001</v>
      </c>
      <c r="AA99">
        <v>0.16217999999999999</v>
      </c>
      <c r="AB99">
        <v>0.17276</v>
      </c>
      <c r="AC99">
        <v>0.1696</v>
      </c>
      <c r="AD99">
        <v>0.19258</v>
      </c>
    </row>
    <row r="100" spans="1:32">
      <c r="A100" t="s">
        <v>61</v>
      </c>
      <c r="B100">
        <f>AVERAGE(E100/E$89,I100/I$89,M100/M$89,Q100/Q$89,U100/U$89,W100/W$89,AVERAGE(AA100/AA$89,AB100/AA$89),AVERAGE(AC100/AC$89,AD100/AC$89))</f>
        <v>0.79297216160306194</v>
      </c>
      <c r="C100">
        <f>STDEV(E100/E$89,I100/I$89,M100/M$89,Q100/Q$89,U100/U$89,W100/W$89,AVERAGE(AA100/AA$89,AB100/AA$89),AVERAGE(AC100/AC$89,AD100/AC$89))/SQRT(D100)</f>
        <v>1.8041733046606837E-2</v>
      </c>
      <c r="D100">
        <f>COUNT(E100:AZ100)-2</f>
        <v>8</v>
      </c>
      <c r="E100">
        <v>3.8830000000000003E-2</v>
      </c>
      <c r="I100">
        <v>4.0384000000000003E-2</v>
      </c>
      <c r="M100">
        <v>3.9775999999999999E-2</v>
      </c>
      <c r="Q100">
        <v>3.2407999999999999E-2</v>
      </c>
      <c r="U100">
        <v>0.14187</v>
      </c>
      <c r="W100">
        <v>0.15537999999999999</v>
      </c>
      <c r="AA100">
        <v>0.12898999999999999</v>
      </c>
      <c r="AB100">
        <v>0.13643</v>
      </c>
      <c r="AC100">
        <v>0.13800999999999999</v>
      </c>
      <c r="AD100">
        <v>0.15054000000000001</v>
      </c>
    </row>
    <row r="101" spans="1:32">
      <c r="A101" t="s">
        <v>62</v>
      </c>
      <c r="B101">
        <f>AVERAGE(E101/E$89,I101/I$89,M101/M$89,Q101/Q$89,U101/U$89,W101/W$89,AVERAGE(AA101/AA$89,AB101/AA$89),AVERAGE(AC101/AC$89,AD101/AC$89))</f>
        <v>0.21493543367502113</v>
      </c>
      <c r="C101">
        <f>STDEV(E101/E$89,I101/I$89,M101/M$89,Q101/Q$89,U101/U$89,W101/W$89,AVERAGE(AA101/AA$89,AB101/AA$89),AVERAGE(AC101/AC$89,AD101/AC$89))/SQRT(D101)</f>
        <v>2.0644665149935768E-2</v>
      </c>
      <c r="D101">
        <f t="shared" ref="D101:D109" si="29">COUNT(E101:AZ101)-2</f>
        <v>8</v>
      </c>
      <c r="E101">
        <v>1.0325000000000001E-2</v>
      </c>
      <c r="I101">
        <v>8.3847999999999995E-3</v>
      </c>
      <c r="M101">
        <v>9.9974999999999994E-3</v>
      </c>
      <c r="Q101">
        <v>7.5745999999999999E-3</v>
      </c>
      <c r="U101">
        <v>5.9374000000000003E-2</v>
      </c>
      <c r="W101">
        <v>4.7151999999999999E-2</v>
      </c>
      <c r="AA101">
        <v>3.1959000000000001E-2</v>
      </c>
      <c r="AB101">
        <v>3.1497999999999998E-2</v>
      </c>
      <c r="AC101">
        <v>3.3891999999999999E-2</v>
      </c>
      <c r="AD101">
        <v>3.6308E-2</v>
      </c>
    </row>
    <row r="102" spans="1:32">
      <c r="A102" t="s">
        <v>63</v>
      </c>
      <c r="B102">
        <f>AVERAGE(E102/E$89,I102/I$89,M102/M$89,Q102/Q$89,U102/U$89,W102/W$89,AVERAGE(AA102/AA$89,AB102/AA$89),AVERAGE(AC102/AC$89,AD102/AC$89))</f>
        <v>0.45928663030404682</v>
      </c>
      <c r="C102">
        <f>STDEV(E102/E$89,I102/I$89,M102/M$89,Q102/Q$89,U102/U$89,W102/W$89,AVERAGE(AA102/AA$89,AB102/AA$89),AVERAGE(AC102/AC$89,AD102/AC$89))/SQRT(D102)</f>
        <v>4.2693471746454124E-2</v>
      </c>
      <c r="D102">
        <f t="shared" si="29"/>
        <v>8</v>
      </c>
      <c r="E102">
        <v>2.5611999999999999E-2</v>
      </c>
      <c r="I102">
        <v>2.513E-2</v>
      </c>
      <c r="M102">
        <v>3.0016000000000001E-2</v>
      </c>
      <c r="Q102">
        <v>2.3560000000000001E-2</v>
      </c>
      <c r="U102">
        <v>9.0477000000000002E-2</v>
      </c>
      <c r="W102">
        <v>8.6176000000000003E-2</v>
      </c>
      <c r="AA102">
        <v>4.5976000000000003E-2</v>
      </c>
      <c r="AB102">
        <v>4.5638999999999999E-2</v>
      </c>
      <c r="AC102">
        <v>4.5094000000000002E-2</v>
      </c>
      <c r="AD102">
        <v>5.5551000000000003E-2</v>
      </c>
    </row>
    <row r="103" spans="1:32">
      <c r="A103" t="s">
        <v>64</v>
      </c>
      <c r="B103">
        <f t="shared" ref="B103" si="30">AVERAGE(E103/E$89,I103/I$89,M103/M$89,Q103/Q$89,AVERAGE(AA103/AA$89,AB103/AA$89),AVERAGE(AC103/AC$89,AD103/AC$89))</f>
        <v>2.7177727335563794E-2</v>
      </c>
      <c r="C103">
        <f t="shared" ref="C103" si="31">STDEV(E103/E$89,I103/I$89,M103/M$89,Q103/Q$89,AVERAGE(AA103/AA$89,AB103/AA$89),AVERAGE(AC103/AC$89,AD103/AC$89))/SQRT(D103)</f>
        <v>1.0080348166235278E-2</v>
      </c>
      <c r="D103">
        <f t="shared" si="29"/>
        <v>6</v>
      </c>
      <c r="E103">
        <v>1.2773000000000001E-3</v>
      </c>
      <c r="I103">
        <v>1.121E-3</v>
      </c>
      <c r="M103">
        <v>6.8963E-4</v>
      </c>
      <c r="Q103">
        <v>3.4013000000000001E-4</v>
      </c>
      <c r="AA103">
        <v>1.874E-2</v>
      </c>
      <c r="AB103">
        <v>6.6847E-3</v>
      </c>
      <c r="AC103">
        <v>0</v>
      </c>
      <c r="AD103">
        <v>6.4792000000000001E-3</v>
      </c>
    </row>
    <row r="104" spans="1:32">
      <c r="A104" t="s">
        <v>65</v>
      </c>
      <c r="B104">
        <f t="shared" ref="B104:B109" si="32">AVERAGE(E104/E$89,I104/I$89,M104/M$89,Q104/Q$89,U104/U$89,W104/W$89,AVERAGE(AA104/AA$89,AB104/AA$89),AVERAGE(AC104/AC$89,AD104/AC$89))</f>
        <v>1.2473429131201278E-2</v>
      </c>
      <c r="C104">
        <f t="shared" ref="C104:C109" si="33">STDEV(E104/E$89,I104/I$89,M104/M$89,Q104/Q$89,U104/U$89,W104/W$89,AVERAGE(AA104/AA$89,AB104/AA$89),AVERAGE(AC104/AC$89,AD104/AC$89))/SQRT(D104)</f>
        <v>4.1540596398072999E-3</v>
      </c>
      <c r="D104">
        <f t="shared" si="29"/>
        <v>8</v>
      </c>
      <c r="E104">
        <v>1.9183E-3</v>
      </c>
      <c r="I104">
        <v>1.718E-4</v>
      </c>
      <c r="M104" s="15">
        <v>2.3215000000000001E-5</v>
      </c>
      <c r="N104" s="15"/>
      <c r="Q104" s="15">
        <v>5.7436999999999997E-6</v>
      </c>
      <c r="U104">
        <v>2.0103E-3</v>
      </c>
      <c r="W104">
        <v>2.5000999999999999E-3</v>
      </c>
      <c r="AA104">
        <v>3.2174999999999999E-3</v>
      </c>
      <c r="AB104">
        <v>2.7309000000000001E-3</v>
      </c>
      <c r="AC104">
        <v>2.9459E-3</v>
      </c>
      <c r="AD104">
        <v>3.2135000000000002E-3</v>
      </c>
    </row>
    <row r="105" spans="1:32">
      <c r="A105" t="s">
        <v>66</v>
      </c>
      <c r="B105">
        <f t="shared" si="32"/>
        <v>1.3486987850953223E-3</v>
      </c>
      <c r="C105">
        <f t="shared" si="33"/>
        <v>5.1420858553110217E-4</v>
      </c>
      <c r="D105">
        <f t="shared" si="29"/>
        <v>8</v>
      </c>
      <c r="E105" s="15">
        <v>1.2964E-5</v>
      </c>
      <c r="I105">
        <v>1.8227E-4</v>
      </c>
      <c r="M105">
        <v>0</v>
      </c>
      <c r="Q105">
        <v>0</v>
      </c>
      <c r="U105">
        <v>1.1760999999999999E-4</v>
      </c>
      <c r="W105">
        <v>5.4730000000000002E-4</v>
      </c>
      <c r="AA105">
        <v>1.8001000000000001E-4</v>
      </c>
      <c r="AB105">
        <v>1.818E-4</v>
      </c>
      <c r="AC105">
        <v>3.7471999999999999E-4</v>
      </c>
      <c r="AD105">
        <v>3.3391999999999997E-4</v>
      </c>
    </row>
    <row r="106" spans="1:32">
      <c r="A106" t="s">
        <v>67</v>
      </c>
      <c r="B106">
        <f t="shared" si="32"/>
        <v>1.1182799209073272E-4</v>
      </c>
      <c r="C106">
        <f t="shared" si="33"/>
        <v>1.1182799209073272E-4</v>
      </c>
      <c r="D106">
        <f t="shared" si="29"/>
        <v>8</v>
      </c>
      <c r="E106" s="15">
        <v>4.7958999999999999E-5</v>
      </c>
      <c r="I106">
        <v>0</v>
      </c>
      <c r="M106">
        <v>0</v>
      </c>
      <c r="Q106">
        <v>0</v>
      </c>
      <c r="U106">
        <v>0</v>
      </c>
      <c r="W106">
        <v>0</v>
      </c>
      <c r="AA106">
        <v>0</v>
      </c>
      <c r="AB106">
        <v>0</v>
      </c>
      <c r="AC106">
        <v>0</v>
      </c>
      <c r="AD106">
        <v>0</v>
      </c>
    </row>
    <row r="107" spans="1:32">
      <c r="A107" t="s">
        <v>71</v>
      </c>
      <c r="B107">
        <f t="shared" si="32"/>
        <v>7.943235357805685E-2</v>
      </c>
      <c r="C107">
        <f t="shared" si="33"/>
        <v>1.7316418627551625E-2</v>
      </c>
      <c r="D107">
        <f t="shared" si="29"/>
        <v>8</v>
      </c>
      <c r="E107">
        <v>8.8918999999999995E-3</v>
      </c>
      <c r="I107">
        <v>1.5681E-3</v>
      </c>
      <c r="M107">
        <v>6.3721000000000003E-3</v>
      </c>
      <c r="Q107">
        <v>4.8330999999999999E-3</v>
      </c>
      <c r="U107">
        <v>1.004E-2</v>
      </c>
      <c r="W107">
        <v>1.3403E-2</v>
      </c>
      <c r="AA107">
        <v>6.0602E-3</v>
      </c>
      <c r="AB107">
        <v>7.9527999999999995E-3</v>
      </c>
      <c r="AC107">
        <v>4.1184000000000004E-3</v>
      </c>
      <c r="AD107">
        <v>7.0428000000000001E-3</v>
      </c>
    </row>
    <row r="108" spans="1:32">
      <c r="A108" t="s">
        <v>72</v>
      </c>
      <c r="B108">
        <f t="shared" si="32"/>
        <v>1.8190753789128405E-2</v>
      </c>
      <c r="C108">
        <f t="shared" si="33"/>
        <v>8.3174891016235073E-3</v>
      </c>
      <c r="D108">
        <f t="shared" si="29"/>
        <v>8</v>
      </c>
      <c r="E108">
        <v>0</v>
      </c>
      <c r="I108">
        <v>0</v>
      </c>
      <c r="M108">
        <v>4.5487000000000001E-4</v>
      </c>
      <c r="Q108">
        <v>1.9689E-3</v>
      </c>
      <c r="U108">
        <v>3.6579E-3</v>
      </c>
      <c r="W108">
        <v>1.1995E-2</v>
      </c>
      <c r="AA108">
        <v>0</v>
      </c>
      <c r="AB108">
        <v>0</v>
      </c>
      <c r="AC108">
        <v>2.9210999999999998E-3</v>
      </c>
      <c r="AD108">
        <v>0</v>
      </c>
    </row>
    <row r="109" spans="1:32">
      <c r="A109" t="s">
        <v>69</v>
      </c>
      <c r="B109">
        <f t="shared" si="32"/>
        <v>0.16575221253031561</v>
      </c>
      <c r="C109">
        <f t="shared" si="33"/>
        <v>8.5018301206363847E-3</v>
      </c>
      <c r="D109">
        <f t="shared" si="29"/>
        <v>8</v>
      </c>
      <c r="E109">
        <v>7.2513999999999999E-3</v>
      </c>
      <c r="I109">
        <v>7.2801000000000003E-3</v>
      </c>
      <c r="M109">
        <v>8.2597999999999994E-3</v>
      </c>
      <c r="Q109">
        <v>7.7770000000000001E-3</v>
      </c>
      <c r="U109">
        <v>3.4196999999999998E-2</v>
      </c>
      <c r="W109">
        <v>3.6352000000000002E-2</v>
      </c>
      <c r="AA109">
        <v>2.0229E-2</v>
      </c>
      <c r="AB109">
        <v>2.4216999999999999E-2</v>
      </c>
      <c r="AC109">
        <v>2.6733E-2</v>
      </c>
      <c r="AD109">
        <v>3.5723999999999999E-2</v>
      </c>
    </row>
    <row r="110" spans="1:32" s="44" customFormat="1">
      <c r="A110" s="44" t="s">
        <v>68</v>
      </c>
      <c r="B110" s="44">
        <f>AVERAGE(V110/U89,X110/W89)</f>
        <v>4.3913805134338901E-2</v>
      </c>
      <c r="C110" s="44">
        <f>STDEV(V110/U$89,X110/W$89)/SQRT(D110)</f>
        <v>2.0128854143968279E-3</v>
      </c>
      <c r="D110" s="44">
        <v>2</v>
      </c>
      <c r="V110">
        <v>7.157934115757705E-3</v>
      </c>
      <c r="X110">
        <v>8.718722933771992E-3</v>
      </c>
    </row>
    <row r="111" spans="1:32">
      <c r="A111" t="s">
        <v>70</v>
      </c>
      <c r="B111">
        <f>AVERAGE(AVERAGE(AA111/AA89,AB111/AA89),AVERAGE(AC111/AC89,AD111/AC89),AF111/AF89)</f>
        <v>0.18390862096454605</v>
      </c>
      <c r="C111">
        <f>STDEV(AVERAGE(AA111/AA89,AB111/AA89),AVERAGE(AC111/AC89,AD111/AC89),AF111/AF89)/SQRT(D111)</f>
        <v>1.299044156751325E-2</v>
      </c>
      <c r="D111">
        <v>3</v>
      </c>
      <c r="AA111">
        <v>2.5593999999999999E-2</v>
      </c>
      <c r="AB111">
        <v>4.4450999999999997E-2</v>
      </c>
      <c r="AC111">
        <v>3.5328999999999999E-2</v>
      </c>
      <c r="AD111">
        <v>2.8672E-2</v>
      </c>
      <c r="AF111">
        <v>3.0764E-2</v>
      </c>
    </row>
    <row r="112" spans="1:32">
      <c r="A112" t="s">
        <v>23</v>
      </c>
      <c r="B112">
        <f>AVERAGE(E112/E$89,I112/I$89,M112/M$89,Q112/Q$89,U112/U$89,W112/W$89,AVERAGE(AA112/AA$89,AB112/AA$89),AVERAGE(AC112/AC$89,AD112/AC$89))</f>
        <v>0</v>
      </c>
      <c r="C112">
        <f>STDEV(E112/E$89,I112/I$89,M112/M$89,Q112/Q$89,U112/U$89,W112/W$89,AVERAGE(AA112/AA$89,AB112/AA$89),AVERAGE(AC112/AC$89,AD112/AC$89))/SQRT(D112)</f>
        <v>0</v>
      </c>
      <c r="D112">
        <f t="shared" ref="D112:D113" si="34">COUNT(E112:AZ112)-2</f>
        <v>8</v>
      </c>
      <c r="E112">
        <v>0</v>
      </c>
      <c r="I112">
        <v>0</v>
      </c>
      <c r="M112">
        <v>0</v>
      </c>
      <c r="Q112">
        <v>0</v>
      </c>
      <c r="U112">
        <v>0</v>
      </c>
      <c r="W112">
        <v>0</v>
      </c>
      <c r="AA112">
        <v>0</v>
      </c>
      <c r="AB112">
        <v>0</v>
      </c>
      <c r="AC112">
        <v>0</v>
      </c>
      <c r="AD112">
        <v>0</v>
      </c>
    </row>
    <row r="113" spans="1:30">
      <c r="A113" t="s">
        <v>24</v>
      </c>
      <c r="B113">
        <f>AVERAGE(E113/E$89,I113/I$89,M113/M$89,Q113/Q$89,U113/U$89,W113/W$89,AVERAGE(AA113/AA$89,AB113/AA$89),AVERAGE(AC113/AC$89,AD113/AC$89))</f>
        <v>0</v>
      </c>
      <c r="C113">
        <f>STDEV(E113/E$89,I113/I$89,M113/M$89,Q113/Q$89,U113/U$89,W113/W$89,AVERAGE(AA113/AA$89,AB113/AA$89),AVERAGE(AC113/AC$89,AD113/AC$89))/SQRT(D113)</f>
        <v>0</v>
      </c>
      <c r="D113">
        <f t="shared" si="34"/>
        <v>8</v>
      </c>
      <c r="E113">
        <v>0</v>
      </c>
      <c r="I113">
        <v>0</v>
      </c>
      <c r="M113">
        <v>0</v>
      </c>
      <c r="Q113">
        <v>0</v>
      </c>
      <c r="U113">
        <v>0</v>
      </c>
      <c r="W113">
        <v>0</v>
      </c>
      <c r="AA113">
        <v>0</v>
      </c>
      <c r="AB113">
        <v>0</v>
      </c>
      <c r="AC113">
        <v>0</v>
      </c>
      <c r="AD113">
        <v>0</v>
      </c>
    </row>
    <row r="116" spans="1:30">
      <c r="A116" s="1" t="s">
        <v>16</v>
      </c>
    </row>
    <row r="117" spans="1:30">
      <c r="A117" t="s">
        <v>7</v>
      </c>
      <c r="B117">
        <f>AVERAGE(AVERAGE(E117/E$89,F117/E$89),AVERAGE(I117/I$89,J117/I$89),M117/M$89,Q117/Q$89,AA117/AA$89,AC117/AC$89)</f>
        <v>0.82472775260727305</v>
      </c>
      <c r="C117">
        <f>STDEV(AVERAGE(E117/E$89,F117/E$89),AVERAGE(I117/I$89,J117/I$89),M117/M$89,Q117/Q$89,AA117/AA$89,AC117/AC$89)/SQRT(D117)</f>
        <v>1.4912265150487936E-2</v>
      </c>
      <c r="D117">
        <v>6</v>
      </c>
      <c r="E117">
        <v>4.2530999999999999E-2</v>
      </c>
      <c r="F117">
        <v>4.1942E-2</v>
      </c>
      <c r="I117">
        <v>4.1631000000000001E-2</v>
      </c>
      <c r="J117">
        <v>4.0769E-2</v>
      </c>
      <c r="M117">
        <v>4.0516000000000003E-2</v>
      </c>
      <c r="Q117">
        <v>3.6318999999999997E-2</v>
      </c>
      <c r="AA117">
        <v>0.1376</v>
      </c>
      <c r="AC117">
        <v>0.15176999999999999</v>
      </c>
    </row>
    <row r="118" spans="1:30">
      <c r="A118" t="s">
        <v>8</v>
      </c>
      <c r="B118">
        <f>AVERAGE(AVERAGE(E118/E$89,F118/E$89),AVERAGE(I118/I$89,J118/I$89),M118/M$89,Q118/Q$89,AA118/AA$89,AC118/AC$89)</f>
        <v>0.43539924289051207</v>
      </c>
      <c r="C118">
        <f>STDEV(AVERAGE(E118/E$89,F118/E$89),AVERAGE(I118/I$89,J118/I$89),M118/M$89,Q118/Q$89,AA118/AA$89,AC118/AC$89)/SQRT(D118)</f>
        <v>4.4458105670694241E-2</v>
      </c>
      <c r="D118">
        <v>6</v>
      </c>
      <c r="E118">
        <v>2.2594E-2</v>
      </c>
      <c r="F118">
        <v>1.6336E-2</v>
      </c>
      <c r="I118">
        <v>2.5196E-2</v>
      </c>
      <c r="J118">
        <v>1.1616E-2</v>
      </c>
      <c r="M118">
        <v>1.4366E-2</v>
      </c>
      <c r="Q118">
        <v>2.1531999999999999E-2</v>
      </c>
      <c r="AA118">
        <v>9.8801E-2</v>
      </c>
      <c r="AC118">
        <v>9.0132000000000004E-2</v>
      </c>
    </row>
    <row r="119" spans="1:30">
      <c r="A119" t="s">
        <v>9</v>
      </c>
      <c r="B119">
        <f>AVERAGE(AVERAGE(E119/E$89,F119/E$89),AVERAGE(I119/I$89,J119/I$89),M119/M$89,Q119/Q$89,AA119/AA$89,AC119/AC$89)</f>
        <v>0.38863016072830786</v>
      </c>
      <c r="C119">
        <f>STDEV(AVERAGE(E119/E$89,F119/E$89),AVERAGE(I119/I$89,J119/I$89),M119/M$89,Q119/Q$89,AA119/AA$89,AC119/AC$89)/SQRT(D119)</f>
        <v>2.1579196011895264E-2</v>
      </c>
      <c r="D119">
        <v>6</v>
      </c>
      <c r="E119">
        <v>1.8516999999999999E-2</v>
      </c>
      <c r="F119">
        <v>2.2911999999999998E-2</v>
      </c>
      <c r="I119">
        <v>1.6442999999999999E-2</v>
      </c>
      <c r="J119">
        <v>1.5771E-2</v>
      </c>
      <c r="M119">
        <v>1.5932000000000002E-2</v>
      </c>
      <c r="Q119">
        <v>1.7465999999999999E-2</v>
      </c>
      <c r="AA119">
        <v>7.6428999999999997E-2</v>
      </c>
      <c r="AC119">
        <v>7.9084000000000002E-2</v>
      </c>
    </row>
    <row r="120" spans="1:30">
      <c r="A120" t="s">
        <v>10</v>
      </c>
      <c r="B120">
        <f>AVERAGE(AVERAGE(E120/E$89,F120/E$89),AVERAGE(I120/I$89,J120/I$89),M120/M$89,Q120/Q$89,U120/U$89,W120/W$89,AA120/AA$89,AC120/AC$89)</f>
        <v>0.33807860939381462</v>
      </c>
      <c r="C120">
        <f>STDEV(AVERAGE(E120/E$89,F120/E$89),AVERAGE(I120/I$89,J120/I$89),M120/M$89,Q120/Q$89,U120/U$89,W120/W$89,AA120/AA$89,AC120/AC$89)/SQRT(D120)</f>
        <v>3.1362063537194104E-2</v>
      </c>
      <c r="D120">
        <v>8</v>
      </c>
      <c r="E120">
        <v>1.4741000000000001E-2</v>
      </c>
      <c r="F120">
        <v>1.5776999999999999E-2</v>
      </c>
      <c r="I120">
        <v>1.1906E-2</v>
      </c>
      <c r="J120">
        <v>1.2857E-2</v>
      </c>
      <c r="M120">
        <v>1.2517E-2</v>
      </c>
      <c r="Q120">
        <v>1.3355000000000001E-2</v>
      </c>
      <c r="U120">
        <v>7.8563999999999995E-2</v>
      </c>
      <c r="W120">
        <v>9.1417999999999999E-2</v>
      </c>
      <c r="AA120">
        <v>6.0962000000000002E-2</v>
      </c>
      <c r="AC120">
        <v>5.4665999999999999E-2</v>
      </c>
    </row>
    <row r="121" spans="1:30">
      <c r="A121" t="s">
        <v>11</v>
      </c>
      <c r="B121">
        <f>AVERAGE(AVERAGE(E121/E$89,F121/E$89),AVERAGE(I121/I$89,J121/I$89),M121/M$89,Q121/Q$89,AA121/AA$89,AC121/AC$89)</f>
        <v>0.23031039200067502</v>
      </c>
      <c r="C121">
        <f>STDEV(AVERAGE(E121/E$89,F121/E$89),AVERAGE(I121/I$89,J121/I$89),M121/M$89,Q121/Q$89,AA121/AA$89,AC121/AC$89)/SQRT(D121)</f>
        <v>1.9631374645845065E-2</v>
      </c>
      <c r="D121">
        <v>6</v>
      </c>
      <c r="E121">
        <v>1.2317E-2</v>
      </c>
      <c r="F121">
        <v>1.2017E-2</v>
      </c>
      <c r="I121">
        <v>8.9032E-3</v>
      </c>
      <c r="J121">
        <v>9.5743000000000009E-3</v>
      </c>
      <c r="M121">
        <v>8.8512E-3</v>
      </c>
      <c r="Q121">
        <v>9.1909999999999995E-3</v>
      </c>
      <c r="AA121">
        <v>4.6096999999999999E-2</v>
      </c>
      <c r="AC121">
        <v>5.4358999999999998E-2</v>
      </c>
    </row>
    <row r="122" spans="1:30">
      <c r="A122" t="s">
        <v>49</v>
      </c>
      <c r="B122" t="s">
        <v>30</v>
      </c>
      <c r="C122" t="s">
        <v>30</v>
      </c>
      <c r="D122">
        <v>0</v>
      </c>
    </row>
    <row r="123" spans="1:30">
      <c r="A123" t="s">
        <v>12</v>
      </c>
      <c r="B123">
        <f>AVERAGE(AVERAGE(E123/E$89,F123/E$89),AVERAGE(I123/I$89,J123/I$89),M123/M$89,Q123/Q$89,AA123/AA$89,AC123/AC$89)</f>
        <v>0.27616406062424353</v>
      </c>
      <c r="C123">
        <f>STDEV(AVERAGE(E123/E$89,F123/E$89),AVERAGE(I123/I$89,J123/I$89),M123/M$89,Q123/Q$89,AA123/AA$89,AC123/AC$89)/SQRT(D123)</f>
        <v>1.2713912281521493E-2</v>
      </c>
      <c r="D123">
        <v>6</v>
      </c>
      <c r="E123">
        <v>1.4969E-2</v>
      </c>
      <c r="F123">
        <v>1.4822999999999999E-2</v>
      </c>
      <c r="I123">
        <v>1.256E-2</v>
      </c>
      <c r="J123">
        <v>1.3034E-2</v>
      </c>
      <c r="M123">
        <v>1.1892E-2</v>
      </c>
      <c r="Q123">
        <v>1.1088000000000001E-2</v>
      </c>
      <c r="AA123">
        <v>5.1899000000000001E-2</v>
      </c>
      <c r="AC123">
        <v>5.6219999999999999E-2</v>
      </c>
    </row>
    <row r="124" spans="1:30">
      <c r="A124" t="s">
        <v>13</v>
      </c>
      <c r="B124">
        <f>AVERAGE(AVERAGE(E124/E$89,F124/E$89),AVERAGE(I124/I$89,J124/I$89),M124/M$89,Q124/Q$89,U124/U$89,W124/W$89,AA124/AA$89,AC124/AC$89)</f>
        <v>0.37599127927869058</v>
      </c>
      <c r="C124">
        <f>STDEV(AVERAGE(E124/E$89,F124/E$89),AVERAGE(I124/I$89,J124/I$89),M124/M$89,Q124/Q$89,U124/U$89,W124/W$89,AA124/AA$89,AC124/AC$89)/SQRT(D124)</f>
        <v>1.3376853176707521E-2</v>
      </c>
      <c r="D124">
        <v>8</v>
      </c>
      <c r="E124">
        <v>1.7011999999999999E-2</v>
      </c>
      <c r="F124">
        <v>1.9387999999999999E-2</v>
      </c>
      <c r="I124">
        <v>1.7446E-2</v>
      </c>
      <c r="J124">
        <v>1.6515999999999999E-2</v>
      </c>
      <c r="M124">
        <v>1.6160999999999998E-2</v>
      </c>
      <c r="Q124">
        <v>1.6577999999999999E-2</v>
      </c>
      <c r="U124">
        <v>6.2154000000000001E-2</v>
      </c>
      <c r="W124">
        <v>7.9672000000000007E-2</v>
      </c>
      <c r="AA124">
        <v>6.7188999999999999E-2</v>
      </c>
      <c r="AC124">
        <v>7.7468999999999996E-2</v>
      </c>
    </row>
    <row r="125" spans="1:30">
      <c r="A125" t="s">
        <v>14</v>
      </c>
      <c r="B125">
        <f>AVERAGE(AVERAGE(E125/E$89,F125/E$89),AVERAGE(I125/I$89,J125/I$89),M125/M$89,Q125/Q$89,AA125/AA$89,AC125/AC$89)</f>
        <v>0.50493989809903994</v>
      </c>
      <c r="C125">
        <f>STDEV(AVERAGE(E125/E$89,F125/E$89),AVERAGE(I125/I$89,J125/I$89),M125/M$89,Q125/Q$89,AA125/AA$89,AC125/AC$89)/SQRT(D125)</f>
        <v>5.8579572775114698E-2</v>
      </c>
      <c r="D125">
        <v>6</v>
      </c>
      <c r="E125">
        <v>2.7030999999999999E-2</v>
      </c>
      <c r="F125">
        <v>2.6228999999999999E-2</v>
      </c>
      <c r="I125">
        <v>7.1983999999999998E-3</v>
      </c>
      <c r="J125">
        <v>2.1297E-2</v>
      </c>
      <c r="M125">
        <v>1.8471999999999999E-2</v>
      </c>
      <c r="Q125">
        <v>2.5544000000000001E-2</v>
      </c>
      <c r="AA125">
        <v>0.10427</v>
      </c>
      <c r="AC125">
        <v>0.12096</v>
      </c>
    </row>
    <row r="126" spans="1:30">
      <c r="A126" t="s">
        <v>56</v>
      </c>
      <c r="B126">
        <f>AVERAGE(AVERAGE(E126/E$89,F126/E$89),AVERAGE(I126/I$89,J126/I$89),AA126/AA$89,AC126/AC$89)</f>
        <v>0.2013560116957859</v>
      </c>
      <c r="C126">
        <f>STDEV(AVERAGE(E126/E$89,F126/E$89),AVERAGE(I126/I$89,J126/I$89),AA126/AA$89,AC126/AC$89)/SQRT(D126)</f>
        <v>3.1079650886877409E-2</v>
      </c>
      <c r="D126">
        <v>4</v>
      </c>
      <c r="E126">
        <v>9.75E-3</v>
      </c>
      <c r="F126">
        <v>1.2487E-2</v>
      </c>
      <c r="I126">
        <v>1.0518E-2</v>
      </c>
      <c r="J126">
        <v>1.0947E-2</v>
      </c>
      <c r="AA126">
        <v>4.2460999999999999E-2</v>
      </c>
      <c r="AC126">
        <v>2.0374E-2</v>
      </c>
    </row>
    <row r="127" spans="1:30">
      <c r="A127" t="s">
        <v>57</v>
      </c>
      <c r="B127">
        <f>AVERAGE(AVERAGE(E127/E$89,F127/E$89),AVERAGE(I127/I$89,J127/I$89),M127/M$89,Q127/Q$89,AA127/AA$89,AC127/AC$89)</f>
        <v>0.28156127764114497</v>
      </c>
      <c r="C127">
        <f>STDEV(AVERAGE(E127/E$89,F127/E$89),AVERAGE(I127/I$89,J127/I$89),M127/M$89,Q127/Q$89,AA127/AA$89,AC127/AC$89)/SQRT(D127)</f>
        <v>4.3659775900796179E-2</v>
      </c>
      <c r="D127">
        <v>6</v>
      </c>
      <c r="E127">
        <v>8.456E-3</v>
      </c>
      <c r="F127">
        <v>1.469E-2</v>
      </c>
      <c r="I127">
        <v>1.0102999999999999E-2</v>
      </c>
      <c r="J127">
        <v>1.2933999999999999E-2</v>
      </c>
      <c r="M127">
        <v>1.0766E-2</v>
      </c>
      <c r="Q127">
        <v>9.6921999999999998E-3</v>
      </c>
      <c r="AA127">
        <v>8.1483E-2</v>
      </c>
      <c r="AC127">
        <v>5.5987000000000002E-2</v>
      </c>
    </row>
    <row r="128" spans="1:30">
      <c r="A128" t="s">
        <v>15</v>
      </c>
      <c r="B128">
        <f>AVERAGE(AVERAGE(E128/E$89,F128/E$89),AVERAGE(I128/I$89,J128/I$89),M128/M$89,Q128/Q$89,U128/U$89,W128/W$89,AA128/AA$89,AC128/AC$89)</f>
        <v>0.22988227121893492</v>
      </c>
      <c r="C128">
        <f>STDEV(AVERAGE(E128/E$89,F128/E$89),AVERAGE(I128/I$89,J128/I$89),M128/M$89,Q128/Q$89,U128/U$89,W128/W$89,AA128/AA$89,AC128/AC$89)/SQRT(D128)</f>
        <v>2.2401001018308664E-2</v>
      </c>
      <c r="D128">
        <v>8</v>
      </c>
      <c r="E128">
        <v>1.3021E-2</v>
      </c>
      <c r="F128">
        <v>1.355E-2</v>
      </c>
      <c r="I128">
        <v>7.5976999999999998E-3</v>
      </c>
      <c r="J128">
        <v>7.5997E-3</v>
      </c>
      <c r="M128">
        <v>1.0370000000000001E-2</v>
      </c>
      <c r="Q128">
        <v>7.1357E-3</v>
      </c>
      <c r="U128">
        <v>5.2047000000000003E-2</v>
      </c>
      <c r="W128">
        <v>5.1292999999999998E-2</v>
      </c>
      <c r="AA128">
        <v>5.2836000000000001E-2</v>
      </c>
      <c r="AC128">
        <v>3.1260000000000003E-2</v>
      </c>
    </row>
    <row r="129" spans="1:29">
      <c r="A129" t="s">
        <v>22</v>
      </c>
      <c r="B129">
        <f>AVERAGE(AVERAGE(E129/E$89,F129/E$89),AVERAGE(I129/I$89,J129/I$89),U129/U$89,W129/W$89,AA129/AA$89,AC129/AC$89)</f>
        <v>0.59753920955514173</v>
      </c>
      <c r="C129">
        <f>STDEV(AVERAGE(E129/E$89,F129/E$89),AVERAGE(I129/I$89,J129/I$89),U129/U$89,W129/W$89,AA129/AA$89,AC129/AC$89)/SQRT(D129)</f>
        <v>4.8156724999454475E-2</v>
      </c>
      <c r="D129">
        <v>6</v>
      </c>
      <c r="E129">
        <v>2.8823000000000001E-2</v>
      </c>
      <c r="F129">
        <v>2.4152E-2</v>
      </c>
      <c r="I129">
        <v>2.2324E-2</v>
      </c>
      <c r="J129">
        <v>2.0653000000000001E-2</v>
      </c>
      <c r="U129">
        <v>0.12058000000000001</v>
      </c>
      <c r="W129">
        <v>0.14183000000000001</v>
      </c>
      <c r="AA129">
        <v>0.10807</v>
      </c>
      <c r="AC129">
        <v>9.5694000000000001E-2</v>
      </c>
    </row>
    <row r="130" spans="1:29">
      <c r="A130" t="s">
        <v>59</v>
      </c>
      <c r="B130" t="s">
        <v>30</v>
      </c>
      <c r="C130" t="s">
        <v>30</v>
      </c>
      <c r="D130">
        <v>0</v>
      </c>
    </row>
    <row r="131" spans="1:29">
      <c r="A131" t="s">
        <v>58</v>
      </c>
      <c r="B131" t="s">
        <v>30</v>
      </c>
      <c r="C131" t="s">
        <v>30</v>
      </c>
      <c r="D131">
        <v>0</v>
      </c>
    </row>
    <row r="133" spans="1:29">
      <c r="A133" s="1" t="s">
        <v>17</v>
      </c>
    </row>
    <row r="134" spans="1:29">
      <c r="A134" t="s">
        <v>7</v>
      </c>
      <c r="B134">
        <f>AVERAGE(AVERAGE(E134/E$89,F134/E$89),AVERAGE(I134/I$89,J134/I$89),M134/M$89,Q134/Q$89,AA134/AA$89,AC134/AC$89)</f>
        <v>0.81492128974295897</v>
      </c>
      <c r="C134">
        <f>STDEV(AVERAGE(E134/E$89,F134/E$89),AVERAGE(I134/I$89,J134/I$89),M134/M$89,Q134/Q$89,AA134/AA$89,AC134/AC$89)/SQRT(D134)</f>
        <v>2.146688988726362E-2</v>
      </c>
      <c r="D134">
        <v>6</v>
      </c>
      <c r="E134">
        <v>4.3163E-2</v>
      </c>
      <c r="F134">
        <v>4.1175000000000003E-2</v>
      </c>
      <c r="I134">
        <v>4.0326000000000001E-2</v>
      </c>
      <c r="J134">
        <v>3.9912999999999997E-2</v>
      </c>
      <c r="M134">
        <v>3.9629999999999999E-2</v>
      </c>
      <c r="Q134">
        <v>3.3173000000000001E-2</v>
      </c>
      <c r="AA134">
        <v>0.14224999999999999</v>
      </c>
      <c r="AC134">
        <v>0.15640999999999999</v>
      </c>
    </row>
    <row r="135" spans="1:29">
      <c r="A135" t="s">
        <v>8</v>
      </c>
      <c r="B135">
        <f>AVERAGE(AVERAGE(E135/E$89,F135/E$89),AVERAGE(I135/I$89,J135/I$89),M135/M$89,Q135/Q$89,AA135/AA$89,AC135/AC$89)</f>
        <v>0.44227041619525248</v>
      </c>
      <c r="C135">
        <f>STDEV(AVERAGE(E135/E$89,F135/E$89),AVERAGE(I135/I$89,J135/I$89),M135/M$89,Q135/Q$89,AA135/AA$89,AC135/AC$89)/SQRT(D135)</f>
        <v>4.7992615330594179E-2</v>
      </c>
      <c r="D135">
        <v>6</v>
      </c>
      <c r="E135">
        <v>2.2741999999999998E-2</v>
      </c>
      <c r="F135">
        <v>1.7416000000000001E-2</v>
      </c>
      <c r="I135">
        <v>2.3955000000000001E-2</v>
      </c>
      <c r="J135">
        <v>1.1677999999999999E-2</v>
      </c>
      <c r="M135">
        <v>1.4815999999999999E-2</v>
      </c>
      <c r="Q135">
        <v>2.0545000000000001E-2</v>
      </c>
      <c r="AA135">
        <v>0.10428999999999999</v>
      </c>
      <c r="AC135">
        <v>9.4267000000000004E-2</v>
      </c>
    </row>
    <row r="136" spans="1:29">
      <c r="A136" t="s">
        <v>9</v>
      </c>
      <c r="B136">
        <f>AVERAGE(AVERAGE(E136/E$89,F136/E$89),AVERAGE(I136/I$89,J136/I$89),M136/M$89,Q136/Q$89,AA136/AA$89,AC136/AC$89)</f>
        <v>0.40564155870675983</v>
      </c>
      <c r="C136">
        <f>STDEV(AVERAGE(E136/E$89,F136/E$89),AVERAGE(I136/I$89,J136/I$89),M136/M$89,Q136/Q$89,AA136/AA$89,AC136/AC$89)/SQRT(D136)</f>
        <v>2.4977423557275273E-2</v>
      </c>
      <c r="D136">
        <v>6</v>
      </c>
      <c r="E136">
        <v>2.0938999999999999E-2</v>
      </c>
      <c r="F136">
        <v>2.2783999999999999E-2</v>
      </c>
      <c r="I136">
        <v>1.7902000000000001E-2</v>
      </c>
      <c r="J136">
        <v>1.8023000000000001E-2</v>
      </c>
      <c r="M136">
        <v>1.5288E-2</v>
      </c>
      <c r="Q136">
        <v>1.7979999999999999E-2</v>
      </c>
      <c r="AA136">
        <v>7.7451999999999993E-2</v>
      </c>
      <c r="AC136">
        <v>8.5555999999999993E-2</v>
      </c>
    </row>
    <row r="137" spans="1:29">
      <c r="A137" t="s">
        <v>10</v>
      </c>
      <c r="B137">
        <f>AVERAGE(AVERAGE(E137/E$89,F137/E$89),AVERAGE(I137/I$89,J137/I$89),M137/M$89,Q137/Q$89,U137/U$89,W137/W$89,AA137/AA$89,AC137/AC$89)</f>
        <v>0.30774427500066526</v>
      </c>
      <c r="C137">
        <f>STDEV(AVERAGE(E137/E$89,F137/E$89),AVERAGE(I137/I$89,J137/I$89),M137/M$89,Q137/Q$89,U137/U$89,W137/W$89,AA137/AA$89,AC137/AC$89)/SQRT(D137)</f>
        <v>3.1674269858046729E-2</v>
      </c>
      <c r="D137">
        <v>8</v>
      </c>
      <c r="E137">
        <v>1.469E-2</v>
      </c>
      <c r="F137">
        <v>1.494E-2</v>
      </c>
      <c r="I137">
        <v>1.1235999999999999E-2</v>
      </c>
      <c r="J137">
        <v>1.1586000000000001E-2</v>
      </c>
      <c r="M137">
        <v>9.9822000000000001E-3</v>
      </c>
      <c r="Q137">
        <v>1.1675E-2</v>
      </c>
      <c r="U137">
        <v>7.1872000000000005E-2</v>
      </c>
      <c r="W137">
        <v>8.6155999999999996E-2</v>
      </c>
      <c r="AA137">
        <v>5.7160999999999997E-2</v>
      </c>
      <c r="AC137">
        <v>4.8096E-2</v>
      </c>
    </row>
    <row r="138" spans="1:29">
      <c r="A138" t="s">
        <v>11</v>
      </c>
      <c r="B138">
        <f>AVERAGE(AVERAGE(E138/E$89,F138/E$89),AVERAGE(I138/I$89,J138/I$89),M138/M$89,Q138/Q$89,AA138/AA$89,AC138/AC$89)</f>
        <v>0.19890170723105335</v>
      </c>
      <c r="C138">
        <f>STDEV(AVERAGE(E138/E$89,F138/E$89),AVERAGE(I138/I$89,J138/I$89),M138/M$89,Q138/Q$89,AA138/AA$89,AC138/AC$89)/SQRT(D138)</f>
        <v>2.2370615587197367E-2</v>
      </c>
      <c r="D138">
        <v>6</v>
      </c>
      <c r="E138">
        <v>9.8518000000000008E-3</v>
      </c>
      <c r="F138">
        <v>1.0515999999999999E-2</v>
      </c>
      <c r="I138">
        <v>7.404E-3</v>
      </c>
      <c r="J138">
        <v>8.2813999999999995E-3</v>
      </c>
      <c r="M138">
        <v>6.8815999999999999E-3</v>
      </c>
      <c r="Q138">
        <v>7.5034000000000003E-3</v>
      </c>
      <c r="AA138">
        <v>4.2438999999999998E-2</v>
      </c>
      <c r="AC138">
        <v>5.0212E-2</v>
      </c>
    </row>
    <row r="139" spans="1:29">
      <c r="A139" t="s">
        <v>49</v>
      </c>
      <c r="B139" t="s">
        <v>30</v>
      </c>
      <c r="C139" t="s">
        <v>30</v>
      </c>
      <c r="D139">
        <v>0</v>
      </c>
    </row>
    <row r="140" spans="1:29">
      <c r="A140" t="s">
        <v>12</v>
      </c>
      <c r="B140">
        <f>AVERAGE(AVERAGE(E140/E$89,F140/E$89),AVERAGE(I140/I$89,J140/I$89),M140/M$89,Q140/Q$89,AA140/AA$89,AC140/AC$89)</f>
        <v>0.27227942159344015</v>
      </c>
      <c r="C140">
        <f>STDEV(AVERAGE(E140/E$89,F140/E$89),AVERAGE(I140/I$89,J140/I$89),M140/M$89,Q140/Q$89,AA140/AA$89,AC140/AC$89)/SQRT(D140)</f>
        <v>1.2840814882275732E-2</v>
      </c>
      <c r="D140">
        <v>6</v>
      </c>
      <c r="E140">
        <v>1.3723000000000001E-2</v>
      </c>
      <c r="F140">
        <v>1.3507E-2</v>
      </c>
      <c r="I140">
        <v>1.2992999999999999E-2</v>
      </c>
      <c r="J140">
        <v>1.3129E-2</v>
      </c>
      <c r="M140">
        <v>1.175E-2</v>
      </c>
      <c r="Q140">
        <v>1.1318999999999999E-2</v>
      </c>
      <c r="AA140">
        <v>4.9752999999999999E-2</v>
      </c>
      <c r="AC140">
        <v>5.7189999999999998E-2</v>
      </c>
    </row>
    <row r="141" spans="1:29">
      <c r="A141" t="s">
        <v>13</v>
      </c>
      <c r="B141">
        <f>AVERAGE(AVERAGE(E141/E$89,F141/E$89),AVERAGE(I141/I$89,J141/I$89),M141/M$89,Q141/Q$89,U141/U$89,W141/W$89,AA141/AA$89,AC141/AC$89)</f>
        <v>0.30715872987068543</v>
      </c>
      <c r="C141">
        <f>STDEV(AVERAGE(E141/E$89,F141/E$89),AVERAGE(I141/I$89,J141/I$89),M141/M$89,Q141/Q$89,U141/U$89,W141/W$89,AA141/AA$89,AC141/AC$89)/SQRT(D141)</f>
        <v>2.4317721404105697E-2</v>
      </c>
      <c r="D141">
        <v>8</v>
      </c>
      <c r="E141">
        <v>1.0373E-2</v>
      </c>
      <c r="F141">
        <v>1.6131E-2</v>
      </c>
      <c r="I141">
        <v>1.2697E-2</v>
      </c>
      <c r="J141">
        <v>1.2163999999999999E-2</v>
      </c>
      <c r="M141">
        <v>1.1494000000000001E-2</v>
      </c>
      <c r="Q141">
        <v>1.1684999999999999E-2</v>
      </c>
      <c r="U141">
        <v>5.0000999999999997E-2</v>
      </c>
      <c r="W141">
        <v>7.1933999999999998E-2</v>
      </c>
      <c r="AA141">
        <v>6.5033999999999995E-2</v>
      </c>
      <c r="AC141">
        <v>7.1321999999999997E-2</v>
      </c>
    </row>
    <row r="142" spans="1:29">
      <c r="A142" t="s">
        <v>14</v>
      </c>
      <c r="B142">
        <f>AVERAGE(AVERAGE(E142/E$89,F142/E$89),AVERAGE(I142/I$89,J142/I$89),M142/M$89,Q142/Q$89,AA142/AA$89,AC142/AC$89)</f>
        <v>0.54133225820062536</v>
      </c>
      <c r="C142">
        <f>STDEV(AVERAGE(E142/E$89,F142/E$89),AVERAGE(I142/I$89,J142/I$89),M142/M$89,Q142/Q$89,AA142/AA$89,AC142/AC$89)/SQRT(D142)</f>
        <v>5.4663893557266793E-2</v>
      </c>
      <c r="D142">
        <v>6</v>
      </c>
      <c r="E142">
        <v>2.8303999999999999E-2</v>
      </c>
      <c r="F142">
        <v>2.7904999999999999E-2</v>
      </c>
      <c r="I142">
        <v>1.542E-2</v>
      </c>
      <c r="J142">
        <v>2.2683999999999999E-2</v>
      </c>
      <c r="M142">
        <v>1.8380000000000001E-2</v>
      </c>
      <c r="Q142">
        <v>2.6768E-2</v>
      </c>
      <c r="AA142">
        <v>0.10854</v>
      </c>
      <c r="AC142">
        <v>0.12748999999999999</v>
      </c>
    </row>
    <row r="143" spans="1:29">
      <c r="A143" t="s">
        <v>56</v>
      </c>
      <c r="B143">
        <f>AVERAGE(AVERAGE(E143/E$89,F143/E$89),AVERAGE(I143/I$89,J143/I$89),AA143/AA$89,AC143/AC$89)</f>
        <v>0.20451861410002437</v>
      </c>
      <c r="C143">
        <f>STDEV(AVERAGE(E143/E$89,F143/E$89),AVERAGE(I143/I$89,J143/I$89),AA143/AA$89,AC143/AC$89)/SQRT(D143)</f>
        <v>5.2029747053135761E-2</v>
      </c>
      <c r="D143">
        <v>4</v>
      </c>
      <c r="E143">
        <v>7.5094000000000003E-3</v>
      </c>
      <c r="F143">
        <v>4.2652999999999996E-3</v>
      </c>
      <c r="I143">
        <v>1.5772000000000001E-2</v>
      </c>
      <c r="J143">
        <v>1.0919E-2</v>
      </c>
      <c r="AA143">
        <v>5.0325000000000002E-2</v>
      </c>
      <c r="AC143">
        <v>2.1604999999999999E-2</v>
      </c>
    </row>
    <row r="144" spans="1:29">
      <c r="A144" t="s">
        <v>57</v>
      </c>
      <c r="B144">
        <f>AVERAGE(AVERAGE(E144/E$89,F144/E$89),AVERAGE(I144/I$89,J144/I$89),M144/M$89,Q144/Q$89,AA144/AA$89,AC144/AC$89)</f>
        <v>0.28973842519588539</v>
      </c>
      <c r="C144">
        <f>STDEV(AVERAGE(E144/E$89,F144/E$89),AVERAGE(I144/I$89,J144/I$89),M144/M$89,Q144/Q$89,AA144/AA$89,AC144/AC$89)/SQRT(D144)</f>
        <v>5.8054480435928223E-2</v>
      </c>
      <c r="D144">
        <v>6</v>
      </c>
      <c r="E144">
        <v>7.6068999999999998E-3</v>
      </c>
      <c r="F144">
        <v>9.6112999999999997E-3</v>
      </c>
      <c r="I144">
        <v>1.1625999999999999E-2</v>
      </c>
      <c r="J144">
        <v>8.5722000000000003E-3</v>
      </c>
      <c r="M144">
        <v>1.0173E-2</v>
      </c>
      <c r="Q144">
        <v>1.1273999999999999E-2</v>
      </c>
      <c r="AA144">
        <v>9.1075000000000003E-2</v>
      </c>
      <c r="AC144">
        <v>6.5808000000000005E-2</v>
      </c>
    </row>
    <row r="145" spans="1:29">
      <c r="A145" t="s">
        <v>15</v>
      </c>
      <c r="B145">
        <f>AVERAGE(AVERAGE(E145/E$89,F145/E$89),AVERAGE(I145/I$89,J145/I$89),M145/M$89,Q145/Q$89,U145/U$89,W145/W$89,AA145/AA$89,AC145/AC$89)</f>
        <v>0.20469085819663582</v>
      </c>
      <c r="C145">
        <f>STDEV(AVERAGE(E145/E$89,F145/E$89),AVERAGE(I145/I$89,J145/I$89),M145/M$89,Q145/Q$89,U145/U$89,W145/W$89,AA145/AA$89,AC145/AC$89)/SQRT(D145)</f>
        <v>2.2473909873529419E-2</v>
      </c>
      <c r="D145">
        <v>8</v>
      </c>
      <c r="E145">
        <v>1.0644000000000001E-2</v>
      </c>
      <c r="F145">
        <v>1.1436999999999999E-2</v>
      </c>
      <c r="I145">
        <v>6.5912000000000002E-3</v>
      </c>
      <c r="J145">
        <v>5.9435E-3</v>
      </c>
      <c r="M145">
        <v>8.9362E-3</v>
      </c>
      <c r="Q145">
        <v>7.1779000000000001E-3</v>
      </c>
      <c r="U145">
        <v>4.6080999999999997E-2</v>
      </c>
      <c r="W145">
        <v>4.5631999999999999E-2</v>
      </c>
      <c r="AA145">
        <v>5.1838000000000002E-2</v>
      </c>
      <c r="AC145">
        <v>2.5326000000000001E-2</v>
      </c>
    </row>
    <row r="146" spans="1:29">
      <c r="A146" t="s">
        <v>22</v>
      </c>
      <c r="B146">
        <f>AVERAGE(AVERAGE(E146/E$89,F146/E$89),AVERAGE(I146/I$89,J146/I$89),U146/U$89,W146/W$89,AA146/AA$89,AC146/AC$89)</f>
        <v>0.653348097901855</v>
      </c>
      <c r="C146">
        <f>STDEV(AVERAGE(E146/E$89,F146/E$89),AVERAGE(I146/I$89,J146/I$89),U146/U$89,W146/W$89,AA146/AA$89,AC146/AC$89)/SQRT(D146)</f>
        <v>6.3317761964379313E-2</v>
      </c>
      <c r="D146">
        <v>6</v>
      </c>
      <c r="E146">
        <v>3.1154000000000001E-2</v>
      </c>
      <c r="F146">
        <v>2.5368999999999999E-2</v>
      </c>
      <c r="I146">
        <v>2.0094000000000001E-2</v>
      </c>
      <c r="J146">
        <v>1.8681E-2</v>
      </c>
      <c r="U146">
        <v>0.13741</v>
      </c>
      <c r="W146">
        <v>0.15074000000000001</v>
      </c>
      <c r="AA146">
        <v>0.12311</v>
      </c>
      <c r="AC146">
        <v>0.11595999999999999</v>
      </c>
    </row>
    <row r="147" spans="1:29">
      <c r="A147" t="s">
        <v>59</v>
      </c>
      <c r="B147" t="s">
        <v>30</v>
      </c>
      <c r="C147" t="s">
        <v>30</v>
      </c>
      <c r="D147">
        <v>0</v>
      </c>
    </row>
    <row r="148" spans="1:29">
      <c r="A148" t="s">
        <v>58</v>
      </c>
      <c r="B148" t="s">
        <v>30</v>
      </c>
      <c r="C148" t="s">
        <v>30</v>
      </c>
      <c r="D148">
        <v>0</v>
      </c>
    </row>
  </sheetData>
  <pageMargins left="0.7" right="0.7" top="0.75" bottom="0.75" header="0.3" footer="0.3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BA148"/>
  <sheetViews>
    <sheetView zoomScale="94" workbookViewId="0">
      <pane xSplit="1" ySplit="1" topLeftCell="S62" activePane="bottomRight" state="frozen"/>
      <selection pane="topRight" activeCell="B1" sqref="B1"/>
      <selection pane="bottomLeft" activeCell="A2" sqref="A2"/>
      <selection pane="bottomRight" activeCell="A88" sqref="A88:XFD88"/>
    </sheetView>
  </sheetViews>
  <sheetFormatPr baseColWidth="10" defaultRowHeight="16"/>
  <cols>
    <col min="1" max="1" width="17.6640625" bestFit="1" customWidth="1"/>
    <col min="3" max="3" width="12.1640625" bestFit="1" customWidth="1"/>
    <col min="5" max="5" width="17.83203125" customWidth="1"/>
    <col min="9" max="9" width="16.1640625" customWidth="1"/>
    <col min="13" max="13" width="16" customWidth="1"/>
    <col min="17" max="17" width="18.1640625" customWidth="1"/>
    <col min="21" max="21" width="15.5" customWidth="1"/>
    <col min="25" max="25" width="14" customWidth="1"/>
    <col min="29" max="29" width="17.5" customWidth="1"/>
    <col min="33" max="33" width="23" customWidth="1"/>
    <col min="38" max="38" width="29.6640625" customWidth="1"/>
    <col min="40" max="40" width="22" customWidth="1"/>
    <col min="42" max="42" width="21.6640625" customWidth="1"/>
    <col min="46" max="46" width="19.33203125" customWidth="1"/>
    <col min="49" max="49" width="22" customWidth="1"/>
    <col min="51" max="51" width="10.33203125" customWidth="1"/>
    <col min="52" max="52" width="21.6640625" customWidth="1"/>
  </cols>
  <sheetData>
    <row r="1" spans="1:45">
      <c r="A1" s="1" t="s">
        <v>32</v>
      </c>
      <c r="E1" s="74">
        <v>42502</v>
      </c>
      <c r="I1" s="74">
        <v>42502</v>
      </c>
      <c r="M1" s="74">
        <v>42565</v>
      </c>
      <c r="Q1" s="74">
        <v>42565</v>
      </c>
      <c r="U1" s="74">
        <v>42580</v>
      </c>
      <c r="Y1" s="74">
        <v>42599</v>
      </c>
      <c r="AE1" s="2"/>
      <c r="AF1" s="2"/>
      <c r="AG1" s="2"/>
      <c r="AL1" s="2"/>
      <c r="AN1" s="2"/>
      <c r="AP1" s="2"/>
      <c r="AR1" s="2"/>
    </row>
    <row r="2" spans="1:45">
      <c r="A2" s="1" t="s">
        <v>33</v>
      </c>
      <c r="E2" s="75" t="s">
        <v>39</v>
      </c>
      <c r="I2" s="75" t="s">
        <v>39</v>
      </c>
      <c r="M2" s="75" t="s">
        <v>39</v>
      </c>
      <c r="Q2" s="75" t="s">
        <v>39</v>
      </c>
      <c r="U2" s="75" t="s">
        <v>39</v>
      </c>
      <c r="Y2" s="75" t="s">
        <v>39</v>
      </c>
      <c r="AE2" s="2" t="s">
        <v>113</v>
      </c>
      <c r="AF2" s="2" t="s">
        <v>113</v>
      </c>
      <c r="AG2" s="2" t="s">
        <v>113</v>
      </c>
      <c r="AL2" s="2" t="s">
        <v>132</v>
      </c>
      <c r="AN2" s="2" t="s">
        <v>132</v>
      </c>
      <c r="AP2" s="2" t="s">
        <v>132</v>
      </c>
      <c r="AR2" s="2" t="s">
        <v>132</v>
      </c>
    </row>
    <row r="3" spans="1:45">
      <c r="A3" s="1" t="s">
        <v>34</v>
      </c>
      <c r="E3" s="76" t="s">
        <v>75</v>
      </c>
      <c r="I3" s="76" t="s">
        <v>51</v>
      </c>
      <c r="M3" s="76" t="s">
        <v>90</v>
      </c>
      <c r="Q3" s="76" t="s">
        <v>92</v>
      </c>
      <c r="U3" s="76" t="s">
        <v>199</v>
      </c>
      <c r="Y3" s="76" t="s">
        <v>75</v>
      </c>
      <c r="AE3" s="2"/>
      <c r="AF3" s="2"/>
      <c r="AG3" s="2"/>
      <c r="AL3" s="2" t="s">
        <v>210</v>
      </c>
      <c r="AN3" s="2" t="s">
        <v>213</v>
      </c>
      <c r="AP3" s="2" t="s">
        <v>211</v>
      </c>
      <c r="AR3" s="2" t="s">
        <v>212</v>
      </c>
    </row>
    <row r="4" spans="1:45">
      <c r="A4" s="1" t="s">
        <v>35</v>
      </c>
      <c r="E4" s="75" t="s">
        <v>41</v>
      </c>
      <c r="I4" s="75" t="s">
        <v>41</v>
      </c>
      <c r="M4" s="75" t="s">
        <v>41</v>
      </c>
      <c r="Q4" s="75" t="s">
        <v>41</v>
      </c>
      <c r="U4" s="75" t="s">
        <v>41</v>
      </c>
      <c r="Y4" s="75" t="s">
        <v>41</v>
      </c>
      <c r="AE4" s="2" t="s">
        <v>41</v>
      </c>
      <c r="AF4" s="2" t="s">
        <v>41</v>
      </c>
      <c r="AG4" s="14" t="s">
        <v>41</v>
      </c>
      <c r="AL4" s="2" t="s">
        <v>41</v>
      </c>
      <c r="AN4" s="2" t="s">
        <v>41</v>
      </c>
      <c r="AP4" s="2" t="s">
        <v>41</v>
      </c>
      <c r="AR4" s="2" t="s">
        <v>41</v>
      </c>
    </row>
    <row r="5" spans="1:45" ht="48">
      <c r="A5" s="1" t="s">
        <v>36</v>
      </c>
      <c r="E5" s="77" t="s">
        <v>194</v>
      </c>
      <c r="I5" s="77" t="s">
        <v>194</v>
      </c>
      <c r="M5" s="77" t="s">
        <v>194</v>
      </c>
      <c r="Q5" s="77" t="s">
        <v>194</v>
      </c>
      <c r="U5" s="77" t="s">
        <v>194</v>
      </c>
      <c r="Y5" s="77" t="s">
        <v>194</v>
      </c>
      <c r="AE5" s="38" t="s">
        <v>194</v>
      </c>
      <c r="AF5" s="38" t="s">
        <v>194</v>
      </c>
      <c r="AG5" s="38" t="s">
        <v>194</v>
      </c>
      <c r="AL5" s="38" t="s">
        <v>194</v>
      </c>
      <c r="AN5" s="38" t="s">
        <v>194</v>
      </c>
      <c r="AP5" s="38" t="s">
        <v>194</v>
      </c>
      <c r="AR5" s="38" t="s">
        <v>194</v>
      </c>
    </row>
    <row r="6" spans="1:45">
      <c r="A6" s="1" t="s">
        <v>37</v>
      </c>
      <c r="E6" s="44">
        <v>490</v>
      </c>
      <c r="F6" s="42">
        <v>0.05</v>
      </c>
      <c r="I6" s="44">
        <v>490</v>
      </c>
      <c r="J6" s="42">
        <v>0.05</v>
      </c>
      <c r="M6" s="44">
        <v>490</v>
      </c>
      <c r="N6" s="42">
        <v>0.05</v>
      </c>
      <c r="Q6" s="44">
        <v>490</v>
      </c>
      <c r="R6" s="42">
        <v>0.05</v>
      </c>
      <c r="U6" s="44">
        <v>490</v>
      </c>
      <c r="V6" s="42">
        <v>0.05</v>
      </c>
      <c r="Y6" s="44">
        <v>490</v>
      </c>
      <c r="Z6" s="42">
        <v>0.05</v>
      </c>
      <c r="AE6" s="2"/>
      <c r="AF6" s="2"/>
      <c r="AG6" s="2"/>
      <c r="AL6" s="2"/>
      <c r="AN6" s="2"/>
      <c r="AP6" s="2"/>
      <c r="AR6" s="2"/>
    </row>
    <row r="7" spans="1:45">
      <c r="A7" s="1" t="s">
        <v>38</v>
      </c>
      <c r="E7" s="44">
        <v>0.12</v>
      </c>
      <c r="I7" s="44">
        <v>0.12</v>
      </c>
      <c r="M7" s="44">
        <v>0.1</v>
      </c>
      <c r="Q7" s="44">
        <v>0.1</v>
      </c>
      <c r="U7" s="44">
        <v>0.1</v>
      </c>
      <c r="Y7" s="44">
        <v>0.1</v>
      </c>
      <c r="AE7" s="2"/>
      <c r="AF7" s="2"/>
      <c r="AG7" s="2"/>
      <c r="AL7" s="2"/>
      <c r="AN7" s="2"/>
      <c r="AP7" s="2"/>
      <c r="AR7" s="2"/>
    </row>
    <row r="8" spans="1:45" ht="17">
      <c r="A8" s="1" t="s">
        <v>43</v>
      </c>
      <c r="E8">
        <f>0.0856062884004267*F8</f>
        <v>0.1241291181806187</v>
      </c>
      <c r="F8">
        <v>1.45</v>
      </c>
      <c r="I8">
        <f>0.072009494885276*J8</f>
        <v>0.10441376758365019</v>
      </c>
      <c r="J8">
        <v>1.45</v>
      </c>
      <c r="M8">
        <f>AVERAGE(0.073434306,0.064682729)*N8</f>
        <v>0.100134850375</v>
      </c>
      <c r="N8">
        <v>1.45</v>
      </c>
      <c r="Q8">
        <f>AVERAGE(0.082171237,0.091608822)*R8</f>
        <v>0.12599054277499999</v>
      </c>
      <c r="R8">
        <v>1.45</v>
      </c>
      <c r="U8">
        <f>AVERAGE(0.101809412,0.101363828)*V8</f>
        <v>0.147300599</v>
      </c>
      <c r="V8">
        <v>1.45</v>
      </c>
      <c r="Y8">
        <f>AVERAGE(0.065732604,0.076826523)*Z8</f>
        <v>0.103355367075</v>
      </c>
      <c r="Z8">
        <v>1.45</v>
      </c>
      <c r="AE8" s="35"/>
      <c r="AF8" s="35"/>
      <c r="AM8">
        <v>1.45</v>
      </c>
      <c r="AO8">
        <v>1.45</v>
      </c>
      <c r="AQ8">
        <v>1.45</v>
      </c>
      <c r="AS8">
        <v>1.45</v>
      </c>
    </row>
    <row r="9" spans="1:45">
      <c r="A9" s="1" t="s">
        <v>53</v>
      </c>
      <c r="E9">
        <f>E20*F8</f>
        <v>0.16505349999999999</v>
      </c>
      <c r="I9">
        <f>I20*J8</f>
        <v>0.13692204999999999</v>
      </c>
      <c r="M9">
        <f>AVERAGE(M20:N20)*N8</f>
        <v>0.12248802500000001</v>
      </c>
      <c r="Q9">
        <f>AVERAGE(Q20:R20)*R8</f>
        <v>0.14847999999999997</v>
      </c>
      <c r="U9">
        <f>AVERAGE(U20:V20)*V8</f>
        <v>0.18835500000000002</v>
      </c>
      <c r="Y9">
        <f>AVERAGE(Y20:Z20)*Z8</f>
        <v>0.13604697500000001</v>
      </c>
      <c r="AE9">
        <v>0.17802734095647629</v>
      </c>
      <c r="AF9">
        <v>0.1633254691397395</v>
      </c>
      <c r="AG9">
        <v>0.16034583799999999</v>
      </c>
      <c r="AL9">
        <f>0.11355*AM8</f>
        <v>0.1646475</v>
      </c>
      <c r="AN9">
        <f>0.096474*AO8</f>
        <v>0.13988729999999999</v>
      </c>
      <c r="AP9">
        <f>0.14511*AQ8</f>
        <v>0.21040949999999997</v>
      </c>
      <c r="AR9">
        <f>0.10042*AS8</f>
        <v>0.14560899999999999</v>
      </c>
    </row>
    <row r="10" spans="1:45">
      <c r="A10" s="1" t="s">
        <v>44</v>
      </c>
      <c r="E10" s="21">
        <f>E6*E7*(1-E8)/E8</f>
        <v>414.90029580360726</v>
      </c>
      <c r="I10" s="21">
        <f>I6*I7*(1-I8)/I8</f>
        <v>504.34412707014792</v>
      </c>
      <c r="M10" s="21">
        <f>M6*M7*(1-M8)/M8</f>
        <v>440.34012300909671</v>
      </c>
      <c r="Q10" s="21">
        <f>Q6*Q7*(1-Q8)/Q8</f>
        <v>339.9180800459489</v>
      </c>
      <c r="U10" s="21">
        <f>U6*U7*(1-U8)/U8</f>
        <v>283.65309396331781</v>
      </c>
      <c r="Y10" s="21">
        <f>Y6*Y7*(1-Y8)/Y8</f>
        <v>425.09245776702687</v>
      </c>
    </row>
    <row r="11" spans="1:45">
      <c r="A11" s="1" t="s">
        <v>292</v>
      </c>
      <c r="C11" s="43">
        <f>AVERAGE(E11:Y11)</f>
        <v>0.75868392989327404</v>
      </c>
      <c r="E11">
        <f>(1-E9)*E8/E9/(1-E8)</f>
        <v>0.71691471087442737</v>
      </c>
      <c r="I11">
        <f>(1-I9)*I8/I9/(1-I8)</f>
        <v>0.7348978666828262</v>
      </c>
      <c r="M11">
        <f>(1-M9)*M8/M9/(1-M8)</f>
        <v>0.79719990870866431</v>
      </c>
      <c r="Q11">
        <f>(1-Q9)*Q8/Q9/(1-Q8)</f>
        <v>0.82670146825989066</v>
      </c>
      <c r="U11">
        <f>(1-U9)*U8/U9/(1-U8)</f>
        <v>0.74438483916062093</v>
      </c>
      <c r="Y11">
        <f>(1-Y9)*Y8/Y9/(1-Y8)</f>
        <v>0.73200478567321547</v>
      </c>
    </row>
    <row r="12" spans="1:45">
      <c r="A12" s="1" t="s">
        <v>33</v>
      </c>
      <c r="E12" t="s">
        <v>39</v>
      </c>
      <c r="I12" t="s">
        <v>39</v>
      </c>
      <c r="M12" t="s">
        <v>39</v>
      </c>
      <c r="Q12" t="s">
        <v>39</v>
      </c>
      <c r="U12" t="s">
        <v>39</v>
      </c>
      <c r="Y12" t="s">
        <v>39</v>
      </c>
      <c r="AL12" t="s">
        <v>39</v>
      </c>
      <c r="AN12" t="s">
        <v>39</v>
      </c>
      <c r="AP12" t="s">
        <v>132</v>
      </c>
      <c r="AR12" t="s">
        <v>132</v>
      </c>
    </row>
    <row r="13" spans="1:45">
      <c r="A13" s="1" t="s">
        <v>45</v>
      </c>
      <c r="E13" t="s">
        <v>47</v>
      </c>
      <c r="I13" t="s">
        <v>47</v>
      </c>
      <c r="M13" t="s">
        <v>47</v>
      </c>
      <c r="Q13" t="s">
        <v>47</v>
      </c>
      <c r="U13" t="s">
        <v>47</v>
      </c>
      <c r="Y13" t="s">
        <v>47</v>
      </c>
      <c r="AL13" t="s">
        <v>47</v>
      </c>
      <c r="AN13" t="s">
        <v>47</v>
      </c>
      <c r="AP13" t="s">
        <v>47</v>
      </c>
      <c r="AR13" t="s">
        <v>47</v>
      </c>
    </row>
    <row r="14" spans="1:45" s="61" customFormat="1" ht="68">
      <c r="A14" s="60" t="s">
        <v>31</v>
      </c>
      <c r="E14" s="64" t="s">
        <v>195</v>
      </c>
      <c r="I14" s="64" t="s">
        <v>195</v>
      </c>
      <c r="M14" s="64" t="s">
        <v>197</v>
      </c>
      <c r="Q14" s="64" t="s">
        <v>198</v>
      </c>
      <c r="U14" s="64" t="s">
        <v>200</v>
      </c>
      <c r="Y14" s="64" t="s">
        <v>201</v>
      </c>
      <c r="AL14" s="63" t="s">
        <v>217</v>
      </c>
      <c r="AN14" s="63" t="s">
        <v>217</v>
      </c>
      <c r="AP14" s="64" t="s">
        <v>214</v>
      </c>
      <c r="AR14" s="64" t="s">
        <v>214</v>
      </c>
    </row>
    <row r="16" spans="1:45">
      <c r="A16" s="1" t="s">
        <v>50</v>
      </c>
      <c r="E16" t="s">
        <v>196</v>
      </c>
      <c r="I16" t="s">
        <v>193</v>
      </c>
    </row>
    <row r="17" spans="1:44">
      <c r="B17" s="1" t="s">
        <v>5</v>
      </c>
      <c r="C17" s="1" t="s">
        <v>6</v>
      </c>
      <c r="D17" s="1" t="s">
        <v>55</v>
      </c>
    </row>
    <row r="18" spans="1:44">
      <c r="A18" s="1" t="s">
        <v>0</v>
      </c>
    </row>
    <row r="19" spans="1:44">
      <c r="A19" t="s">
        <v>60</v>
      </c>
      <c r="B19">
        <f>AVERAGE(E19/E$9,I19/I$9,AVERAGE(M19/M$9,N19/M$9),AVERAGE(Q19/Q$9,R19/Q$9),AVERAGE(U19/U$9,V19/U$9),AVERAGE(Y19/Y$9,Z19/Y$9))</f>
        <v>0.28711972212319509</v>
      </c>
      <c r="C19">
        <f>STDEV(E19/E$9,I19/I$9,AVERAGE(M19/M$9,N19/M$9),AVERAGE(Q19/Q$9,R19/Q$9),AVERAGE(U19/U$9,V19/U$9),AVERAGE(Y19/Y$9,Z19/Y$9))/SQRT(D19)</f>
        <v>3.8587615754874592E-2</v>
      </c>
      <c r="D19">
        <v>6</v>
      </c>
      <c r="E19">
        <v>4.0980999999999997E-2</v>
      </c>
      <c r="I19">
        <v>2.7543999999999999E-2</v>
      </c>
      <c r="M19">
        <v>3.0394999999999998E-2</v>
      </c>
      <c r="N19">
        <v>1.9567000000000001E-2</v>
      </c>
      <c r="Q19">
        <v>3.9370000000000002E-2</v>
      </c>
      <c r="R19">
        <v>3.7456999999999997E-2</v>
      </c>
      <c r="U19">
        <v>8.1000000000000003E-2</v>
      </c>
      <c r="V19">
        <v>6.8825999999999998E-2</v>
      </c>
      <c r="Y19">
        <v>5.7161999999999998E-2</v>
      </c>
      <c r="Z19">
        <v>5.5181000000000001E-2</v>
      </c>
    </row>
    <row r="20" spans="1:44">
      <c r="A20" t="s">
        <v>61</v>
      </c>
      <c r="B20">
        <f>AVERAGE(E20/E$9,I20/I$9,AVERAGE(M20/M$9,N20/M$9),AVERAGE(Q20/Q$9,R20/Q$9),AVERAGE(U20/U$9,V20/U$9),AVERAGE(Y20/Y$9,Z20/Y$9))*F8</f>
        <v>1</v>
      </c>
      <c r="C20">
        <f>STDEV(E20/E$9,I20/I$9,AVERAGE(M20/M$9,N20/M$9),AVERAGE(Q20/Q$9,R20/Q$9),AVERAGE(U20/U$9,V20/U$9),AVERAGE(Y20/Y$9,Z20/Y$9))/SQRT(D20)*F8</f>
        <v>5.0907085294362176E-17</v>
      </c>
      <c r="D20">
        <v>6</v>
      </c>
      <c r="E20">
        <v>0.11383</v>
      </c>
      <c r="I20">
        <v>9.4428999999999999E-2</v>
      </c>
      <c r="M20">
        <v>8.9460999999999999E-2</v>
      </c>
      <c r="N20">
        <v>7.9488000000000003E-2</v>
      </c>
      <c r="Q20">
        <v>9.6430000000000002E-2</v>
      </c>
      <c r="R20">
        <v>0.10836999999999999</v>
      </c>
      <c r="U20">
        <v>0.13028000000000001</v>
      </c>
      <c r="V20">
        <v>0.12952</v>
      </c>
      <c r="Y20">
        <v>8.5361000000000006E-2</v>
      </c>
      <c r="Z20">
        <v>0.10229000000000001</v>
      </c>
    </row>
    <row r="21" spans="1:44">
      <c r="A21" t="s">
        <v>62</v>
      </c>
      <c r="B21">
        <f>AVERAGE(E21/E$9,I21/I$9,AVERAGE(M21/M$9,N21/M$9),AVERAGE(Q21/Q$9,R21/Q$9),AVERAGE(U21/U$9,V21/U$9),AVERAGE(Y21/Y$9,Z21/Y$9))</f>
        <v>0.24343369088733188</v>
      </c>
      <c r="C21">
        <f>STDEV(E21/E$9,I21/I$9,AVERAGE(M21/M$9,N21/M$9),AVERAGE(Q21/Q$9,R21/Q$9),AVERAGE(U21/U$9,V21/U$9),AVERAGE(Y21/Y$9,Z21/Y$9))/SQRT(D21)</f>
        <v>1.5981670284199598E-2</v>
      </c>
      <c r="D21">
        <v>6</v>
      </c>
      <c r="E21">
        <v>3.406E-2</v>
      </c>
      <c r="I21">
        <v>3.2051999999999997E-2</v>
      </c>
      <c r="M21">
        <v>3.8581999999999998E-2</v>
      </c>
      <c r="N21">
        <v>3.7915999999999998E-2</v>
      </c>
      <c r="Q21">
        <v>3.8101999999999997E-2</v>
      </c>
      <c r="R21">
        <v>3.8364000000000002E-2</v>
      </c>
      <c r="U21">
        <v>4.0298E-2</v>
      </c>
      <c r="V21">
        <v>3.8013999999999999E-2</v>
      </c>
      <c r="Y21">
        <v>3.2419000000000003E-2</v>
      </c>
      <c r="Z21">
        <v>3.3565999999999999E-2</v>
      </c>
    </row>
    <row r="22" spans="1:44">
      <c r="A22" t="s">
        <v>63</v>
      </c>
      <c r="B22">
        <f>AVERAGE(E22/E$9,I22/I$9,AVERAGE(M22/M$9,N22/M$9),AVERAGE(Q22/Q$9,R22/Q$9),AVERAGE(U22/U$9,V22/U$9),AVERAGE(Y22/Y$9,Z22/Y$9))</f>
        <v>0.57315637645802575</v>
      </c>
      <c r="C22">
        <f>STDEV(E22/E$9,I22/I$9,AVERAGE(M22/M$9,N22/M$9),AVERAGE(Q22/Q$9,R22/Q$9),AVERAGE(U22/U$9,V22/U$9),AVERAGE(Y22/Y$9,Z22/Y$9))/SQRT(D22)</f>
        <v>7.7682825135341679E-2</v>
      </c>
      <c r="D22">
        <v>6</v>
      </c>
      <c r="E22">
        <v>6.0884000000000001E-2</v>
      </c>
      <c r="I22">
        <v>4.9815999999999999E-2</v>
      </c>
      <c r="M22">
        <v>8.4354999999999999E-2</v>
      </c>
      <c r="N22">
        <v>6.2812999999999994E-2</v>
      </c>
      <c r="Q22">
        <v>9.1882000000000005E-2</v>
      </c>
      <c r="R22">
        <v>8.7202000000000002E-2</v>
      </c>
      <c r="U22">
        <v>0.11697</v>
      </c>
      <c r="V22">
        <v>0.11956</v>
      </c>
      <c r="Y22">
        <v>0.11674</v>
      </c>
      <c r="Z22">
        <v>0.12121999999999999</v>
      </c>
    </row>
    <row r="23" spans="1:44">
      <c r="A23" t="s">
        <v>64</v>
      </c>
      <c r="B23">
        <f>AVERAGE(AVERAGE(M23/M$9,N23/M$9),AVERAGE(Q23/Q$9,R23/Q$9),AVERAGE(U23/U$9,V23/U$9),AVERAGE(Y23/Y$9,Z23/Y$9))</f>
        <v>1.035596572005033E-2</v>
      </c>
      <c r="C23">
        <f>STDEV(AVERAGE(M23/M$9,N23/M$9),AVERAGE(Q23/Q$9,R23/Q$9),AVERAGE(U23/U$9,V23/U$9),AVERAGE(Y23/Y$9,Z23/Y$9))/SQRT(D23)</f>
        <v>3.1879040372342505E-3</v>
      </c>
      <c r="D23">
        <v>4</v>
      </c>
      <c r="M23">
        <v>1.8171000000000001E-3</v>
      </c>
      <c r="N23">
        <v>3.0171999999999998E-3</v>
      </c>
      <c r="Q23">
        <v>2.0371999999999999E-3</v>
      </c>
      <c r="R23">
        <v>2.5429000000000001E-4</v>
      </c>
      <c r="U23">
        <v>9.1814999999999996E-4</v>
      </c>
      <c r="V23">
        <v>1.1589E-3</v>
      </c>
      <c r="Y23">
        <v>1.2587E-3</v>
      </c>
      <c r="Z23">
        <v>1.0432E-3</v>
      </c>
    </row>
    <row r="24" spans="1:44">
      <c r="A24" t="s">
        <v>65</v>
      </c>
      <c r="B24">
        <f>AVERAGE(AVERAGE(M24/M$9,N24/M$9),AVERAGE(Q24/Q$9,R24/Q$9),AVERAGE(U24/U$9,V24/U$9),AVERAGE(Y24/Y$9,Z24/Y$9))</f>
        <v>1.2146901707330163E-3</v>
      </c>
      <c r="C24">
        <f>STDEV(AVERAGE(M24/M$9,N24/M$9),AVERAGE(Q24/Q$9,R24/Q$9),AVERAGE(U24/U$9,V24/U$9),AVERAGE(Y24/Y$9,Z24/Y$9))/SQRT(D24)</f>
        <v>1.2146901707330163E-3</v>
      </c>
      <c r="D24">
        <v>4</v>
      </c>
      <c r="M24">
        <v>2.4254999999999999E-4</v>
      </c>
      <c r="N24">
        <v>9.4773000000000004E-4</v>
      </c>
      <c r="Q24">
        <v>0</v>
      </c>
      <c r="R24">
        <v>0</v>
      </c>
      <c r="U24">
        <v>0</v>
      </c>
      <c r="V24">
        <v>0</v>
      </c>
      <c r="Y24">
        <v>0</v>
      </c>
      <c r="Z24">
        <v>0</v>
      </c>
    </row>
    <row r="25" spans="1:44">
      <c r="A25" t="s">
        <v>66</v>
      </c>
      <c r="B25">
        <f>AVERAGE(AVERAGE(M25/M$9,N25/M$9),AVERAGE(Q25/Q$9,R25/Q$9),AVERAGE(U25/U$9,V25/U$9),AVERAGE(Y25/Y$9,Z25/Y$9))</f>
        <v>2.8767447982308862E-4</v>
      </c>
      <c r="C25">
        <f>STDEV(AVERAGE(M25/M$9,N25/M$9),AVERAGE(Q25/Q$9,R25/Q$9),AVERAGE(U25/U$9,V25/U$9),AVERAGE(Y25/Y$9,Z25/Y$9))/SQRT(D25)</f>
        <v>6.591572487730489E-5</v>
      </c>
      <c r="D25">
        <v>4</v>
      </c>
      <c r="M25">
        <v>1.063E-4</v>
      </c>
      <c r="N25">
        <v>0</v>
      </c>
      <c r="Q25">
        <v>0</v>
      </c>
      <c r="R25" s="15">
        <v>8.6719999999999996E-5</v>
      </c>
      <c r="U25">
        <v>0</v>
      </c>
      <c r="V25" s="15">
        <v>4.2910000000000001E-5</v>
      </c>
      <c r="Y25" s="15">
        <v>5.2349999999999999E-5</v>
      </c>
      <c r="Z25" s="15">
        <v>3.2228999999999999E-5</v>
      </c>
    </row>
    <row r="26" spans="1:44">
      <c r="A26" t="s">
        <v>67</v>
      </c>
      <c r="B26">
        <f>AVERAGE(AVERAGE(M26/M$9,N26/M$9),AVERAGE(Q26/Q$9,R26/Q$9),AVERAGE(U26/U$9,V26/U$9),AVERAGE(Y26/Y$9,Z26/Y$9))</f>
        <v>0</v>
      </c>
      <c r="C26">
        <f>STDEV(AVERAGE(M26/M$9,N26/M$9),AVERAGE(Q26/Q$9,R26/Q$9),AVERAGE(U26/U$9,V26/U$9),AVERAGE(Y26/Y$9,Z26/Y$9))/SQRT(D26)</f>
        <v>0</v>
      </c>
      <c r="D26">
        <v>4</v>
      </c>
      <c r="M26">
        <v>0</v>
      </c>
      <c r="N26">
        <v>0</v>
      </c>
      <c r="Q26">
        <v>0</v>
      </c>
      <c r="R26">
        <v>0</v>
      </c>
      <c r="U26">
        <v>0</v>
      </c>
      <c r="V26">
        <v>0</v>
      </c>
      <c r="Y26">
        <v>0</v>
      </c>
      <c r="Z26">
        <v>0</v>
      </c>
    </row>
    <row r="27" spans="1:44">
      <c r="A27" t="s">
        <v>71</v>
      </c>
      <c r="B27">
        <f>AVERAGE(E27/E$9,I27/I$9,AVERAGE(M27/M$9,N27/M$9),AVERAGE(Q27/Q$9,R27/Q$9),AVERAGE(U27/U$9,V27/U$9),AVERAGE(Y27/Y$9,Z27/Y$9))</f>
        <v>5.2723546351052891E-2</v>
      </c>
      <c r="C27">
        <f>STDEV(E27/E$9,I27/I$9,AVERAGE(M27/M$9,N27/M$9),AVERAGE(Q27/Q$9,R27/Q$9),AVERAGE(U27/U$9,V27/U$9),AVERAGE(Y27/Y$9,Z27/Y$9))/SQRT(D27)</f>
        <v>4.1674722098474703E-3</v>
      </c>
      <c r="D27">
        <v>6</v>
      </c>
      <c r="E27">
        <v>7.9168999999999993E-3</v>
      </c>
      <c r="I27">
        <v>6.7025000000000001E-3</v>
      </c>
      <c r="M27">
        <v>6.7285000000000001E-3</v>
      </c>
      <c r="N27">
        <v>5.8161999999999997E-3</v>
      </c>
      <c r="Q27">
        <v>6.6556000000000002E-3</v>
      </c>
      <c r="R27">
        <v>5.4028000000000001E-3</v>
      </c>
      <c r="U27">
        <v>1.0996000000000001E-2</v>
      </c>
      <c r="V27">
        <v>1.0521000000000001E-2</v>
      </c>
      <c r="Y27">
        <v>8.1794999999999993E-3</v>
      </c>
      <c r="Z27">
        <v>1.1001E-2</v>
      </c>
    </row>
    <row r="28" spans="1:44">
      <c r="A28" t="s">
        <v>72</v>
      </c>
      <c r="B28">
        <f>AVERAGE(AVERAGE(M28/M$9,N28/M$9),AVERAGE(Q28/Q$9,R28/Q$9),AVERAGE(U28/U$9,V28/U$9),AVERAGE(Y28/Y$9,Z28/Y$9))</f>
        <v>1.3428710119094484E-2</v>
      </c>
      <c r="C28">
        <f>STDEV(AVERAGE(M28/M$9,N28/M$9),AVERAGE(Q28/Q$9,R28/Q$9),AVERAGE(U28/U$9,V28/U$9),AVERAGE(Y28/Y$9,Z28/Y$9))/SQRT(D28)</f>
        <v>2.01416906169617E-3</v>
      </c>
      <c r="D28">
        <v>4</v>
      </c>
      <c r="M28">
        <v>2.6072999999999999E-3</v>
      </c>
      <c r="N28">
        <v>1.4425E-3</v>
      </c>
      <c r="Q28">
        <v>1.9927999999999999E-3</v>
      </c>
      <c r="R28">
        <v>1.8544E-3</v>
      </c>
      <c r="U28">
        <v>1.9821999999999999E-3</v>
      </c>
      <c r="V28">
        <v>9.9697999999999996E-4</v>
      </c>
      <c r="Y28">
        <v>2.2628000000000001E-3</v>
      </c>
      <c r="Z28">
        <v>2.1776999999999999E-3</v>
      </c>
    </row>
    <row r="29" spans="1:44">
      <c r="A29" t="s">
        <v>69</v>
      </c>
      <c r="B29">
        <f>AVERAGE(E29/E$9,I29/I$9,AVERAGE(M29/M$9,N29/M$9),AVERAGE(Q29/Q$9,R29/Q$9),AVERAGE(U29/U$9,V29/U$9),AVERAGE(Y29/Y$9,Z29/Y$9))</f>
        <v>0.20216049150370366</v>
      </c>
      <c r="C29">
        <f>STDEV(E29/E$9,I29/I$9,AVERAGE(M29/M$9,N29/M$9),AVERAGE(Q29/Q$9,R29/Q$9),AVERAGE(U29/U$9,V29/U$9),AVERAGE(Y29/Y$9,Z29/Y$9))/SQRT(D29)</f>
        <v>3.1065465312118817E-2</v>
      </c>
      <c r="D29">
        <v>6</v>
      </c>
      <c r="E29">
        <v>1.7462999999999999E-2</v>
      </c>
      <c r="I29">
        <v>2.0878000000000001E-2</v>
      </c>
      <c r="M29">
        <v>3.9097E-2</v>
      </c>
      <c r="N29">
        <v>3.7637999999999998E-2</v>
      </c>
      <c r="Q29">
        <v>3.9831999999999999E-2</v>
      </c>
      <c r="R29">
        <v>3.6941000000000002E-2</v>
      </c>
      <c r="U29">
        <v>2.9752000000000001E-2</v>
      </c>
      <c r="V29">
        <v>3.2211999999999998E-2</v>
      </c>
      <c r="Y29">
        <v>2.853E-2</v>
      </c>
      <c r="Z29">
        <v>3.0903E-2</v>
      </c>
    </row>
    <row r="30" spans="1:44">
      <c r="A30" t="s">
        <v>68</v>
      </c>
      <c r="B30">
        <f>AVERAGE(AE30/AE9,AF30/AF9,AG30/AG9)</f>
        <v>0.11511102074408756</v>
      </c>
      <c r="C30">
        <f>STDEV(AE30/AE9,AF30/AF9,AG30/AG9)/SQRT(D30)</f>
        <v>1.4552898400129298E-2</v>
      </c>
      <c r="D30">
        <v>3</v>
      </c>
      <c r="AE30">
        <v>1.6088910401359839E-2</v>
      </c>
      <c r="AF30">
        <v>2.2989888703662989E-2</v>
      </c>
      <c r="AG30">
        <v>1.8311271584009661E-2</v>
      </c>
    </row>
    <row r="31" spans="1:44">
      <c r="A31" t="s">
        <v>70</v>
      </c>
      <c r="B31">
        <f>AVERAGE(AL31/AL9,AN31/AN9,AP31/AP9,AR31/AR9)</f>
        <v>7.3333446857977144E-2</v>
      </c>
      <c r="C31">
        <f>STDEV(AL31/AL9,AN31/AN9,AP31/AP9,AR31/AR9)/SQRT(D31)</f>
        <v>6.6709797190923495E-3</v>
      </c>
      <c r="D31">
        <v>4</v>
      </c>
      <c r="AL31">
        <v>1.2236E-2</v>
      </c>
      <c r="AN31">
        <v>1.2612E-2</v>
      </c>
      <c r="AP31">
        <v>1.2134000000000001E-2</v>
      </c>
      <c r="AR31">
        <v>1.0366E-2</v>
      </c>
    </row>
    <row r="32" spans="1:44">
      <c r="A32" t="s">
        <v>23</v>
      </c>
      <c r="B32">
        <f>AVERAGE(E32/E$9,I32/I$9,AVERAGE(M32/M$9,N32/M$9),AVERAGE(Q32/Q$9,R32/Q$9),AVERAGE(U32/U$9,V32/U$9),AVERAGE(Y32/Y$9,Z32/Y$9))</f>
        <v>0</v>
      </c>
      <c r="C32">
        <f>STDEV(E32/E$9,I32/I$9,AVERAGE(M32/M$9,N32/M$9),AVERAGE(Q32/Q$9,R32/Q$9),AVERAGE(U32/U$9,V32/U$9),AVERAGE(Y32/Y$9,Z32/Y$9))/SQRT(D32)</f>
        <v>0</v>
      </c>
      <c r="D32">
        <v>6</v>
      </c>
      <c r="E32">
        <v>0</v>
      </c>
      <c r="I32">
        <v>0</v>
      </c>
      <c r="M32">
        <v>0</v>
      </c>
      <c r="N32">
        <v>0</v>
      </c>
      <c r="Q32">
        <v>0</v>
      </c>
      <c r="R32">
        <v>0</v>
      </c>
      <c r="U32">
        <v>0</v>
      </c>
      <c r="V32">
        <v>0</v>
      </c>
      <c r="Y32">
        <v>0</v>
      </c>
      <c r="Z32">
        <v>0</v>
      </c>
    </row>
    <row r="33" spans="1:26">
      <c r="A33" t="s">
        <v>24</v>
      </c>
      <c r="B33">
        <f>AVERAGE(E33/E$9,I33/I$9,AVERAGE(M33/M$9,N33/M$9),AVERAGE(Q33/Q$9,R33/Q$9),AVERAGE(U33/U$9,V33/U$9),AVERAGE(Y33/Y$9,Z33/Y$9))</f>
        <v>0</v>
      </c>
      <c r="C33">
        <f>STDEV(E33/E$9,I33/I$9,AVERAGE(M33/M$9,N33/M$9),AVERAGE(Q33/Q$9,R33/Q$9),AVERAGE(U33/U$9,V33/U$9),AVERAGE(Y33/Y$9,Z33/Y$9))/SQRT(D33)</f>
        <v>0</v>
      </c>
      <c r="D33">
        <v>6</v>
      </c>
      <c r="E33">
        <v>0</v>
      </c>
      <c r="I33">
        <v>0</v>
      </c>
      <c r="M33">
        <v>0</v>
      </c>
      <c r="N33">
        <v>0</v>
      </c>
      <c r="Q33">
        <v>0</v>
      </c>
      <c r="R33">
        <v>0</v>
      </c>
      <c r="U33">
        <v>0</v>
      </c>
      <c r="V33">
        <v>0</v>
      </c>
      <c r="Y33">
        <v>0</v>
      </c>
      <c r="Z33">
        <v>0</v>
      </c>
    </row>
    <row r="36" spans="1:26">
      <c r="A36" s="1" t="s">
        <v>16</v>
      </c>
    </row>
    <row r="37" spans="1:26">
      <c r="A37" t="s">
        <v>7</v>
      </c>
      <c r="B37">
        <f>AVERAGE(AVERAGE(E37/E$9,F37/E$9),AVERAGE(I37/I$9,J37/I$9),AVERAGE(M37/M$9,N37/M$9),AVERAGE(Q37/Q$9,R37/Q$9),AVERAGE(U37/U$9,V37/U$9),AVERAGE(Y37/Y$9,Z37/Y$9))</f>
        <v>0.35816666271291225</v>
      </c>
      <c r="C37">
        <f>STDEV(AVERAGE(E37/E$9,F37/E$9),AVERAGE(I37/I$9,J37/I$9),AVERAGE(M37/M$9,N37/M$9),AVERAGE(Q37/Q$9,R37/Q$9),AVERAGE(U37/U$9,V37/U$9),AVERAGE(Y37/Y$9,Z37/Y$9))/SQRT(D37)</f>
        <v>2.4253983725074372E-2</v>
      </c>
      <c r="D37">
        <v>6</v>
      </c>
      <c r="E37">
        <v>5.8936000000000002E-2</v>
      </c>
      <c r="F37">
        <v>5.9614E-2</v>
      </c>
      <c r="I37">
        <v>4.3775000000000001E-2</v>
      </c>
      <c r="J37">
        <v>4.4194999999999998E-2</v>
      </c>
      <c r="M37">
        <v>3.6194999999999998E-2</v>
      </c>
      <c r="N37">
        <v>3.7846999999999999E-2</v>
      </c>
      <c r="Q37">
        <v>4.4719000000000002E-2</v>
      </c>
      <c r="R37">
        <v>4.7083E-2</v>
      </c>
      <c r="U37">
        <v>7.4836E-2</v>
      </c>
      <c r="V37">
        <v>7.8990000000000005E-2</v>
      </c>
      <c r="Y37">
        <v>6.1182E-2</v>
      </c>
      <c r="Z37">
        <v>6.0963999999999997E-2</v>
      </c>
    </row>
    <row r="38" spans="1:26">
      <c r="A38" t="s">
        <v>8</v>
      </c>
      <c r="B38">
        <f>AVERAGE(AVERAGE(E38/E$9,F38/E$9),AVERAGE(I38/I$9,J38/I$9),AVERAGE(M38/M$9,N38/M$9),AVERAGE(Q38/Q$9,R38/Q$9),AVERAGE(U38/U$9,V38/U$9),AVERAGE(Y38/Y$9,Z38/Y$9))</f>
        <v>0.27843329104364517</v>
      </c>
      <c r="C38">
        <f>STDEV(AVERAGE(E38/E$9,F38/E$9),AVERAGE(I38/I$9,J38/I$9),AVERAGE(M38/M$9,N38/M$9),AVERAGE(Q38/Q$9,R38/Q$9),AVERAGE(U38/U$9,V38/U$9),AVERAGE(Y38/Y$9,Z38/Y$9))/SQRT(D38)</f>
        <v>2.0357755670328322E-2</v>
      </c>
      <c r="D38">
        <v>6</v>
      </c>
      <c r="E38">
        <v>4.3728000000000003E-2</v>
      </c>
      <c r="F38">
        <v>4.1807999999999998E-2</v>
      </c>
      <c r="I38">
        <v>3.9593999999999997E-2</v>
      </c>
      <c r="J38">
        <v>3.9045999999999997E-2</v>
      </c>
      <c r="M38">
        <v>4.6484999999999999E-2</v>
      </c>
      <c r="N38">
        <v>4.3594000000000001E-2</v>
      </c>
      <c r="Q38">
        <v>3.9371000000000003E-2</v>
      </c>
      <c r="R38">
        <v>4.5966E-2</v>
      </c>
      <c r="U38">
        <v>4.2944999999999997E-2</v>
      </c>
      <c r="V38">
        <v>4.2841999999999998E-2</v>
      </c>
      <c r="Y38">
        <v>2.9374999999999998E-2</v>
      </c>
      <c r="Z38">
        <v>3.6339000000000003E-2</v>
      </c>
    </row>
    <row r="39" spans="1:26">
      <c r="A39" t="s">
        <v>9</v>
      </c>
      <c r="B39">
        <f>AVERAGE(AVERAGE(E39/E$9,F39/E$9),AVERAGE(I39/I$9,J39/I$9),AVERAGE(M39/M$9,N39/M$9),AVERAGE(Q39/Q$9,R39/Q$9),AVERAGE(U39/U$9,V39/U$9),AVERAGE(Y39/Y$9,Z39/Y$9))</f>
        <v>0.37307729709334142</v>
      </c>
      <c r="C39">
        <f>STDEV(AVERAGE(E39/E$9,F39/E$9),AVERAGE(I39/I$9,J39/I$9),AVERAGE(M39/M$9,N39/M$9),AVERAGE(Q39/Q$9,R39/Q$9),AVERAGE(U39/U$9,V39/U$9),AVERAGE(Y39/Y$9,Z39/Y$9))/SQRT(D39)</f>
        <v>2.7025310278858693E-2</v>
      </c>
      <c r="D39">
        <v>6</v>
      </c>
      <c r="E39">
        <v>5.8874000000000003E-2</v>
      </c>
      <c r="F39">
        <v>6.2731999999999996E-2</v>
      </c>
      <c r="I39">
        <v>5.3293E-2</v>
      </c>
      <c r="J39">
        <v>5.0779999999999999E-2</v>
      </c>
      <c r="M39">
        <v>5.7160999999999997E-2</v>
      </c>
      <c r="N39">
        <v>6.0099E-2</v>
      </c>
      <c r="Q39">
        <v>5.151E-2</v>
      </c>
      <c r="R39">
        <v>5.1778999999999999E-2</v>
      </c>
      <c r="U39">
        <v>5.2944999999999999E-2</v>
      </c>
      <c r="V39">
        <v>5.0326999999999997E-2</v>
      </c>
      <c r="Y39">
        <v>5.2188999999999999E-2</v>
      </c>
      <c r="Z39">
        <v>5.3768000000000003E-2</v>
      </c>
    </row>
    <row r="40" spans="1:26">
      <c r="A40" t="s">
        <v>10</v>
      </c>
      <c r="B40">
        <f>AVERAGE(AVERAGE(E40/E$9,F40/E$9),AVERAGE(I40/I$9,J40/I$9),AVERAGE(M40/M$9,N40/M$9),AVERAGE(Q40/Q$9,R40/Q$9),AVERAGE(U40/U$9,V40/U$9),AVERAGE(Y40/Y$9,Z40/Y$9))</f>
        <v>0.28632992345417779</v>
      </c>
      <c r="C40">
        <f>STDEV(AVERAGE(E40/E$9,F40/E$9),AVERAGE(I40/I$9,J40/I$9),AVERAGE(M40/M$9,N40/M$9),AVERAGE(Q40/Q$9,R40/Q$9),AVERAGE(U40/U$9,V40/U$9),AVERAGE(Y40/Y$9,Z40/Y$9))/SQRT(D40)</f>
        <v>1.9785716083708774E-2</v>
      </c>
      <c r="D40">
        <v>6</v>
      </c>
      <c r="E40">
        <v>4.3587000000000001E-2</v>
      </c>
      <c r="F40">
        <v>4.2396000000000003E-2</v>
      </c>
      <c r="I40">
        <v>3.6540000000000003E-2</v>
      </c>
      <c r="J40">
        <v>3.6417999999999999E-2</v>
      </c>
      <c r="M40">
        <v>3.5328999999999999E-2</v>
      </c>
      <c r="N40">
        <v>3.3595E-2</v>
      </c>
      <c r="Q40">
        <v>3.4070000000000003E-2</v>
      </c>
      <c r="R40">
        <v>4.1012E-2</v>
      </c>
      <c r="U40">
        <v>5.1558E-2</v>
      </c>
      <c r="V40">
        <v>5.1567000000000002E-2</v>
      </c>
      <c r="Y40">
        <v>5.2997000000000002E-2</v>
      </c>
      <c r="Z40">
        <v>5.1256000000000003E-2</v>
      </c>
    </row>
    <row r="41" spans="1:26">
      <c r="A41" t="s">
        <v>11</v>
      </c>
      <c r="B41">
        <f>AVERAGE(AVERAGE(E41/E$9,F41/E$9),AVERAGE(I41/I$9,J41/I$9),AVERAGE(M41/M$9,N41/M$9),AVERAGE(Q41/Q$9,R41/Q$9),AVERAGE(U41/U$9,V41/U$9),AVERAGE(Y41/Y$9,Z41/Y$9))</f>
        <v>0.22546747787312996</v>
      </c>
      <c r="C41">
        <f>STDEV(AVERAGE(E41/E$9,F41/E$9),AVERAGE(I41/I$9,J41/I$9),AVERAGE(M41/M$9,N41/M$9),AVERAGE(Q41/Q$9,R41/Q$9),AVERAGE(U41/U$9,V41/U$9),AVERAGE(Y41/Y$9,Z41/Y$9))/SQRT(D41)</f>
        <v>2.8556907470747746E-2</v>
      </c>
      <c r="D41">
        <v>6</v>
      </c>
      <c r="E41">
        <v>3.3223000000000003E-2</v>
      </c>
      <c r="F41">
        <v>3.1230999999999998E-2</v>
      </c>
      <c r="I41">
        <v>3.2098000000000002E-2</v>
      </c>
      <c r="J41">
        <v>3.1881E-2</v>
      </c>
      <c r="M41">
        <v>4.3454E-2</v>
      </c>
      <c r="N41">
        <v>4.2187000000000002E-2</v>
      </c>
      <c r="Q41">
        <v>3.3878999999999999E-2</v>
      </c>
      <c r="R41">
        <v>3.4469E-2</v>
      </c>
      <c r="U41">
        <v>2.5656999999999999E-2</v>
      </c>
      <c r="V41">
        <v>2.6235000000000001E-2</v>
      </c>
      <c r="Y41">
        <v>2.7796000000000001E-2</v>
      </c>
      <c r="Z41">
        <v>2.8369999999999999E-2</v>
      </c>
    </row>
    <row r="42" spans="1:26">
      <c r="A42" t="s">
        <v>49</v>
      </c>
      <c r="B42" t="s">
        <v>30</v>
      </c>
      <c r="C42" t="s">
        <v>30</v>
      </c>
      <c r="D42">
        <v>0</v>
      </c>
    </row>
    <row r="43" spans="1:26">
      <c r="A43" t="s">
        <v>12</v>
      </c>
      <c r="B43">
        <f>AVERAGE(AVERAGE(E43/E$9,F43/E$9),AVERAGE(I43/I$9,J43/I$9),AVERAGE(M43/M$9,N43/M$9),AVERAGE(Q43/Q$9,R43/Q$9),AVERAGE(U43/U$9,V43/U$9),AVERAGE(Y43/Y$9,Z43/Y$9))</f>
        <v>0.27603438720269807</v>
      </c>
      <c r="C43">
        <f>STDEV(AVERAGE(E43/E$9,F43/E$9),AVERAGE(I43/I$9,J43/I$9),AVERAGE(M43/M$9,N43/M$9),AVERAGE(Q43/Q$9,R43/Q$9),AVERAGE(U43/U$9,V43/U$9),AVERAGE(Y43/Y$9,Z43/Y$9))/SQRT(D43)</f>
        <v>2.3036348911281149E-2</v>
      </c>
      <c r="D43">
        <v>6</v>
      </c>
      <c r="E43">
        <v>4.4922999999999998E-2</v>
      </c>
      <c r="F43">
        <v>4.4222999999999998E-2</v>
      </c>
      <c r="I43">
        <v>3.0901999999999999E-2</v>
      </c>
      <c r="J43">
        <v>3.1412000000000002E-2</v>
      </c>
      <c r="M43">
        <v>3.7335E-2</v>
      </c>
      <c r="N43">
        <v>3.6907000000000002E-2</v>
      </c>
      <c r="Q43">
        <v>5.4299E-2</v>
      </c>
      <c r="R43">
        <v>5.2856E-2</v>
      </c>
      <c r="U43">
        <v>3.8371000000000002E-2</v>
      </c>
      <c r="V43">
        <v>3.8032999999999997E-2</v>
      </c>
      <c r="Y43">
        <v>3.9588999999999999E-2</v>
      </c>
      <c r="Z43">
        <v>3.9830999999999998E-2</v>
      </c>
    </row>
    <row r="44" spans="1:26">
      <c r="A44" t="s">
        <v>13</v>
      </c>
      <c r="B44">
        <f>AVERAGE(AVERAGE(E44/E$9,F44/E$9),AVERAGE(I44/I$9,J44/I$9),AVERAGE(M44/M$9,N44/M$9),AVERAGE(Q44/Q$9,R44/Q$9),AVERAGE(U44/U$9,V44/U$9),AVERAGE(Y44/Y$9,Z44/Y$9))</f>
        <v>0.27819316804476141</v>
      </c>
      <c r="C44">
        <f>STDEV(AVERAGE(E44/E$9,F44/E$9),AVERAGE(I44/I$9,J44/I$9),AVERAGE(M44/M$9,N44/M$9),AVERAGE(Q44/Q$9,R44/Q$9),AVERAGE(U44/U$9,V44/U$9),AVERAGE(Y44/Y$9,Z44/Y$9))/SQRT(D44)</f>
        <v>2.152598936950751E-2</v>
      </c>
      <c r="D44">
        <v>6</v>
      </c>
      <c r="E44">
        <v>4.3672000000000002E-2</v>
      </c>
      <c r="F44">
        <v>4.9805000000000002E-2</v>
      </c>
      <c r="I44">
        <v>4.1877999999999999E-2</v>
      </c>
      <c r="J44">
        <v>4.1161000000000003E-2</v>
      </c>
      <c r="M44">
        <v>4.1397999999999997E-2</v>
      </c>
      <c r="N44">
        <v>4.1251000000000003E-2</v>
      </c>
      <c r="Q44">
        <v>4.4077999999999999E-2</v>
      </c>
      <c r="R44">
        <v>4.1819000000000002E-2</v>
      </c>
      <c r="U44">
        <v>5.0353000000000002E-2</v>
      </c>
      <c r="V44">
        <v>5.3622000000000003E-2</v>
      </c>
      <c r="Y44">
        <v>4.9008000000000003E-2</v>
      </c>
    </row>
    <row r="45" spans="1:26">
      <c r="A45" t="s">
        <v>14</v>
      </c>
      <c r="B45">
        <f>AVERAGE(AVERAGE(E45/E$9,F45/E$9),AVERAGE(I45/I$9,J45/I$9),AVERAGE(M45/M$9,N45/M$9),AVERAGE(Q45/Q$9,R45/Q$9),AVERAGE(U45/U$9,V45/U$9),AVERAGE(Y45/Y$9,Z45/Y$9))</f>
        <v>0.2263370962024803</v>
      </c>
      <c r="C45">
        <f>STDEV(AVERAGE(E45/E$9,F45/E$9),AVERAGE(I45/I$9,J45/I$9),AVERAGE(M45/M$9,N45/M$9),AVERAGE(Q45/Q$9,R45/Q$9),AVERAGE(U45/U$9,V45/U$9),AVERAGE(Y45/Y$9,Z45/Y$9))/SQRT(D45)</f>
        <v>2.4551150891101842E-2</v>
      </c>
      <c r="D45">
        <v>6</v>
      </c>
      <c r="E45">
        <v>4.0445000000000002E-2</v>
      </c>
      <c r="F45">
        <v>4.0736000000000001E-2</v>
      </c>
      <c r="I45">
        <v>3.0616000000000001E-2</v>
      </c>
      <c r="J45">
        <v>3.0058999999999999E-2</v>
      </c>
      <c r="M45">
        <v>3.9935999999999999E-2</v>
      </c>
      <c r="N45">
        <v>4.0404000000000002E-2</v>
      </c>
      <c r="Q45">
        <v>2.6612E-2</v>
      </c>
      <c r="R45">
        <v>2.6169999999999999E-2</v>
      </c>
      <c r="U45">
        <v>2.9241E-2</v>
      </c>
      <c r="V45">
        <v>2.9433000000000001E-2</v>
      </c>
      <c r="Y45">
        <v>3.0138999999999999E-2</v>
      </c>
      <c r="Z45">
        <v>3.2194E-2</v>
      </c>
    </row>
    <row r="46" spans="1:26">
      <c r="A46" t="s">
        <v>56</v>
      </c>
      <c r="B46">
        <f>AVERAGE(M46/M$9,Q46/Q$9,U46/U$9,Y46/Y$9)</f>
        <v>0.24243185895752592</v>
      </c>
      <c r="C46">
        <f>STDEV(M46/M$9,Q46/Q$9,U46/U$9,Y46/Y$9)/SQRT(D46)</f>
        <v>2.6274280240537285E-2</v>
      </c>
      <c r="D46">
        <v>4</v>
      </c>
      <c r="M46">
        <v>3.8413999999999997E-2</v>
      </c>
      <c r="Q46">
        <v>3.5159999999999997E-2</v>
      </c>
      <c r="U46">
        <v>3.5201000000000003E-2</v>
      </c>
      <c r="Y46">
        <v>3.1621000000000003E-2</v>
      </c>
    </row>
    <row r="47" spans="1:26">
      <c r="A47" t="s">
        <v>57</v>
      </c>
      <c r="B47">
        <f>AVERAGE(N47/M$9,R47/Q$9,V47/U$9,Z47/Y$9)</f>
        <v>0.22277835389091294</v>
      </c>
      <c r="C47">
        <f>STDEV(N47/M$9,R47/Q$9,V47/U$9,Z47/Y$9)/SQRT(D47)</f>
        <v>1.3239582070215406E-2</v>
      </c>
      <c r="D47">
        <v>4</v>
      </c>
      <c r="N47">
        <v>2.8898E-2</v>
      </c>
      <c r="R47">
        <v>3.6520999999999998E-2</v>
      </c>
      <c r="V47">
        <v>3.4934E-2</v>
      </c>
      <c r="Z47">
        <v>3.0440999999999999E-2</v>
      </c>
    </row>
    <row r="48" spans="1:26">
      <c r="A48" t="s">
        <v>15</v>
      </c>
      <c r="B48">
        <f>AVERAGE(AVERAGE(E48/E$9,F48/E$9),AVERAGE(I48/I$9,J48/I$9),AVERAGE(M48/M$9,N48/M$9),AVERAGE(Q48/Q$9,R48/Q$9),AVERAGE(U48/U$9,V48/U$9),AVERAGE(Y48/Y$9,Z48/Y$9))</f>
        <v>0.27001265984623912</v>
      </c>
      <c r="C48">
        <f>STDEV(AVERAGE(E48/E$9,F48/E$9),AVERAGE(I48/I$9,J48/I$9),AVERAGE(M48/M$9,N48/M$9),AVERAGE(Q48/Q$9,R48/Q$9),AVERAGE(U48/U$9,V48/U$9),AVERAGE(Y48/Y$9,Z48/Y$9))/SQRT(D48)</f>
        <v>3.7546748716464504E-2</v>
      </c>
      <c r="D48">
        <v>6</v>
      </c>
      <c r="E48">
        <v>2.5943999999999998E-2</v>
      </c>
      <c r="F48">
        <v>2.8981E-2</v>
      </c>
      <c r="I48">
        <v>3.4622E-2</v>
      </c>
      <c r="J48">
        <v>2.4924000000000002E-2</v>
      </c>
      <c r="M48">
        <v>5.2268000000000002E-2</v>
      </c>
      <c r="N48">
        <v>4.9858E-2</v>
      </c>
      <c r="Q48">
        <v>5.0819000000000003E-2</v>
      </c>
      <c r="R48">
        <v>4.8538999999999999E-2</v>
      </c>
      <c r="U48">
        <v>3.9280000000000002E-2</v>
      </c>
      <c r="V48">
        <v>4.1628999999999999E-2</v>
      </c>
      <c r="Y48">
        <v>3.4155999999999999E-2</v>
      </c>
      <c r="Z48">
        <v>3.9309999999999998E-2</v>
      </c>
    </row>
    <row r="49" spans="1:26">
      <c r="A49" t="s">
        <v>22</v>
      </c>
      <c r="B49">
        <f>AVERAGE(N49/M$9,R49/Q$9,V49/U$9,Z49/Y$9)</f>
        <v>0.22541712235615716</v>
      </c>
      <c r="C49">
        <f>STDEV(N49/M$9,R49/Q$9,V49/U$9,Z49/Y$9)/SQRT(D49)</f>
        <v>2.7189739839761896E-2</v>
      </c>
      <c r="D49">
        <v>4</v>
      </c>
      <c r="N49">
        <v>3.6471999999999997E-2</v>
      </c>
      <c r="R49">
        <v>2.7921999999999999E-2</v>
      </c>
      <c r="V49">
        <v>3.3786999999999998E-2</v>
      </c>
      <c r="Z49">
        <v>3.2171999999999999E-2</v>
      </c>
    </row>
    <row r="50" spans="1:26">
      <c r="A50" t="s">
        <v>59</v>
      </c>
      <c r="B50" t="s">
        <v>30</v>
      </c>
      <c r="C50" t="s">
        <v>30</v>
      </c>
      <c r="D50">
        <v>0</v>
      </c>
    </row>
    <row r="51" spans="1:26">
      <c r="A51" t="s">
        <v>58</v>
      </c>
      <c r="B51" t="s">
        <v>30</v>
      </c>
      <c r="C51" t="s">
        <v>30</v>
      </c>
      <c r="D51">
        <v>0</v>
      </c>
    </row>
    <row r="53" spans="1:26">
      <c r="A53" s="1" t="s">
        <v>17</v>
      </c>
    </row>
    <row r="54" spans="1:26">
      <c r="A54" t="s">
        <v>7</v>
      </c>
      <c r="B54">
        <f>AVERAGE(AVERAGE(E54/E$9,F54/E$9),AVERAGE(I54/I$9,J54/I$9),AVERAGE(M54/M$9,N54/M$9),AVERAGE(Q54/Q$9,R54/Q$9),AVERAGE(U54/U$9,V54/U$9),AVERAGE(Y54/Y$9,Z54/Y$9))</f>
        <v>0.35843217660789911</v>
      </c>
      <c r="C54">
        <f>STDEV(AVERAGE(E54/E$9,F54/E$9),AVERAGE(I54/I$9,J54/I$9),AVERAGE(M54/M$9,N54/M$9),AVERAGE(Q54/Q$9,R54/Q$9),AVERAGE(U54/U$9,V54/U$9),AVERAGE(Y54/Y$9,Z54/Y$9))/SQRT(D54)</f>
        <v>2.3398857103031256E-2</v>
      </c>
      <c r="D54">
        <v>6</v>
      </c>
      <c r="E54">
        <v>5.8459999999999998E-2</v>
      </c>
      <c r="F54">
        <v>5.9032000000000001E-2</v>
      </c>
      <c r="I54">
        <v>4.4209999999999999E-2</v>
      </c>
      <c r="J54">
        <v>4.5602999999999998E-2</v>
      </c>
      <c r="M54">
        <v>3.8127000000000001E-2</v>
      </c>
      <c r="N54">
        <v>3.6491000000000003E-2</v>
      </c>
      <c r="Q54">
        <v>4.4374999999999998E-2</v>
      </c>
      <c r="R54">
        <v>4.6972E-2</v>
      </c>
      <c r="U54">
        <v>7.5569999999999998E-2</v>
      </c>
      <c r="V54">
        <v>7.9204999999999998E-2</v>
      </c>
      <c r="Y54">
        <v>6.0198000000000002E-2</v>
      </c>
      <c r="Z54">
        <v>6.0513999999999998E-2</v>
      </c>
    </row>
    <row r="55" spans="1:26">
      <c r="A55" t="s">
        <v>8</v>
      </c>
      <c r="B55">
        <f>AVERAGE(AVERAGE(E55/E$9,F55/E$9),AVERAGE(I55/I$9,J55/I$9),AVERAGE(M55/M$9,N55/M$9),AVERAGE(Q55/Q$9,R55/Q$9),AVERAGE(U55/U$9,V55/U$9),AVERAGE(Y55/Y$9,Z55/Y$9))</f>
        <v>0.27516618610184157</v>
      </c>
      <c r="C55">
        <f>STDEV(AVERAGE(E55/E$9,F55/E$9),AVERAGE(I55/I$9,J55/I$9),AVERAGE(M55/M$9,N55/M$9),AVERAGE(Q55/Q$9,R55/Q$9),AVERAGE(U55/U$9,V55/U$9),AVERAGE(Y55/Y$9,Z55/Y$9))/SQRT(D55)</f>
        <v>2.2587701764985736E-2</v>
      </c>
      <c r="D55">
        <v>6</v>
      </c>
      <c r="E55">
        <v>4.4032000000000002E-2</v>
      </c>
      <c r="F55">
        <v>3.8164999999999998E-2</v>
      </c>
      <c r="I55">
        <v>4.0649999999999999E-2</v>
      </c>
      <c r="J55">
        <v>3.6859000000000003E-2</v>
      </c>
      <c r="M55">
        <v>4.8009000000000003E-2</v>
      </c>
      <c r="N55">
        <v>4.2174000000000003E-2</v>
      </c>
      <c r="Q55">
        <v>4.1249000000000001E-2</v>
      </c>
      <c r="R55">
        <v>4.8189999999999997E-2</v>
      </c>
      <c r="U55">
        <v>4.1064999999999997E-2</v>
      </c>
      <c r="V55">
        <v>4.0141000000000003E-2</v>
      </c>
      <c r="Y55">
        <v>2.8583999999999998E-2</v>
      </c>
      <c r="Z55">
        <v>3.5106999999999999E-2</v>
      </c>
    </row>
    <row r="56" spans="1:26">
      <c r="A56" t="s">
        <v>9</v>
      </c>
      <c r="B56">
        <f>AVERAGE(AVERAGE(E56/E$9,F56/E$9),AVERAGE(I56/I$9,J56/I$9),AVERAGE(M56/M$9,N56/M$9),AVERAGE(Q56/Q$9,R56/Q$9),AVERAGE(U56/U$9,V56/U$9),AVERAGE(Y56/Y$9,Z56/Y$9))</f>
        <v>0.38280060736699667</v>
      </c>
      <c r="C56">
        <f>STDEV(AVERAGE(E56/E$9,F56/E$9),AVERAGE(I56/I$9,J56/I$9),AVERAGE(M56/M$9,N56/M$9),AVERAGE(Q56/Q$9,R56/Q$9),AVERAGE(U56/U$9,V56/U$9),AVERAGE(Y56/Y$9,Z56/Y$9))/SQRT(D56)</f>
        <v>3.03947899760241E-2</v>
      </c>
      <c r="D56">
        <v>6</v>
      </c>
      <c r="E56">
        <v>6.6642999999999994E-2</v>
      </c>
      <c r="F56">
        <v>6.6810999999999995E-2</v>
      </c>
      <c r="I56">
        <v>5.4533999999999999E-2</v>
      </c>
      <c r="J56">
        <v>5.1664000000000002E-2</v>
      </c>
      <c r="M56">
        <v>5.8361999999999997E-2</v>
      </c>
      <c r="N56">
        <v>6.2795000000000004E-2</v>
      </c>
      <c r="Q56">
        <v>4.9847000000000002E-2</v>
      </c>
      <c r="R56">
        <v>4.8675000000000003E-2</v>
      </c>
      <c r="U56">
        <v>5.2296000000000002E-2</v>
      </c>
      <c r="V56">
        <v>5.117E-2</v>
      </c>
      <c r="Y56">
        <v>5.5039999999999999E-2</v>
      </c>
      <c r="Z56">
        <v>5.4813000000000001E-2</v>
      </c>
    </row>
    <row r="57" spans="1:26">
      <c r="A57" t="s">
        <v>10</v>
      </c>
      <c r="B57">
        <f>AVERAGE(AVERAGE(E57/E$9,F57/E$9),AVERAGE(I57/I$9,J57/I$9),AVERAGE(M57/M$9,N57/M$9),AVERAGE(Q57/Q$9,R57/Q$9),AVERAGE(U57/U$9,V57/U$9),AVERAGE(Y57/Y$9,Z57/Y$9))</f>
        <v>0.29996172904019297</v>
      </c>
      <c r="C57">
        <f>STDEV(AVERAGE(E57/E$9,F57/E$9),AVERAGE(I57/I$9,J57/I$9),AVERAGE(M57/M$9,N57/M$9),AVERAGE(Q57/Q$9,R57/Q$9),AVERAGE(U57/U$9,V57/U$9),AVERAGE(Y57/Y$9,Z57/Y$9))/SQRT(D57)</f>
        <v>1.7502642865698251E-2</v>
      </c>
      <c r="D57">
        <v>6</v>
      </c>
      <c r="E57">
        <v>5.0790000000000002E-2</v>
      </c>
      <c r="F57">
        <v>4.5036E-2</v>
      </c>
      <c r="I57">
        <v>3.7166999999999999E-2</v>
      </c>
      <c r="J57">
        <v>3.6241000000000002E-2</v>
      </c>
      <c r="M57">
        <v>3.3342999999999998E-2</v>
      </c>
      <c r="N57">
        <v>3.3459000000000003E-2</v>
      </c>
      <c r="Q57">
        <v>4.4312999999999998E-2</v>
      </c>
      <c r="R57">
        <v>4.3022999999999999E-2</v>
      </c>
      <c r="U57">
        <v>5.4392999999999997E-2</v>
      </c>
      <c r="V57">
        <v>5.4787000000000002E-2</v>
      </c>
      <c r="Y57">
        <v>5.1955000000000001E-2</v>
      </c>
      <c r="Z57">
        <v>5.2748000000000003E-2</v>
      </c>
    </row>
    <row r="58" spans="1:26">
      <c r="A58" t="s">
        <v>11</v>
      </c>
      <c r="B58">
        <f>AVERAGE(AVERAGE(E58/E$9,F58/E$9),AVERAGE(I58/I$9,J58/I$9),AVERAGE(M58/M$9,N58/M$9),AVERAGE(Q58/Q$9,R58/Q$9),AVERAGE(U58/U$9,V58/U$9),AVERAGE(Y58/Y$9,Z58/Y$9))</f>
        <v>0.21168849354685326</v>
      </c>
      <c r="C58">
        <f>STDEV(AVERAGE(E58/E$9,F58/E$9),AVERAGE(I58/I$9,J58/I$9),AVERAGE(M58/M$9,N58/M$9),AVERAGE(Q58/Q$9,R58/Q$9),AVERAGE(U58/U$9,V58/U$9),AVERAGE(Y58/Y$9,Z58/Y$9))/SQRT(D58)</f>
        <v>2.8960385412975249E-2</v>
      </c>
      <c r="D58">
        <v>6</v>
      </c>
      <c r="E58">
        <v>2.9773000000000001E-2</v>
      </c>
      <c r="F58">
        <v>2.7592999999999999E-2</v>
      </c>
      <c r="I58">
        <v>3.1791E-2</v>
      </c>
      <c r="J58">
        <v>2.8953E-2</v>
      </c>
      <c r="M58">
        <v>4.1742000000000001E-2</v>
      </c>
      <c r="N58">
        <v>4.1507000000000002E-2</v>
      </c>
      <c r="Q58">
        <v>3.2286000000000002E-2</v>
      </c>
      <c r="R58">
        <v>3.1223999999999998E-2</v>
      </c>
      <c r="U58">
        <v>2.4386999999999999E-2</v>
      </c>
      <c r="V58">
        <v>2.4309999999999998E-2</v>
      </c>
      <c r="Y58">
        <v>2.5388999999999998E-2</v>
      </c>
      <c r="Z58">
        <v>2.6735999999999999E-2</v>
      </c>
    </row>
    <row r="59" spans="1:26">
      <c r="A59" t="s">
        <v>49</v>
      </c>
      <c r="B59" t="s">
        <v>30</v>
      </c>
      <c r="C59" t="s">
        <v>30</v>
      </c>
      <c r="D59">
        <v>0</v>
      </c>
    </row>
    <row r="60" spans="1:26">
      <c r="A60" t="s">
        <v>12</v>
      </c>
      <c r="B60">
        <f>AVERAGE(AVERAGE(E60/E$9,F60/E$9),AVERAGE(I60/I$9,J60/I$9),AVERAGE(M60/M$9,N60/M$9),AVERAGE(Q60/Q$9,R60/Q$9),AVERAGE(U60/U$9,V60/U$9),AVERAGE(Y60/Y$9,Z60/Y$9))</f>
        <v>0.2611832417621589</v>
      </c>
      <c r="C60">
        <f>STDEV(AVERAGE(E60/E$9,F60/E$9),AVERAGE(I60/I$9,J60/I$9),AVERAGE(M60/M$9,N60/M$9),AVERAGE(Q60/Q$9,R60/Q$9),AVERAGE(U60/U$9,V60/U$9),AVERAGE(Y60/Y$9,Z60/Y$9))/SQRT(D60)</f>
        <v>2.1779131378232387E-2</v>
      </c>
      <c r="D60">
        <v>6</v>
      </c>
      <c r="E60">
        <v>4.1299000000000002E-2</v>
      </c>
      <c r="F60">
        <v>4.0962999999999999E-2</v>
      </c>
      <c r="I60">
        <v>2.9214E-2</v>
      </c>
      <c r="J60">
        <v>3.0512999999999998E-2</v>
      </c>
      <c r="M60">
        <v>3.4148999999999999E-2</v>
      </c>
      <c r="N60">
        <v>3.5125999999999998E-2</v>
      </c>
      <c r="Q60">
        <v>5.1705000000000001E-2</v>
      </c>
      <c r="R60">
        <v>5.1270000000000003E-2</v>
      </c>
      <c r="U60">
        <v>3.7360999999999998E-2</v>
      </c>
      <c r="V60">
        <v>3.6424999999999999E-2</v>
      </c>
      <c r="Y60">
        <v>3.6410999999999999E-2</v>
      </c>
      <c r="Z60">
        <v>3.8246000000000002E-2</v>
      </c>
    </row>
    <row r="61" spans="1:26">
      <c r="A61" t="s">
        <v>13</v>
      </c>
      <c r="B61">
        <f>AVERAGE(AVERAGE(E61/E$9,F61/E$9),AVERAGE(I61/I$9,J61/I$9),AVERAGE(M61/M$9,N61/M$9),AVERAGE(Q61/Q$9,R61/Q$9),AVERAGE(U61/U$9,V61/U$9),AVERAGE(Y61/Y$9,Z61/Y$9))</f>
        <v>0.21269073508594302</v>
      </c>
      <c r="C61">
        <f>STDEV(AVERAGE(E61/E$9,F61/E$9),AVERAGE(I61/I$9,J61/I$9),AVERAGE(M61/M$9,N61/M$9),AVERAGE(Q61/Q$9,R61/Q$9),AVERAGE(U61/U$9,V61/U$9),AVERAGE(Y61/Y$9,Z61/Y$9))/SQRT(D61)</f>
        <v>2.3110748858777692E-2</v>
      </c>
      <c r="D61">
        <v>6</v>
      </c>
      <c r="E61">
        <v>3.3048000000000001E-2</v>
      </c>
      <c r="F61">
        <v>4.1950000000000001E-2</v>
      </c>
      <c r="I61">
        <v>3.2131E-2</v>
      </c>
      <c r="J61">
        <v>3.1012999999999999E-2</v>
      </c>
      <c r="M61">
        <v>3.4554000000000001E-2</v>
      </c>
      <c r="N61">
        <v>3.4883999999999998E-2</v>
      </c>
      <c r="Q61">
        <v>3.1553999999999999E-2</v>
      </c>
      <c r="R61">
        <v>3.0058999999999999E-2</v>
      </c>
      <c r="U61">
        <v>3.8136000000000003E-2</v>
      </c>
      <c r="V61">
        <v>4.3583999999999998E-2</v>
      </c>
      <c r="Y61">
        <v>3.0068999999999999E-2</v>
      </c>
    </row>
    <row r="62" spans="1:26">
      <c r="A62" t="s">
        <v>14</v>
      </c>
      <c r="B62">
        <f>AVERAGE(AVERAGE(E62/E$9,F62/E$9),AVERAGE(I62/I$9,J62/I$9),AVERAGE(M62/M$9,N62/M$9),AVERAGE(Q62/Q$9,R62/Q$9),AVERAGE(U62/U$9,V62/U$9),AVERAGE(Y62/Y$9,Z62/Y$9))</f>
        <v>0.23125103962518903</v>
      </c>
      <c r="C62">
        <f>STDEV(AVERAGE(E62/E$9,F62/E$9),AVERAGE(I62/I$9,J62/I$9),AVERAGE(M62/M$9,N62/M$9),AVERAGE(Q62/Q$9,R62/Q$9),AVERAGE(U62/U$9,V62/U$9),AVERAGE(Y62/Y$9,Z62/Y$9))/SQRT(D62)</f>
        <v>2.7125770931406643E-2</v>
      </c>
      <c r="D62">
        <v>6</v>
      </c>
      <c r="E62">
        <v>4.4421000000000002E-2</v>
      </c>
      <c r="F62">
        <v>4.3085999999999999E-2</v>
      </c>
      <c r="I62">
        <v>3.1365999999999998E-2</v>
      </c>
      <c r="J62">
        <v>3.0828000000000001E-2</v>
      </c>
      <c r="M62">
        <v>4.1806999999999997E-2</v>
      </c>
      <c r="N62">
        <v>4.0861000000000001E-2</v>
      </c>
      <c r="Q62">
        <v>2.6674E-2</v>
      </c>
      <c r="R62">
        <v>2.5769E-2</v>
      </c>
      <c r="U62">
        <v>2.8816000000000001E-2</v>
      </c>
      <c r="V62">
        <v>2.7587E-2</v>
      </c>
      <c r="Y62">
        <v>3.1045E-2</v>
      </c>
      <c r="Z62">
        <v>3.1952000000000001E-2</v>
      </c>
    </row>
    <row r="63" spans="1:26">
      <c r="A63" t="s">
        <v>56</v>
      </c>
      <c r="B63">
        <f>AVERAGE(M63/M$9,Q63/Q$9,U63/U$9,Y63/Y$9)</f>
        <v>0.25263444548495001</v>
      </c>
      <c r="C63">
        <f>STDEV(M63/M$9,Q63/Q$9,U63/U$9,Y63/Y$9)/SQRT(D63)</f>
        <v>2.1689420744436107E-2</v>
      </c>
      <c r="D63">
        <v>4</v>
      </c>
      <c r="M63">
        <v>3.7534999999999999E-2</v>
      </c>
      <c r="Q63">
        <v>3.7016E-2</v>
      </c>
      <c r="U63">
        <v>3.7733000000000003E-2</v>
      </c>
      <c r="Y63">
        <v>3.4619999999999998E-2</v>
      </c>
    </row>
    <row r="64" spans="1:26">
      <c r="A64" t="s">
        <v>57</v>
      </c>
      <c r="B64">
        <f>AVERAGE(N64/M$9,R64/Q$9,V64/U$9,Z64/Y$9)</f>
        <v>0.24066073347664785</v>
      </c>
      <c r="C64">
        <f>STDEV(N64/M$9,R64/Q$9,V64/U$9,Z64/Y$9)/SQRT(D64)</f>
        <v>2.1320773838813523E-2</v>
      </c>
      <c r="D64">
        <v>4</v>
      </c>
      <c r="N64">
        <v>3.5283000000000002E-2</v>
      </c>
      <c r="R64">
        <v>2.8681000000000002E-2</v>
      </c>
      <c r="V64">
        <v>4.1228000000000001E-2</v>
      </c>
      <c r="Z64">
        <v>3.5718E-2</v>
      </c>
    </row>
    <row r="65" spans="1:26">
      <c r="A65" t="s">
        <v>15</v>
      </c>
      <c r="B65">
        <f>AVERAGE(AVERAGE(E65/E$9,F65/E$9),AVERAGE(I65/I$9,J65/I$9),AVERAGE(M65/M$9,N65/M$9),AVERAGE(Q65/Q$9,R65/Q$9),AVERAGE(U65/U$9,V65/U$9),AVERAGE(Y65/Y$9,Z65/Y$9))</f>
        <v>0.24948936753154941</v>
      </c>
      <c r="C65">
        <f>STDEV(AVERAGE(E65/E$9,F65/E$9),AVERAGE(I65/I$9,J65/I$9),AVERAGE(M65/M$9,N65/M$9),AVERAGE(Q65/Q$9,R65/Q$9),AVERAGE(U65/U$9,V65/U$9),AVERAGE(Y65/Y$9,Z65/Y$9))/SQRT(D65)</f>
        <v>4.002349872841595E-2</v>
      </c>
      <c r="D65">
        <v>6</v>
      </c>
      <c r="E65">
        <v>2.2065999999999999E-2</v>
      </c>
      <c r="F65">
        <v>2.4865000000000002E-2</v>
      </c>
      <c r="I65">
        <v>3.0183000000000001E-2</v>
      </c>
      <c r="J65">
        <v>2.1301E-2</v>
      </c>
      <c r="M65">
        <v>5.1454E-2</v>
      </c>
      <c r="N65">
        <v>4.4946E-2</v>
      </c>
      <c r="Q65">
        <v>5.0486999999999997E-2</v>
      </c>
      <c r="R65">
        <v>5.0416000000000002E-2</v>
      </c>
      <c r="U65">
        <v>3.4578999999999999E-2</v>
      </c>
      <c r="V65">
        <v>3.6027000000000003E-2</v>
      </c>
      <c r="Y65">
        <v>3.3345E-2</v>
      </c>
      <c r="Z65">
        <v>3.3600999999999999E-2</v>
      </c>
    </row>
    <row r="66" spans="1:26">
      <c r="A66" t="s">
        <v>22</v>
      </c>
      <c r="B66">
        <f>AVERAGE(N66/M$9,R66/Q$9,V66/U$9,Z66/Y$9)</f>
        <v>0.21922695541269852</v>
      </c>
      <c r="C66">
        <f>STDEV(N66/M$9,R66/Q$9,V66/U$9,Z66/Y$9)/SQRT(D66)</f>
        <v>3.4511312799591617E-2</v>
      </c>
      <c r="D66">
        <v>4</v>
      </c>
      <c r="N66">
        <v>3.8403E-2</v>
      </c>
      <c r="R66">
        <v>2.5741E-2</v>
      </c>
      <c r="V66">
        <v>3.0592999999999999E-2</v>
      </c>
      <c r="Z66">
        <v>3.0963999999999998E-2</v>
      </c>
    </row>
    <row r="67" spans="1:26">
      <c r="A67" t="s">
        <v>59</v>
      </c>
      <c r="B67" t="s">
        <v>30</v>
      </c>
      <c r="C67" t="s">
        <v>30</v>
      </c>
      <c r="D67">
        <v>0</v>
      </c>
    </row>
    <row r="68" spans="1:26">
      <c r="A68" t="s">
        <v>58</v>
      </c>
      <c r="B68" t="s">
        <v>30</v>
      </c>
      <c r="C68" t="s">
        <v>30</v>
      </c>
      <c r="D68">
        <v>0</v>
      </c>
    </row>
    <row r="81" spans="1:53">
      <c r="A81" s="1" t="s">
        <v>32</v>
      </c>
      <c r="E81" s="74">
        <v>42668</v>
      </c>
      <c r="I81" s="74">
        <v>42675</v>
      </c>
      <c r="M81" s="74">
        <v>42675</v>
      </c>
      <c r="Q81" s="74">
        <v>42688</v>
      </c>
      <c r="U81" s="74">
        <v>42688</v>
      </c>
      <c r="Y81" s="13"/>
      <c r="AC81" s="13"/>
      <c r="AG81" s="2"/>
      <c r="AL81" s="44"/>
      <c r="AN81" s="44"/>
      <c r="AP81" s="44"/>
      <c r="AT81" s="2"/>
      <c r="AW81" s="2"/>
      <c r="AZ81" s="2"/>
    </row>
    <row r="82" spans="1:53">
      <c r="A82" s="1" t="s">
        <v>33</v>
      </c>
      <c r="E82" s="75" t="s">
        <v>39</v>
      </c>
      <c r="I82" s="75" t="s">
        <v>39</v>
      </c>
      <c r="M82" s="75" t="s">
        <v>39</v>
      </c>
      <c r="Q82" s="75" t="s">
        <v>39</v>
      </c>
      <c r="U82" s="75" t="s">
        <v>39</v>
      </c>
      <c r="Y82" s="14" t="s">
        <v>132</v>
      </c>
      <c r="AC82" s="14" t="s">
        <v>132</v>
      </c>
      <c r="AG82" s="2" t="s">
        <v>132</v>
      </c>
      <c r="AL82" s="44" t="s">
        <v>252</v>
      </c>
      <c r="AN82" s="44" t="s">
        <v>252</v>
      </c>
      <c r="AP82" s="44" t="s">
        <v>252</v>
      </c>
      <c r="AT82" s="2" t="s">
        <v>272</v>
      </c>
      <c r="AW82" s="2" t="s">
        <v>272</v>
      </c>
      <c r="AZ82" s="2" t="s">
        <v>272</v>
      </c>
    </row>
    <row r="83" spans="1:53" ht="34">
      <c r="A83" s="1" t="s">
        <v>34</v>
      </c>
      <c r="E83" s="76" t="s">
        <v>73</v>
      </c>
      <c r="I83" s="76" t="s">
        <v>40</v>
      </c>
      <c r="M83" s="76" t="s">
        <v>73</v>
      </c>
      <c r="Q83" s="76" t="s">
        <v>75</v>
      </c>
      <c r="U83" s="76" t="s">
        <v>51</v>
      </c>
      <c r="Y83" s="28" t="s">
        <v>232</v>
      </c>
      <c r="AC83" s="28" t="s">
        <v>233</v>
      </c>
      <c r="AG83" s="2" t="s">
        <v>210</v>
      </c>
      <c r="AL83" s="44" t="s">
        <v>254</v>
      </c>
      <c r="AN83" s="44" t="s">
        <v>255</v>
      </c>
      <c r="AP83" s="44" t="s">
        <v>256</v>
      </c>
      <c r="AT83" s="53" t="s">
        <v>282</v>
      </c>
      <c r="AW83" s="53" t="s">
        <v>281</v>
      </c>
      <c r="AZ83" s="53" t="s">
        <v>283</v>
      </c>
    </row>
    <row r="84" spans="1:53">
      <c r="A84" s="1" t="s">
        <v>35</v>
      </c>
      <c r="E84" s="75" t="s">
        <v>52</v>
      </c>
      <c r="I84" s="75" t="s">
        <v>52</v>
      </c>
      <c r="M84" s="75" t="s">
        <v>52</v>
      </c>
      <c r="Q84" s="75" t="s">
        <v>52</v>
      </c>
      <c r="U84" s="75" t="s">
        <v>52</v>
      </c>
      <c r="Y84" s="14" t="s">
        <v>52</v>
      </c>
      <c r="AC84" s="14" t="s">
        <v>223</v>
      </c>
      <c r="AG84" s="2" t="s">
        <v>52</v>
      </c>
      <c r="AL84" s="44" t="s">
        <v>52</v>
      </c>
      <c r="AN84" s="44" t="s">
        <v>52</v>
      </c>
      <c r="AP84" s="44" t="s">
        <v>52</v>
      </c>
      <c r="AT84" s="2" t="s">
        <v>52</v>
      </c>
      <c r="AW84" s="2" t="s">
        <v>52</v>
      </c>
      <c r="AZ84" s="2" t="s">
        <v>52</v>
      </c>
    </row>
    <row r="85" spans="1:53" ht="32">
      <c r="A85" s="1" t="s">
        <v>36</v>
      </c>
      <c r="E85" s="77" t="s">
        <v>194</v>
      </c>
      <c r="I85" s="77" t="s">
        <v>194</v>
      </c>
      <c r="M85" s="77" t="s">
        <v>194</v>
      </c>
      <c r="Q85" s="77" t="s">
        <v>194</v>
      </c>
      <c r="U85" s="77" t="s">
        <v>194</v>
      </c>
      <c r="Y85" s="38" t="s">
        <v>194</v>
      </c>
      <c r="AC85" s="38" t="s">
        <v>194</v>
      </c>
      <c r="AG85" s="38" t="s">
        <v>194</v>
      </c>
      <c r="AL85" s="77" t="s">
        <v>194</v>
      </c>
      <c r="AN85" s="77" t="s">
        <v>194</v>
      </c>
      <c r="AP85" s="77" t="s">
        <v>194</v>
      </c>
      <c r="AT85" s="38" t="s">
        <v>194</v>
      </c>
      <c r="AW85" s="38" t="s">
        <v>194</v>
      </c>
      <c r="AZ85" s="38" t="s">
        <v>194</v>
      </c>
    </row>
    <row r="86" spans="1:53" s="17" customFormat="1">
      <c r="A86" s="17" t="s">
        <v>37</v>
      </c>
      <c r="E86" s="45">
        <v>390</v>
      </c>
      <c r="F86" s="65">
        <v>0.04</v>
      </c>
      <c r="I86" s="45">
        <v>390</v>
      </c>
      <c r="J86" s="65">
        <v>0.04</v>
      </c>
      <c r="M86" s="45">
        <v>390</v>
      </c>
      <c r="N86" s="65">
        <v>0.04</v>
      </c>
      <c r="Q86" s="45">
        <v>390</v>
      </c>
      <c r="R86" s="65">
        <v>0.04</v>
      </c>
      <c r="U86" s="45">
        <v>390</v>
      </c>
      <c r="V86" s="65">
        <v>0.04</v>
      </c>
      <c r="Y86" s="34"/>
      <c r="AC86" s="34"/>
      <c r="AG86" s="34"/>
      <c r="AL86" s="45">
        <v>490</v>
      </c>
      <c r="AM86" s="65">
        <v>0.05</v>
      </c>
      <c r="AN86" s="45">
        <v>490</v>
      </c>
      <c r="AO86" s="65">
        <v>0.05</v>
      </c>
      <c r="AP86" s="45">
        <v>490</v>
      </c>
      <c r="AQ86" s="65">
        <v>0.05</v>
      </c>
      <c r="AT86" s="34">
        <v>245</v>
      </c>
      <c r="AU86" s="66">
        <v>2.5000000000000001E-2</v>
      </c>
      <c r="AW86" s="34">
        <v>245</v>
      </c>
      <c r="AX86" s="66">
        <v>2.5000000000000001E-2</v>
      </c>
      <c r="AZ86" s="34">
        <v>245</v>
      </c>
      <c r="BA86" s="66">
        <v>2.5000000000000001E-2</v>
      </c>
    </row>
    <row r="87" spans="1:53" s="17" customFormat="1">
      <c r="A87" s="17" t="s">
        <v>38</v>
      </c>
      <c r="E87" s="45">
        <v>0.1</v>
      </c>
      <c r="I87" s="45">
        <v>0.1</v>
      </c>
      <c r="M87" s="45">
        <v>0.1</v>
      </c>
      <c r="Q87" s="45">
        <v>0.1</v>
      </c>
      <c r="U87" s="45">
        <v>0.1</v>
      </c>
      <c r="Y87" s="34"/>
      <c r="AC87" s="34"/>
      <c r="AG87" s="34"/>
      <c r="AL87" s="45">
        <v>0.1</v>
      </c>
      <c r="AN87" s="45">
        <v>0.1</v>
      </c>
      <c r="AP87" s="45">
        <v>0.1</v>
      </c>
      <c r="AT87" s="34">
        <v>0.1</v>
      </c>
      <c r="AW87" s="34">
        <v>0.1</v>
      </c>
      <c r="AZ87" s="34">
        <v>0.1</v>
      </c>
    </row>
    <row r="88" spans="1:53">
      <c r="A88" s="1" t="s">
        <v>43</v>
      </c>
      <c r="E88">
        <f>AVERAGE(0.037104878,0.041222327)*F88</f>
        <v>6.2661764000000009E-2</v>
      </c>
      <c r="F88">
        <v>1.6</v>
      </c>
      <c r="I88">
        <f>0.0449846010186477*J88</f>
        <v>7.1975361629836324E-2</v>
      </c>
      <c r="J88">
        <v>1.6</v>
      </c>
      <c r="M88">
        <f>0.0402622747647365*N88</f>
        <v>6.4419639623578398E-2</v>
      </c>
      <c r="N88">
        <v>1.6</v>
      </c>
      <c r="Q88">
        <f>AVERAGE(0.03733091,0.044717765)*R88</f>
        <v>6.5638940000000007E-2</v>
      </c>
      <c r="R88">
        <v>1.6</v>
      </c>
      <c r="U88">
        <f>AVERAGE(0.041583516,0.050003142)*V88</f>
        <v>7.3269326400000001E-2</v>
      </c>
      <c r="V88">
        <v>1.6</v>
      </c>
      <c r="Z88">
        <v>1.6</v>
      </c>
      <c r="AD88">
        <v>1.6</v>
      </c>
      <c r="AH88">
        <v>1.6</v>
      </c>
      <c r="AL88">
        <f>0.0813328125296895*AM88</f>
        <v>0.13013250004750321</v>
      </c>
      <c r="AM88">
        <v>1.6</v>
      </c>
      <c r="AN88">
        <f>0.0974858370890752*AO88</f>
        <v>0.15597733934252034</v>
      </c>
      <c r="AO88">
        <v>1.6</v>
      </c>
      <c r="AP88">
        <f>0.0605918304621002*AQ88</f>
        <v>9.6946928739360325E-2</v>
      </c>
      <c r="AQ88">
        <v>1.6</v>
      </c>
      <c r="AT88">
        <f>0.0405079915795374*AU88</f>
        <v>6.4812786527259844E-2</v>
      </c>
      <c r="AU88">
        <v>1.6</v>
      </c>
      <c r="AW88">
        <f>0.0478210215179456*AX88</f>
        <v>7.6513634428712965E-2</v>
      </c>
      <c r="AX88">
        <v>1.6</v>
      </c>
      <c r="AZ88">
        <f>0.0557214932087673*BA88</f>
        <v>8.9154389134027678E-2</v>
      </c>
      <c r="BA88">
        <v>1.6</v>
      </c>
    </row>
    <row r="89" spans="1:53">
      <c r="A89" s="1" t="s">
        <v>54</v>
      </c>
      <c r="E89">
        <f>AVERAGE(E100:F100)*F88</f>
        <v>7.240640000000001E-2</v>
      </c>
      <c r="I89">
        <f>I100*J88</f>
        <v>8.7700800000000009E-2</v>
      </c>
      <c r="M89">
        <f>M100*N88</f>
        <v>7.9088000000000006E-2</v>
      </c>
      <c r="Q89">
        <f>AVERAGE(Q100:R100)*R88</f>
        <v>7.7455200000000002E-2</v>
      </c>
      <c r="U89">
        <f>AVERAGE(U100:V100)*V88</f>
        <v>8.7281600000000015E-2</v>
      </c>
      <c r="Y89">
        <f>Y100*Z88</f>
        <v>8.8547200000000006E-2</v>
      </c>
      <c r="AC89">
        <f>AC100*AD88</f>
        <v>7.8678400000000009E-2</v>
      </c>
      <c r="AG89">
        <f>AVERAGE(AG100:AH100)*AH88</f>
        <v>6.8453600000000003E-2</v>
      </c>
      <c r="AL89">
        <f>AL100*AM88</f>
        <v>0.14935039999999999</v>
      </c>
      <c r="AN89">
        <f>AN100*AO88</f>
        <v>0.175152</v>
      </c>
      <c r="AP89">
        <f>AP100*AQ88</f>
        <v>0.1172512</v>
      </c>
      <c r="AT89">
        <f>AT100*AU88</f>
        <v>8.0985600000000005E-2</v>
      </c>
      <c r="AW89">
        <f>AW100*AX88</f>
        <v>9.5112000000000002E-2</v>
      </c>
      <c r="AZ89">
        <f>AZ100*BA88</f>
        <v>0.10867199999999999</v>
      </c>
    </row>
    <row r="90" spans="1:53">
      <c r="A90" s="1" t="s">
        <v>44</v>
      </c>
      <c r="E90" s="21">
        <f>E86*E87*(1-E88)/E88</f>
        <v>583.38911754862181</v>
      </c>
      <c r="I90" s="21">
        <f>I86*I87*(1-I88)/I88</f>
        <v>502.85208822671791</v>
      </c>
      <c r="M90" s="21">
        <f>M86*M87*(1-M88)/M88</f>
        <v>566.40543579392374</v>
      </c>
      <c r="Q90" s="21">
        <f>Q86*Q87*(1-Q88)/Q88</f>
        <v>555.15950348984904</v>
      </c>
      <c r="U90" s="21">
        <f>U86*U87*(1-U88)/U88</f>
        <v>493.28276983313447</v>
      </c>
      <c r="AL90" s="21">
        <f>AL86*AL87*(1-AL88)/AL88</f>
        <v>327.53929634882275</v>
      </c>
      <c r="AN90" s="21">
        <f>AN86*AN87*(1-AN88)/AN88</f>
        <v>265.14819746602967</v>
      </c>
      <c r="AP90" s="21">
        <f>AP86*AP87*(1-AP88)/AP88</f>
        <v>456.43117391305316</v>
      </c>
      <c r="AT90" s="21">
        <f>AT86*AT87*(1-AT88)/AT88</f>
        <v>353.51182934320309</v>
      </c>
      <c r="AW90" s="21">
        <f>AW86*AW87*(1-AW88)/AW88</f>
        <v>295.7043685799087</v>
      </c>
      <c r="AZ90" s="21">
        <f>AZ86*AZ87*(1-AZ88)/AZ88</f>
        <v>250.30419346678079</v>
      </c>
    </row>
    <row r="91" spans="1:53">
      <c r="A91" s="1" t="s">
        <v>292</v>
      </c>
      <c r="C91" s="43">
        <f>AVERAGE(E91:Y91)</f>
        <v>0.82569197080748125</v>
      </c>
      <c r="E91">
        <f>(1-E89)*E88/E89/(1-E88)</f>
        <v>0.85642053431406018</v>
      </c>
      <c r="I91">
        <f>(1-I89)*I88/I89/(1-I88)</f>
        <v>0.80678550715451336</v>
      </c>
      <c r="M91">
        <f>(1-M89)*M88/M89/(1-M88)</f>
        <v>0.80176064243590861</v>
      </c>
      <c r="Q91">
        <f>(1-Q89)*Q88/Q89/(1-Q88)</f>
        <v>0.8367268663660764</v>
      </c>
      <c r="U91">
        <f>(1-U89)*U88/U89/(1-U88)</f>
        <v>0.8267663037668479</v>
      </c>
    </row>
    <row r="92" spans="1:53">
      <c r="A92" s="1" t="s">
        <v>33</v>
      </c>
      <c r="E92" t="s">
        <v>39</v>
      </c>
      <c r="I92" t="s">
        <v>39</v>
      </c>
      <c r="M92" t="s">
        <v>39</v>
      </c>
      <c r="Q92" t="s">
        <v>39</v>
      </c>
      <c r="U92" t="s">
        <v>39</v>
      </c>
      <c r="Y92" t="s">
        <v>132</v>
      </c>
      <c r="AC92" t="s">
        <v>132</v>
      </c>
      <c r="AG92" t="s">
        <v>132</v>
      </c>
      <c r="AL92" t="s">
        <v>252</v>
      </c>
      <c r="AN92" t="s">
        <v>252</v>
      </c>
      <c r="AP92" t="s">
        <v>252</v>
      </c>
      <c r="AT92" t="s">
        <v>272</v>
      </c>
      <c r="AW92" t="s">
        <v>272</v>
      </c>
      <c r="AZ92" t="s">
        <v>272</v>
      </c>
    </row>
    <row r="93" spans="1:53">
      <c r="A93" s="1" t="s">
        <v>45</v>
      </c>
      <c r="E93" t="s">
        <v>47</v>
      </c>
      <c r="I93" t="s">
        <v>47</v>
      </c>
      <c r="M93" t="s">
        <v>47</v>
      </c>
      <c r="Q93" t="s">
        <v>47</v>
      </c>
      <c r="U93" t="s">
        <v>47</v>
      </c>
      <c r="Y93" t="s">
        <v>47</v>
      </c>
      <c r="AC93" t="s">
        <v>47</v>
      </c>
      <c r="AG93" t="s">
        <v>47</v>
      </c>
      <c r="AL93" t="s">
        <v>47</v>
      </c>
      <c r="AN93" t="s">
        <v>47</v>
      </c>
      <c r="AP93" t="s">
        <v>47</v>
      </c>
      <c r="AT93" t="s">
        <v>106</v>
      </c>
      <c r="AW93" t="s">
        <v>106</v>
      </c>
      <c r="AZ93" t="s">
        <v>106</v>
      </c>
    </row>
    <row r="94" spans="1:53" s="61" customFormat="1" ht="102">
      <c r="A94" s="60" t="s">
        <v>31</v>
      </c>
      <c r="E94" s="64" t="s">
        <v>202</v>
      </c>
      <c r="I94" s="64" t="s">
        <v>203</v>
      </c>
      <c r="M94" s="64" t="s">
        <v>203</v>
      </c>
      <c r="Q94" s="64" t="s">
        <v>204</v>
      </c>
      <c r="U94" s="64" t="s">
        <v>204</v>
      </c>
      <c r="Y94" s="63" t="s">
        <v>231</v>
      </c>
      <c r="Z94" s="63"/>
      <c r="AC94" s="63" t="s">
        <v>231</v>
      </c>
      <c r="AG94" s="64" t="s">
        <v>234</v>
      </c>
      <c r="AL94" s="64" t="s">
        <v>253</v>
      </c>
      <c r="AN94" s="64" t="s">
        <v>253</v>
      </c>
      <c r="AP94" s="64" t="s">
        <v>253</v>
      </c>
      <c r="AT94" s="63" t="s">
        <v>280</v>
      </c>
      <c r="AW94" s="63" t="s">
        <v>280</v>
      </c>
      <c r="AZ94" s="63" t="s">
        <v>280</v>
      </c>
    </row>
    <row r="96" spans="1:53">
      <c r="A96" s="1" t="s">
        <v>50</v>
      </c>
      <c r="Y96" s="17"/>
      <c r="Z96" s="17"/>
      <c r="AC96" s="17"/>
      <c r="AD96" s="17"/>
      <c r="AN96" s="17" t="s">
        <v>258</v>
      </c>
    </row>
    <row r="97" spans="1:52">
      <c r="B97" s="1" t="s">
        <v>5</v>
      </c>
      <c r="C97" s="1" t="s">
        <v>6</v>
      </c>
      <c r="D97" s="1" t="s">
        <v>55</v>
      </c>
      <c r="Y97" s="17"/>
      <c r="Z97" s="17"/>
      <c r="AC97" s="17"/>
      <c r="AD97" s="17"/>
    </row>
    <row r="98" spans="1:52">
      <c r="A98" s="1" t="s">
        <v>0</v>
      </c>
      <c r="Y98" s="17"/>
      <c r="Z98" s="17"/>
      <c r="AC98" s="17"/>
      <c r="AD98" s="17"/>
    </row>
    <row r="99" spans="1:52">
      <c r="A99" t="s">
        <v>60</v>
      </c>
      <c r="B99">
        <f>AVERAGE(AVERAGE(E99/E$89,F99/E$89),I99/I$89,M99/M$89,AVERAGE(Q99/Q$89,R99/Q$89),AVERAGE(U99/U$89,V99/U$89),Y99/Y$89,AC99/AC$89,AVERAGE(AG99/AG$89,AH99/AG$89))</f>
        <v>0.18055056331153302</v>
      </c>
      <c r="C99">
        <f>STDEV(AVERAGE(E99/E$89,F99/E$89),I99/I$89,M99/M$89,AVERAGE(Q99/Q$89,R99/Q$89),AVERAGE(U99/U$89,V99/U$89),Y99/Y$89,AC99/AC$89,AVERAGE(AG99/AG$89,AH99/AG$89))/SQRT(D99)</f>
        <v>3.3587339245951371E-2</v>
      </c>
      <c r="D99">
        <v>8</v>
      </c>
      <c r="E99">
        <v>1.1952000000000001E-2</v>
      </c>
      <c r="F99">
        <v>1.4673E-2</v>
      </c>
      <c r="I99">
        <v>1.3849999999999999E-2</v>
      </c>
      <c r="M99">
        <v>9.2823000000000003E-3</v>
      </c>
      <c r="Q99">
        <v>7.5430000000000002E-3</v>
      </c>
      <c r="R99">
        <v>7.6651999999999996E-3</v>
      </c>
      <c r="U99">
        <v>1.0534E-2</v>
      </c>
      <c r="V99">
        <v>1.0852000000000001E-2</v>
      </c>
      <c r="Y99">
        <v>3.4865E-2</v>
      </c>
      <c r="Z99" s="17"/>
      <c r="AC99">
        <v>1.7638000000000001E-2</v>
      </c>
      <c r="AD99" s="17"/>
      <c r="AG99">
        <v>1.1646999999999999E-2</v>
      </c>
      <c r="AH99">
        <v>8.4300999999999994E-3</v>
      </c>
      <c r="AL99">
        <v>2.3422999999999999E-2</v>
      </c>
      <c r="AP99">
        <v>2.9721999999999998E-2</v>
      </c>
    </row>
    <row r="100" spans="1:52">
      <c r="A100" t="s">
        <v>61</v>
      </c>
      <c r="B100">
        <f>AVERAGE(AVERAGE(E100/E$89,F100/E$89),I100/I$89,M100/M$89,AVERAGE(Q100/Q$89,R100/Q$89),AVERAGE(U100/U$89,V100/U$89),Y100/Y$89,AC100/AC$89,AVERAGE(AG100/AG$89,AH100/AG$89))*F88</f>
        <v>1</v>
      </c>
      <c r="C100">
        <f>STDEV(AVERAGE(E100/E$89,F100/E$89),I100/I$89,M100/M$89,AVERAGE(Q100/Q$89,R100/Q$89),AVERAGE(U100/U$89,V100/U$89),Y100/Y$89,AC100/AC$89,AVERAGE(AG100/AG$89,AH100/AG$89))/SQRT(D100)*F88</f>
        <v>4.1114671657129845E-17</v>
      </c>
      <c r="D100">
        <v>8</v>
      </c>
      <c r="E100">
        <v>4.0344999999999999E-2</v>
      </c>
      <c r="F100">
        <v>5.0162999999999999E-2</v>
      </c>
      <c r="I100">
        <v>5.4813000000000001E-2</v>
      </c>
      <c r="M100">
        <v>4.9430000000000002E-2</v>
      </c>
      <c r="Q100">
        <v>4.4812999999999999E-2</v>
      </c>
      <c r="R100">
        <v>5.2005999999999997E-2</v>
      </c>
      <c r="U100">
        <v>4.9384999999999998E-2</v>
      </c>
      <c r="V100">
        <v>5.9716999999999999E-2</v>
      </c>
      <c r="Y100">
        <v>5.5342000000000002E-2</v>
      </c>
      <c r="Z100" s="17"/>
      <c r="AC100">
        <v>4.9174000000000002E-2</v>
      </c>
      <c r="AD100" s="17"/>
      <c r="AG100">
        <v>3.9489999999999997E-2</v>
      </c>
      <c r="AH100">
        <v>4.6077E-2</v>
      </c>
      <c r="AL100">
        <v>9.3343999999999996E-2</v>
      </c>
      <c r="AN100">
        <v>0.10947</v>
      </c>
      <c r="AP100">
        <v>7.3282E-2</v>
      </c>
      <c r="AT100">
        <v>5.0616000000000001E-2</v>
      </c>
      <c r="AW100">
        <v>5.9444999999999998E-2</v>
      </c>
      <c r="AZ100">
        <v>6.7919999999999994E-2</v>
      </c>
    </row>
    <row r="101" spans="1:52">
      <c r="A101" t="s">
        <v>62</v>
      </c>
      <c r="B101">
        <f t="shared" ref="B101:B109" si="0">AVERAGE(AVERAGE(E101/E$89,F101/E$89),I101/I$89,M101/M$89,AVERAGE(Q101/Q$89,R101/Q$89),AVERAGE(U101/U$89,V101/U$89),Y101/Y$89,AC101/AC$89,AVERAGE(AG101/AG$89,AH101/AG$89))</f>
        <v>0.25455363267454084</v>
      </c>
      <c r="C101">
        <f t="shared" ref="C101:C109" si="1">STDEV(AVERAGE(E101/E$89,F101/E$89),I101/I$89,M101/M$89,AVERAGE(Q101/Q$89,R101/Q$89),AVERAGE(U101/U$89,V101/U$89),Y101/Y$89,AC101/AC$89,AVERAGE(AG101/AG$89,AH101/AG$89))/SQRT(D101)</f>
        <v>2.7189506219082889E-2</v>
      </c>
      <c r="D101">
        <v>8</v>
      </c>
      <c r="E101">
        <v>1.4003E-2</v>
      </c>
      <c r="F101">
        <v>1.6722000000000001E-2</v>
      </c>
      <c r="I101">
        <v>1.4683999999999999E-2</v>
      </c>
      <c r="M101">
        <v>1.3634E-2</v>
      </c>
      <c r="Q101">
        <v>2.0223999999999999E-2</v>
      </c>
      <c r="R101">
        <v>1.8686999999999999E-2</v>
      </c>
      <c r="U101">
        <v>1.9127000000000002E-2</v>
      </c>
      <c r="V101">
        <v>1.9977000000000002E-2</v>
      </c>
      <c r="Y101">
        <v>2.7362999999999998E-2</v>
      </c>
      <c r="Z101" s="17"/>
      <c r="AC101">
        <v>2.4454E-2</v>
      </c>
      <c r="AD101" s="17"/>
      <c r="AG101">
        <v>2.5523000000000001E-2</v>
      </c>
      <c r="AH101">
        <v>2.7789999999999999E-2</v>
      </c>
      <c r="AL101">
        <v>3.6395999999999998E-2</v>
      </c>
      <c r="AP101">
        <v>3.1276999999999999E-2</v>
      </c>
    </row>
    <row r="102" spans="1:52">
      <c r="A102" t="s">
        <v>63</v>
      </c>
      <c r="B102">
        <f t="shared" si="0"/>
        <v>0.48732737108561847</v>
      </c>
      <c r="C102">
        <f t="shared" si="1"/>
        <v>2.6587594799896471E-2</v>
      </c>
      <c r="D102">
        <v>8</v>
      </c>
      <c r="E102">
        <v>3.3304E-2</v>
      </c>
      <c r="F102">
        <v>3.8432000000000001E-2</v>
      </c>
      <c r="I102">
        <v>4.3511000000000001E-2</v>
      </c>
      <c r="M102">
        <v>3.3577000000000003E-2</v>
      </c>
      <c r="Q102">
        <v>2.4656000000000001E-2</v>
      </c>
      <c r="R102">
        <v>3.0300000000000001E-2</v>
      </c>
      <c r="U102">
        <v>4.2549999999999998E-2</v>
      </c>
      <c r="V102">
        <v>4.1977E-2</v>
      </c>
      <c r="Y102">
        <v>5.2919000000000001E-2</v>
      </c>
      <c r="Z102" s="17"/>
      <c r="AC102">
        <v>4.4298999999999998E-2</v>
      </c>
      <c r="AD102" s="17"/>
      <c r="AG102">
        <v>1.9445E-2</v>
      </c>
      <c r="AH102">
        <v>4.6669000000000002E-2</v>
      </c>
      <c r="AL102">
        <v>6.3081999999999999E-2</v>
      </c>
      <c r="AP102">
        <v>5.4486E-2</v>
      </c>
    </row>
    <row r="103" spans="1:52">
      <c r="A103" t="s">
        <v>64</v>
      </c>
      <c r="B103">
        <f t="shared" si="0"/>
        <v>1.4396210181353649E-2</v>
      </c>
      <c r="C103">
        <f t="shared" si="1"/>
        <v>7.9714714328399366E-3</v>
      </c>
      <c r="D103">
        <v>8</v>
      </c>
      <c r="E103">
        <v>3.2591E-4</v>
      </c>
      <c r="F103">
        <v>1.3462000000000001E-3</v>
      </c>
      <c r="I103">
        <v>9.9877999999999989E-4</v>
      </c>
      <c r="M103">
        <v>1.5031999999999999E-3</v>
      </c>
      <c r="Q103">
        <v>4.0512000000000002E-4</v>
      </c>
      <c r="R103">
        <v>3.6097000000000001E-4</v>
      </c>
      <c r="U103">
        <v>1.2234999999999999E-4</v>
      </c>
      <c r="V103">
        <v>0</v>
      </c>
      <c r="Y103">
        <v>0</v>
      </c>
      <c r="Z103" s="17"/>
      <c r="AC103">
        <v>0</v>
      </c>
      <c r="AD103" s="17"/>
      <c r="AG103">
        <v>2.1304000000000002E-3</v>
      </c>
      <c r="AH103">
        <v>7.1219999999999999E-3</v>
      </c>
      <c r="AL103" t="s">
        <v>30</v>
      </c>
      <c r="AP103" t="s">
        <v>30</v>
      </c>
    </row>
    <row r="104" spans="1:52">
      <c r="A104" t="s">
        <v>65</v>
      </c>
      <c r="B104">
        <f t="shared" si="0"/>
        <v>8.923762796194403E-4</v>
      </c>
      <c r="C104">
        <f t="shared" si="1"/>
        <v>4.6340844256339192E-4</v>
      </c>
      <c r="D104">
        <v>8</v>
      </c>
      <c r="E104">
        <v>0</v>
      </c>
      <c r="F104">
        <v>0</v>
      </c>
      <c r="I104">
        <v>0</v>
      </c>
      <c r="J104" s="15"/>
      <c r="M104" s="15">
        <v>8.8467999999999997E-6</v>
      </c>
      <c r="Q104">
        <v>2.3492000000000001E-4</v>
      </c>
      <c r="R104" s="15">
        <v>2.0075E-5</v>
      </c>
      <c r="U104" s="15">
        <v>2.8317E-5</v>
      </c>
      <c r="V104" s="15">
        <v>7.4201000000000003E-5</v>
      </c>
      <c r="Y104">
        <v>0</v>
      </c>
      <c r="Z104" s="17"/>
      <c r="AC104" s="15">
        <v>7.9573000000000005E-5</v>
      </c>
      <c r="AD104" s="17"/>
      <c r="AG104">
        <v>1.3184000000000001E-4</v>
      </c>
      <c r="AH104">
        <v>3.86E-4</v>
      </c>
      <c r="AL104" s="15">
        <v>6.1625999999999996E-5</v>
      </c>
      <c r="AP104">
        <v>0</v>
      </c>
    </row>
    <row r="105" spans="1:52">
      <c r="A105" t="s">
        <v>66</v>
      </c>
      <c r="B105">
        <f t="shared" si="0"/>
        <v>5.911993249827209E-4</v>
      </c>
      <c r="C105">
        <f t="shared" si="1"/>
        <v>4.8194941990464026E-4</v>
      </c>
      <c r="D105">
        <v>8</v>
      </c>
      <c r="E105">
        <v>1.0006E-4</v>
      </c>
      <c r="F105" s="15">
        <v>2.232E-5</v>
      </c>
      <c r="I105">
        <v>0</v>
      </c>
      <c r="M105">
        <v>0</v>
      </c>
      <c r="Q105">
        <v>6.0174999999999996E-4</v>
      </c>
      <c r="R105">
        <v>0</v>
      </c>
      <c r="U105">
        <v>0</v>
      </c>
      <c r="V105">
        <v>0</v>
      </c>
      <c r="Y105">
        <v>0</v>
      </c>
      <c r="Z105" s="30"/>
      <c r="AC105">
        <v>0</v>
      </c>
      <c r="AD105" s="17"/>
      <c r="AG105">
        <v>0</v>
      </c>
      <c r="AH105">
        <v>0</v>
      </c>
      <c r="AL105">
        <v>0</v>
      </c>
      <c r="AP105">
        <v>0</v>
      </c>
    </row>
    <row r="106" spans="1:52">
      <c r="A106" t="s">
        <v>67</v>
      </c>
      <c r="B106">
        <f t="shared" si="0"/>
        <v>3.511752731134938E-4</v>
      </c>
      <c r="C106">
        <f t="shared" si="1"/>
        <v>3.511752731134938E-4</v>
      </c>
      <c r="D106">
        <v>8</v>
      </c>
      <c r="E106">
        <v>0</v>
      </c>
      <c r="F106">
        <v>0</v>
      </c>
      <c r="I106">
        <v>0</v>
      </c>
      <c r="M106">
        <v>2.2219000000000001E-4</v>
      </c>
      <c r="Q106">
        <v>0</v>
      </c>
      <c r="R106">
        <v>0</v>
      </c>
      <c r="U106">
        <v>0</v>
      </c>
      <c r="V106">
        <v>0</v>
      </c>
      <c r="Y106">
        <v>0</v>
      </c>
      <c r="Z106" s="17"/>
      <c r="AC106">
        <v>0</v>
      </c>
      <c r="AD106" s="17"/>
      <c r="AG106">
        <v>0</v>
      </c>
      <c r="AH106">
        <v>0</v>
      </c>
      <c r="AL106">
        <v>0</v>
      </c>
      <c r="AP106">
        <v>0</v>
      </c>
    </row>
    <row r="107" spans="1:52">
      <c r="A107" t="s">
        <v>71</v>
      </c>
      <c r="B107">
        <f t="shared" si="0"/>
        <v>1.4371063453811447E-2</v>
      </c>
      <c r="C107">
        <f t="shared" si="1"/>
        <v>4.0163823947234395E-3</v>
      </c>
      <c r="D107">
        <v>8</v>
      </c>
      <c r="E107">
        <v>2.4174000000000001E-3</v>
      </c>
      <c r="F107">
        <v>1.1100000000000001E-3</v>
      </c>
      <c r="I107">
        <v>8.2324999999999998E-4</v>
      </c>
      <c r="M107">
        <v>6.9375000000000003E-4</v>
      </c>
      <c r="Q107">
        <v>6.7186000000000004E-4</v>
      </c>
      <c r="R107">
        <v>2.4743E-3</v>
      </c>
      <c r="U107">
        <v>3.4965999999999999E-3</v>
      </c>
      <c r="V107">
        <v>1.6756E-3</v>
      </c>
      <c r="Y107">
        <v>0</v>
      </c>
      <c r="Z107" s="17"/>
      <c r="AC107">
        <v>0</v>
      </c>
      <c r="AD107" s="17"/>
      <c r="AG107">
        <v>1.1266E-3</v>
      </c>
      <c r="AH107">
        <v>1.9555000000000002E-3</v>
      </c>
      <c r="AL107">
        <v>0</v>
      </c>
      <c r="AP107">
        <v>1.0904E-3</v>
      </c>
    </row>
    <row r="108" spans="1:52">
      <c r="A108" t="s">
        <v>72</v>
      </c>
      <c r="B108">
        <f t="shared" si="0"/>
        <v>2.3943601572553569E-2</v>
      </c>
      <c r="C108">
        <f t="shared" si="1"/>
        <v>9.8429661361931018E-3</v>
      </c>
      <c r="D108">
        <v>8</v>
      </c>
      <c r="E108">
        <v>5.5664E-3</v>
      </c>
      <c r="F108">
        <v>5.5900999999999998E-3</v>
      </c>
      <c r="I108">
        <v>2.0909000000000001E-3</v>
      </c>
      <c r="M108">
        <v>4.3930999999999996E-3</v>
      </c>
      <c r="Q108">
        <v>0</v>
      </c>
      <c r="R108">
        <v>0</v>
      </c>
      <c r="U108">
        <v>1.8448E-3</v>
      </c>
      <c r="V108">
        <v>5.5440999999999997E-4</v>
      </c>
      <c r="Y108">
        <v>0</v>
      </c>
      <c r="Z108" s="17"/>
      <c r="AC108">
        <v>7.1224999999999999E-4</v>
      </c>
      <c r="AD108" s="17"/>
      <c r="AG108">
        <v>1.6871E-3</v>
      </c>
      <c r="AH108">
        <v>0</v>
      </c>
      <c r="AL108">
        <v>2.1725999999999998E-3</v>
      </c>
      <c r="AP108">
        <v>0</v>
      </c>
    </row>
    <row r="109" spans="1:52">
      <c r="A109" t="s">
        <v>69</v>
      </c>
      <c r="B109">
        <f t="shared" si="0"/>
        <v>0.19602538524870378</v>
      </c>
      <c r="C109">
        <f t="shared" si="1"/>
        <v>1.3385392052739403E-2</v>
      </c>
      <c r="D109">
        <v>8</v>
      </c>
      <c r="E109">
        <v>1.3169999999999999E-2</v>
      </c>
      <c r="F109">
        <v>1.4761E-2</v>
      </c>
      <c r="I109">
        <v>1.3296000000000001E-2</v>
      </c>
      <c r="M109">
        <v>1.2565E-2</v>
      </c>
      <c r="Q109">
        <v>1.3254999999999999E-2</v>
      </c>
      <c r="R109">
        <v>1.3481E-2</v>
      </c>
      <c r="U109">
        <v>1.7638999999999998E-2</v>
      </c>
      <c r="V109">
        <v>1.8016999999999998E-2</v>
      </c>
      <c r="Y109">
        <v>1.6618000000000001E-2</v>
      </c>
      <c r="Z109" s="17"/>
      <c r="AC109">
        <v>1.9068000000000002E-2</v>
      </c>
      <c r="AD109" s="17"/>
      <c r="AG109">
        <v>1.5545E-2</v>
      </c>
      <c r="AH109">
        <v>1.9772999999999999E-2</v>
      </c>
      <c r="AL109">
        <v>1.5543E-2</v>
      </c>
      <c r="AP109">
        <v>2.4156E-2</v>
      </c>
    </row>
    <row r="110" spans="1:52">
      <c r="A110" t="s">
        <v>68</v>
      </c>
      <c r="B110">
        <f>AVERAGE(AM110/AL$89,AO110/AN$89,AQ110/AP$89)</f>
        <v>3.0099050971199387E-2</v>
      </c>
      <c r="C110">
        <f>STDEV(AM110/AL$89,AO110/AN$89,AQ110/AP$89)/SQRT(D110)</f>
        <v>9.2716538419498618E-3</v>
      </c>
      <c r="D110">
        <v>3</v>
      </c>
      <c r="Y110" s="17"/>
      <c r="Z110" s="17"/>
      <c r="AC110" s="17"/>
      <c r="AD110" s="17"/>
      <c r="AM110">
        <v>3.2818681738012289E-3</v>
      </c>
      <c r="AO110">
        <v>3.4550479853867849E-3</v>
      </c>
      <c r="AQ110">
        <v>5.6980413878573747E-3</v>
      </c>
    </row>
    <row r="111" spans="1:52">
      <c r="A111" t="s">
        <v>70</v>
      </c>
      <c r="B111">
        <f>AVERAGE(AVERAGE(AG111/AG89,AH111/AG89),AT111/AT89,AW111/AW89,AZ111/AZ89)</f>
        <v>4.5508676775843006E-2</v>
      </c>
      <c r="C111">
        <f>STDEV(AVERAGE(AG111/AG89,AH111/AG89),AT111/AT89,AW111/AW89,AZ111/AZ89)/SQRT(D111)</f>
        <v>7.59872414363124E-3</v>
      </c>
      <c r="D111">
        <v>4</v>
      </c>
      <c r="Y111" s="31"/>
      <c r="AB111" s="31"/>
      <c r="AC111" s="31"/>
      <c r="AG111">
        <v>3.4545999999999999E-3</v>
      </c>
      <c r="AH111">
        <v>3.8484000000000001E-3</v>
      </c>
      <c r="AT111">
        <v>4.6048E-3</v>
      </c>
      <c r="AW111">
        <v>4.6166000000000002E-3</v>
      </c>
      <c r="AZ111">
        <v>2.5314000000000001E-3</v>
      </c>
    </row>
    <row r="112" spans="1:52">
      <c r="A112" t="s">
        <v>23</v>
      </c>
      <c r="B112">
        <f>AVERAGE(AVERAGE(E112/E$89,F112/E$89),I112/I$89,M112/M$89,AVERAGE(Q112/Q$89,R112/Q$89),AVERAGE(U112/U$89,V112/U$89),Y112/Y$89,AC112/AC$89,AVERAGE(AG112/AG$89,AH112/AG$89))</f>
        <v>0</v>
      </c>
      <c r="C112">
        <f>STDEV(AVERAGE(E112/E$89,F112/E$89),I112/I$89,M112/M$89,AVERAGE(Q112/Q$89,R112/Q$89),AVERAGE(U112/U$89,V112/U$89),Y112/Y$89,AC112/AC$89,AVERAGE(AG112/AG$89,AH112/AG$89))/SQRT(D112)</f>
        <v>0</v>
      </c>
      <c r="D112">
        <v>8</v>
      </c>
      <c r="E112">
        <v>0</v>
      </c>
      <c r="F112">
        <v>0</v>
      </c>
      <c r="I112">
        <v>0</v>
      </c>
      <c r="M112">
        <v>0</v>
      </c>
      <c r="Q112">
        <v>0</v>
      </c>
      <c r="R112">
        <v>0</v>
      </c>
      <c r="U112">
        <v>0</v>
      </c>
      <c r="V112">
        <v>0</v>
      </c>
      <c r="Y112" s="31">
        <v>0</v>
      </c>
      <c r="Z112" s="31"/>
      <c r="AA112" s="31"/>
      <c r="AB112" s="31"/>
      <c r="AC112" s="31">
        <v>0</v>
      </c>
      <c r="AD112" s="31"/>
      <c r="AG112" s="31">
        <v>0</v>
      </c>
      <c r="AH112" s="31">
        <v>0</v>
      </c>
      <c r="AL112" s="31">
        <v>0</v>
      </c>
      <c r="AM112" s="31"/>
      <c r="AP112">
        <v>0</v>
      </c>
    </row>
    <row r="113" spans="1:42">
      <c r="A113" t="s">
        <v>24</v>
      </c>
      <c r="B113">
        <f>AVERAGE(AVERAGE(E113/E$89,F113/E$89),I113/I$89,M113/M$89,AVERAGE(Q113/Q$89,R113/Q$89),AVERAGE(U113/U$89,V113/U$89),Y113/Y$89,AC113/AC$89,AVERAGE(AG113/AG$89,AH113/AG$89))</f>
        <v>0</v>
      </c>
      <c r="C113">
        <f>STDEV(AVERAGE(E113/E$89,F113/E$89),I113/I$89,M113/M$89,AVERAGE(Q113/Q$89,R113/Q$89),AVERAGE(U113/U$89,V113/U$89),Y113/Y$89,AC113/AC$89,AVERAGE(AG113/AG$89,AH113/AG$89))/SQRT(D113)</f>
        <v>0</v>
      </c>
      <c r="D113">
        <v>8</v>
      </c>
      <c r="E113">
        <v>0</v>
      </c>
      <c r="F113">
        <v>0</v>
      </c>
      <c r="I113">
        <v>0</v>
      </c>
      <c r="M113">
        <v>0</v>
      </c>
      <c r="Q113">
        <v>0</v>
      </c>
      <c r="R113">
        <v>0</v>
      </c>
      <c r="U113">
        <v>0</v>
      </c>
      <c r="V113">
        <v>0</v>
      </c>
      <c r="Y113" s="31">
        <v>0</v>
      </c>
      <c r="Z113" s="31"/>
      <c r="AA113" s="31"/>
      <c r="AB113" s="31"/>
      <c r="AC113" s="31">
        <v>0</v>
      </c>
      <c r="AD113" s="31"/>
      <c r="AG113" s="31">
        <v>0</v>
      </c>
      <c r="AH113" s="31">
        <v>0</v>
      </c>
      <c r="AL113" s="31">
        <v>0</v>
      </c>
      <c r="AM113" s="31"/>
      <c r="AP113">
        <v>0</v>
      </c>
    </row>
    <row r="114" spans="1:42">
      <c r="Y114" s="31"/>
      <c r="Z114" s="31"/>
      <c r="AA114" s="31"/>
      <c r="AB114" s="31"/>
      <c r="AC114" s="31"/>
      <c r="AD114" s="31"/>
    </row>
    <row r="115" spans="1:42">
      <c r="Y115" s="31"/>
      <c r="Z115" s="31"/>
      <c r="AA115" s="31"/>
      <c r="AB115" s="31"/>
      <c r="AC115" s="31"/>
      <c r="AD115" s="31"/>
    </row>
    <row r="116" spans="1:42">
      <c r="A116" s="1" t="s">
        <v>16</v>
      </c>
      <c r="Y116" s="31"/>
      <c r="Z116" s="31"/>
      <c r="AA116" s="31"/>
      <c r="AB116" s="31"/>
      <c r="AC116" s="31"/>
      <c r="AD116" s="31"/>
    </row>
    <row r="117" spans="1:42">
      <c r="A117" t="s">
        <v>7</v>
      </c>
      <c r="B117">
        <f>AVERAGE(E117/E$89,I117/I$89,M117/M$89,Q117/Q$89,U117/U$89,Y117/Y$89,AC117/AC$89,AG117/AG$89)</f>
        <v>0.2545776459330571</v>
      </c>
      <c r="C117">
        <f>STDEV(E117/E$89,I117/I$89,M117/M$89,Q117/Q$89,U117/U$89,Y117/Y$89,AC117/AC$89,AG117/AG$89)/SQRT(D117)</f>
        <v>2.1990432846618085E-2</v>
      </c>
      <c r="D117">
        <v>8</v>
      </c>
      <c r="E117">
        <v>1.7793E-2</v>
      </c>
      <c r="I117">
        <v>1.8214999999999999E-2</v>
      </c>
      <c r="M117">
        <v>1.5308E-2</v>
      </c>
      <c r="Q117">
        <v>1.4567999999999999E-2</v>
      </c>
      <c r="U117">
        <v>2.0035000000000001E-2</v>
      </c>
      <c r="Y117" s="31">
        <v>2.7699000000000001E-2</v>
      </c>
      <c r="Z117" s="31"/>
      <c r="AA117" s="31"/>
      <c r="AB117" s="31"/>
      <c r="AC117" s="31">
        <v>2.8003E-2</v>
      </c>
      <c r="AD117" s="31"/>
      <c r="AG117">
        <v>2.0760000000000001E-2</v>
      </c>
    </row>
    <row r="118" spans="1:42">
      <c r="A118" t="s">
        <v>8</v>
      </c>
      <c r="B118">
        <f>AVERAGE(E118/E$89,I118/I$89,M118/M$89,Q118/Q$89,U118/U$89,Y118/Y$89,AC118/AC$89,AG118/AG$89)</f>
        <v>0.2973530829744655</v>
      </c>
      <c r="C118">
        <f>STDEV(E118/E$89,I118/I$89,M118/M$89,Q118/Q$89,U118/U$89,Y118/Y$89,AC118/AC$89,AG118/AG$89)/SQRT(D118)</f>
        <v>2.5520849757030544E-2</v>
      </c>
      <c r="D118">
        <v>8</v>
      </c>
      <c r="E118">
        <v>2.2277999999999999E-2</v>
      </c>
      <c r="I118">
        <v>1.8606000000000001E-2</v>
      </c>
      <c r="M118">
        <v>1.7763999999999999E-2</v>
      </c>
      <c r="Q118">
        <v>2.3623000000000002E-2</v>
      </c>
      <c r="R118">
        <v>2.5935E-2</v>
      </c>
      <c r="U118">
        <v>2.3175000000000001E-2</v>
      </c>
      <c r="V118">
        <v>2.8021000000000001E-2</v>
      </c>
      <c r="Y118" s="31">
        <v>2.6946999999999999E-2</v>
      </c>
      <c r="Z118" s="31"/>
      <c r="AA118" s="31"/>
      <c r="AB118" s="31"/>
      <c r="AC118" s="31">
        <v>3.5189999999999999E-2</v>
      </c>
      <c r="AD118" s="31"/>
      <c r="AG118">
        <v>2.1377E-2</v>
      </c>
    </row>
    <row r="119" spans="1:42">
      <c r="A119" t="s">
        <v>9</v>
      </c>
      <c r="B119">
        <f>AVERAGE(E119/E$89,I119/I$89,M119/M$89,Q119/Q$89,U119/U$89,Y119/Y$89,AC119/AC$89,AG119/AG$89)</f>
        <v>0.5208354737558365</v>
      </c>
      <c r="C119">
        <f>STDEV(E119/E$89,I119/I$89,M119/M$89,Q119/Q$89,U119/U$89,Y119/Y$89,AC119/AC$89,AG119/AG$89)/SQRT(D119)</f>
        <v>7.0715017402037422E-2</v>
      </c>
      <c r="D119">
        <v>8</v>
      </c>
      <c r="E119">
        <v>2.9658E-2</v>
      </c>
      <c r="I119">
        <v>2.6568000000000001E-2</v>
      </c>
      <c r="M119">
        <v>2.5919999999999999E-2</v>
      </c>
      <c r="Q119">
        <v>3.4356999999999999E-2</v>
      </c>
      <c r="U119">
        <v>3.7601999999999997E-2</v>
      </c>
      <c r="Y119" s="31">
        <v>6.2573000000000004E-2</v>
      </c>
      <c r="Z119" s="31"/>
      <c r="AA119" s="31"/>
      <c r="AB119" s="31"/>
      <c r="AC119" s="31">
        <v>5.5994000000000002E-2</v>
      </c>
      <c r="AD119" s="31"/>
      <c r="AE119" s="31"/>
      <c r="AG119">
        <v>5.7068000000000001E-2</v>
      </c>
      <c r="AI119" s="31"/>
    </row>
    <row r="120" spans="1:42">
      <c r="A120" t="s">
        <v>10</v>
      </c>
      <c r="B120">
        <f>AVERAGE(E120/E$89,I120/I$89,M120/M$89,Q120/Q$89,U120/U$89,Y120/Y$89,AC120/AC$89,AG120/AG$89,AL120/AL$89,AP120/AP$89)</f>
        <v>0.33792810752884905</v>
      </c>
      <c r="C120">
        <f>STDEV(E120/E$89,I120/I$89,M120/M$89,Q120/Q$89,U120/U$89,Y120/Y$89,AC120/AC$89,AG120/AG$89,AL120/AL$89,AP120/AP$89)/SQRT(D120)</f>
        <v>2.7592589720036587E-2</v>
      </c>
      <c r="D120">
        <v>10</v>
      </c>
      <c r="E120">
        <v>1.8912000000000002E-2</v>
      </c>
      <c r="I120">
        <v>2.3821999999999999E-2</v>
      </c>
      <c r="M120">
        <v>1.8530000000000001E-2</v>
      </c>
      <c r="Q120">
        <v>1.9488999999999999E-2</v>
      </c>
      <c r="U120">
        <v>2.4462000000000001E-2</v>
      </c>
      <c r="Y120" s="31">
        <v>4.0918000000000003E-2</v>
      </c>
      <c r="Z120" s="31"/>
      <c r="AA120" s="31"/>
      <c r="AB120" s="31"/>
      <c r="AC120" s="31">
        <v>2.9964999999999999E-2</v>
      </c>
      <c r="AD120" s="31"/>
      <c r="AG120">
        <v>3.0242000000000002E-2</v>
      </c>
      <c r="AL120">
        <v>5.5300000000000002E-2</v>
      </c>
      <c r="AP120">
        <v>4.9862999999999998E-2</v>
      </c>
    </row>
    <row r="121" spans="1:42">
      <c r="A121" t="s">
        <v>11</v>
      </c>
      <c r="B121">
        <f>AVERAGE(E121/E$89,I121/I$89,M121/M$89,Q121/Q$89,U121/U$89,Y121/Y$89,AC121/AC$89,AG121/AG$89)</f>
        <v>0.27777955789788955</v>
      </c>
      <c r="C121">
        <f>STDEV(E121/E$89,I121/I$89,M121/M$89,Q121/Q$89,U121/U$89,Y121/Y$89,AC121/AC$89,AG121/AG$89)/SQRT(D121)</f>
        <v>3.4895664212216154E-2</v>
      </c>
      <c r="D121">
        <v>8</v>
      </c>
      <c r="E121">
        <v>1.3840999999999999E-2</v>
      </c>
      <c r="I121">
        <v>1.3192000000000001E-2</v>
      </c>
      <c r="M121">
        <v>1.4957E-2</v>
      </c>
      <c r="Q121">
        <v>2.1686E-2</v>
      </c>
      <c r="U121">
        <v>2.3262999999999999E-2</v>
      </c>
      <c r="Y121" s="31">
        <v>2.9172E-2</v>
      </c>
      <c r="Z121" s="31"/>
      <c r="AA121" s="31"/>
      <c r="AB121" s="31"/>
      <c r="AC121" s="31">
        <v>3.2053999999999999E-2</v>
      </c>
      <c r="AD121" s="31"/>
      <c r="AG121">
        <v>2.7941000000000001E-2</v>
      </c>
    </row>
    <row r="122" spans="1:42">
      <c r="A122" t="s">
        <v>49</v>
      </c>
      <c r="B122" t="s">
        <v>30</v>
      </c>
      <c r="C122" t="s">
        <v>30</v>
      </c>
      <c r="D122">
        <v>0</v>
      </c>
      <c r="Y122" s="31"/>
      <c r="Z122" s="31"/>
      <c r="AA122" s="31"/>
      <c r="AB122" s="31"/>
      <c r="AC122" s="31"/>
      <c r="AD122" s="31"/>
    </row>
    <row r="123" spans="1:42">
      <c r="A123" t="s">
        <v>12</v>
      </c>
      <c r="B123">
        <f>AVERAGE(E123/E$89,I123/I$89,M123/M$89,Q123/Q$89,U123/U$89,Y123/Y$89,AC123/AC$89,AG123/AG$89)</f>
        <v>0.33830353217668874</v>
      </c>
      <c r="C123">
        <f>STDEV(E123/E$89,I123/I$89,M123/M$89,Q123/Q$89,U123/U$89,Y123/Y$89,AC123/AC$89,AG123/AG$89)/SQRT(D123)</f>
        <v>2.474119137994284E-2</v>
      </c>
      <c r="D123">
        <v>8</v>
      </c>
      <c r="E123">
        <v>2.2953000000000001E-2</v>
      </c>
      <c r="I123">
        <v>2.2674E-2</v>
      </c>
      <c r="M123">
        <v>1.9431E-2</v>
      </c>
      <c r="Q123">
        <v>2.7081999999999998E-2</v>
      </c>
      <c r="U123">
        <v>2.7370999999999999E-2</v>
      </c>
      <c r="Y123" s="31">
        <v>3.3152000000000001E-2</v>
      </c>
      <c r="Z123" s="31"/>
      <c r="AA123" s="31"/>
      <c r="AB123" s="31"/>
      <c r="AC123" s="31">
        <v>3.5970000000000002E-2</v>
      </c>
      <c r="AD123" s="31"/>
      <c r="AG123">
        <v>2.6723E-2</v>
      </c>
    </row>
    <row r="124" spans="1:42">
      <c r="A124" t="s">
        <v>13</v>
      </c>
      <c r="B124">
        <f>AVERAGE(E124/E$89,I124/I$89,M124/M$89,Q124/Q$89,U124/U$89,Y124/Y$89,AC124/AC$89,AG124/AG$89)</f>
        <v>0.38974615242713184</v>
      </c>
      <c r="C124">
        <f>STDEV(E124/E$89,I124/I$89,M124/M$89,Q124/Q$89,U124/U$89,Y124/Y$89,AC124/AC$89,AG124/AG$89)/SQRT(D124)</f>
        <v>4.1881449372779447E-2</v>
      </c>
      <c r="D124">
        <v>8</v>
      </c>
      <c r="E124">
        <v>2.4788000000000001E-2</v>
      </c>
      <c r="I124">
        <v>2.5316000000000002E-2</v>
      </c>
      <c r="M124">
        <v>2.2665000000000001E-2</v>
      </c>
      <c r="Q124">
        <v>2.351E-2</v>
      </c>
      <c r="U124">
        <v>2.7845000000000002E-2</v>
      </c>
      <c r="Y124" s="31">
        <v>4.4437999999999998E-2</v>
      </c>
      <c r="Z124" s="31"/>
      <c r="AA124" s="31"/>
      <c r="AB124" s="31"/>
      <c r="AC124" s="31">
        <v>3.7959E-2</v>
      </c>
      <c r="AD124" s="31"/>
      <c r="AG124">
        <v>4.0627999999999997E-2</v>
      </c>
    </row>
    <row r="125" spans="1:42">
      <c r="A125" t="s">
        <v>14</v>
      </c>
      <c r="B125">
        <f>AVERAGE(E125/E$89,I125/I$89,M125/M$89,Q125/Q$89,U125/U$89,Y125/Y$89,AC125/AC$89,AG125/AG$89)</f>
        <v>0.31846464612702913</v>
      </c>
      <c r="C125">
        <f>STDEV(E125/E$89,I125/I$89,M125/M$89,Q125/Q$89,U125/U$89,Y125/Y$89,AC125/AC$89,AG125/AG$89)/SQRT(D125)</f>
        <v>3.3776700177282008E-2</v>
      </c>
      <c r="D125">
        <v>8</v>
      </c>
      <c r="E125">
        <v>2.7026999999999999E-2</v>
      </c>
      <c r="I125">
        <v>1.4973999999999999E-2</v>
      </c>
      <c r="M125">
        <v>1.6833999999999998E-2</v>
      </c>
      <c r="Q125">
        <v>2.6856000000000001E-2</v>
      </c>
      <c r="R125">
        <v>2.7134999999999999E-2</v>
      </c>
      <c r="U125">
        <v>2.2127000000000001E-2</v>
      </c>
      <c r="V125">
        <v>2.2398000000000001E-2</v>
      </c>
      <c r="Y125" s="31">
        <v>3.0521E-2</v>
      </c>
      <c r="Z125" s="31"/>
      <c r="AA125" s="31"/>
      <c r="AB125" s="31"/>
      <c r="AC125" s="31">
        <v>3.2218999999999998E-2</v>
      </c>
      <c r="AD125" s="31"/>
      <c r="AG125">
        <v>2.9874999999999999E-2</v>
      </c>
    </row>
    <row r="126" spans="1:42">
      <c r="A126" t="s">
        <v>56</v>
      </c>
      <c r="B126">
        <f>AVERAGE(E126/E$89,I126/I$89,M126/M$89,Q126/Q$89,U126/U$89,Y126/Y$89,AC126/AC$89,AG126/AG$89)</f>
        <v>0.21545459979389064</v>
      </c>
      <c r="C126">
        <f>STDEV(E126/E$89,I126/I$89,M126/M$89,Q126/Q$89,U126/U$89,Y126/Y$89,AC126/AC$89,AG126/AG$89)/SQRT(D126)</f>
        <v>2.1859708929426052E-2</v>
      </c>
      <c r="D126">
        <v>8</v>
      </c>
      <c r="E126">
        <v>1.8287000000000001E-2</v>
      </c>
      <c r="I126">
        <v>1.6479000000000001E-2</v>
      </c>
      <c r="M126">
        <v>1.4546999999999999E-2</v>
      </c>
      <c r="Q126">
        <v>1.6015000000000001E-2</v>
      </c>
      <c r="U126">
        <v>1.8107999999999999E-2</v>
      </c>
      <c r="Y126" s="31">
        <v>2.7275000000000001E-2</v>
      </c>
      <c r="Z126" s="31"/>
      <c r="AA126" s="31"/>
      <c r="AB126" s="31"/>
      <c r="AC126" s="31">
        <v>8.3741000000000006E-3</v>
      </c>
      <c r="AD126" s="31"/>
      <c r="AG126">
        <v>1.8519999999999998E-2</v>
      </c>
    </row>
    <row r="127" spans="1:42">
      <c r="A127" t="s">
        <v>57</v>
      </c>
      <c r="B127">
        <f>AVERAGE(Y127/Y$89,AC127/AC$89,AG127/AG$89)</f>
        <v>0.32784369920336842</v>
      </c>
      <c r="C127">
        <f>STDEV(Y127/Y$89,AC127/AC$89,AG127/AG$89)/SQRT(D127)</f>
        <v>2.6039814507776544E-2</v>
      </c>
      <c r="D127">
        <v>3</v>
      </c>
      <c r="Y127" s="31">
        <v>2.4993999999999999E-2</v>
      </c>
      <c r="Z127" s="31"/>
      <c r="AA127" s="31"/>
      <c r="AB127" s="31"/>
      <c r="AC127" s="31">
        <v>2.5870000000000001E-2</v>
      </c>
      <c r="AD127" s="31"/>
      <c r="AG127">
        <v>2.5496000000000001E-2</v>
      </c>
    </row>
    <row r="128" spans="1:42">
      <c r="A128" t="s">
        <v>15</v>
      </c>
      <c r="B128">
        <f>AVERAGE(E128/E$89,I128/I$89,M128/M$89,Q128/Q$89,U128/U$89,Y128/Y$89,AC128/AC$89,AG128/AG$89,AL128/AL$89,AP128/AP$89)</f>
        <v>0.25685450925033937</v>
      </c>
      <c r="C128">
        <f>STDEV(E128/E$89,I128/I$89,M128/M$89,Q128/Q$89,U128/U$89,Y128/Y$89,AC128/AC$89,AG128/AG$89,AL128/AL$89,AP128/AP$89)/SQRT(D128)</f>
        <v>2.5304231615711627E-2</v>
      </c>
      <c r="D128">
        <v>10</v>
      </c>
      <c r="E128">
        <v>2.3123000000000001E-2</v>
      </c>
      <c r="I128">
        <v>2.1249000000000001E-2</v>
      </c>
      <c r="M128">
        <v>1.8343999999999999E-2</v>
      </c>
      <c r="Q128">
        <v>1.0434000000000001E-2</v>
      </c>
      <c r="U128">
        <v>2.7394000000000002E-2</v>
      </c>
      <c r="Y128" s="31">
        <v>3.7569999999999999E-2</v>
      </c>
      <c r="Z128" s="31"/>
      <c r="AA128" s="31"/>
      <c r="AB128" s="31"/>
      <c r="AC128" s="31">
        <v>1.5485000000000001E-2</v>
      </c>
      <c r="AD128" s="31"/>
      <c r="AG128">
        <v>1.554E-2</v>
      </c>
      <c r="AL128">
        <v>3.1542000000000001E-2</v>
      </c>
      <c r="AP128">
        <v>3.1315000000000003E-2</v>
      </c>
    </row>
    <row r="129" spans="1:42">
      <c r="A129" t="s">
        <v>22</v>
      </c>
      <c r="B129">
        <f>AVERAGE(Y129/Y$89,AG129/AG$89,AL129/AL$89,AP129/AP$89)</f>
        <v>0.35944974350191611</v>
      </c>
      <c r="C129">
        <f>STDEV(Y129/Y$89,AG129/AG$89,AL129/AL$89,AP129/AP$89)/SQRT(D129)</f>
        <v>4.8588760752535452E-2</v>
      </c>
      <c r="D129">
        <v>4</v>
      </c>
      <c r="Y129" s="31">
        <v>3.0765000000000001E-2</v>
      </c>
      <c r="Z129" s="31"/>
      <c r="AA129" s="31"/>
      <c r="AB129" s="31"/>
      <c r="AC129" s="31"/>
      <c r="AD129" s="31"/>
      <c r="AG129">
        <v>3.108E-2</v>
      </c>
      <c r="AL129">
        <v>3.4229999999999997E-2</v>
      </c>
      <c r="AP129">
        <v>4.7737000000000002E-2</v>
      </c>
    </row>
    <row r="130" spans="1:42">
      <c r="A130" t="s">
        <v>59</v>
      </c>
      <c r="B130" t="s">
        <v>30</v>
      </c>
      <c r="C130" t="s">
        <v>30</v>
      </c>
      <c r="D130">
        <v>0</v>
      </c>
      <c r="Y130" s="31"/>
      <c r="Z130" s="31"/>
      <c r="AA130" s="31"/>
      <c r="AB130" s="31"/>
      <c r="AC130" s="31"/>
      <c r="AD130" s="31"/>
    </row>
    <row r="131" spans="1:42">
      <c r="A131" t="s">
        <v>58</v>
      </c>
      <c r="B131" t="s">
        <v>30</v>
      </c>
      <c r="C131" t="s">
        <v>30</v>
      </c>
      <c r="D131">
        <v>0</v>
      </c>
      <c r="Y131" s="31"/>
      <c r="Z131" s="31"/>
      <c r="AA131" s="31"/>
      <c r="AB131" s="31"/>
      <c r="AC131" s="31"/>
      <c r="AD131" s="31"/>
    </row>
    <row r="132" spans="1:42">
      <c r="Y132" s="31"/>
      <c r="Z132" s="31"/>
      <c r="AA132" s="31"/>
      <c r="AB132" s="31"/>
      <c r="AC132" s="31"/>
      <c r="AD132" s="31"/>
    </row>
    <row r="133" spans="1:42">
      <c r="A133" s="1" t="s">
        <v>17</v>
      </c>
      <c r="Y133" s="31"/>
      <c r="Z133" s="31"/>
      <c r="AA133" s="31"/>
      <c r="AB133" s="31"/>
      <c r="AC133" s="31"/>
      <c r="AD133" s="31"/>
    </row>
    <row r="134" spans="1:42">
      <c r="A134" t="s">
        <v>7</v>
      </c>
      <c r="B134">
        <f>AVERAGE(E134/E$89,I134/I$89,M134/M$89,Q134/Q$89,U134/U$89,Y134/Y$89,AC134/AC$89,AG134/AG$89)</f>
        <v>0.25433957516957284</v>
      </c>
      <c r="C134">
        <f>STDEV(E134/E$89,I134/I$89,M134/M$89,Q134/Q$89,U134/U$89,Y134/Y$89,AC134/AC$89,AG134/AG$89)/SQRT(D134)</f>
        <v>2.3654825654131441E-2</v>
      </c>
      <c r="D134">
        <v>8</v>
      </c>
      <c r="E134">
        <v>1.8763999999999999E-2</v>
      </c>
      <c r="I134">
        <v>1.8263000000000001E-2</v>
      </c>
      <c r="M134">
        <v>1.4921E-2</v>
      </c>
      <c r="Q134">
        <v>1.3965E-2</v>
      </c>
      <c r="U134">
        <v>1.881E-2</v>
      </c>
      <c r="Y134" s="31">
        <v>2.7910999999999998E-2</v>
      </c>
      <c r="Z134" s="31"/>
      <c r="AA134" s="31"/>
      <c r="AB134" s="31"/>
      <c r="AC134" s="31">
        <v>2.845E-2</v>
      </c>
      <c r="AD134" s="31"/>
      <c r="AG134">
        <v>2.095E-2</v>
      </c>
    </row>
    <row r="135" spans="1:42">
      <c r="A135" t="s">
        <v>8</v>
      </c>
      <c r="B135">
        <f>AVERAGE(E135/E$89,I135/I$89,M135/M$89,Q135/Q$89,U135/U$89,Y135/Y$89,AC135/AC$89,AG135/AG$89)</f>
        <v>0.31569482972335983</v>
      </c>
      <c r="C135">
        <f>STDEV(E135/E$89,I135/I$89,M135/M$89,Q135/Q$89,U135/U$89,Y135/Y$89,AC135/AC$89,AG135/AG$89)/SQRT(D135)</f>
        <v>3.4834334295611911E-2</v>
      </c>
      <c r="D135">
        <v>8</v>
      </c>
      <c r="E135">
        <v>2.2605E-2</v>
      </c>
      <c r="I135">
        <v>1.9304999999999999E-2</v>
      </c>
      <c r="M135">
        <v>1.7694000000000001E-2</v>
      </c>
      <c r="Q135">
        <v>2.2768E-2</v>
      </c>
      <c r="R135">
        <v>2.564E-2</v>
      </c>
      <c r="U135">
        <v>2.2440999999999999E-2</v>
      </c>
      <c r="V135">
        <v>2.4825E-2</v>
      </c>
      <c r="Y135" s="31">
        <v>2.5304E-2</v>
      </c>
      <c r="Z135" s="31"/>
      <c r="AA135" s="31"/>
      <c r="AB135" s="31"/>
      <c r="AC135" s="31">
        <v>3.5992000000000003E-2</v>
      </c>
      <c r="AD135" s="31"/>
      <c r="AG135">
        <v>3.2530999999999997E-2</v>
      </c>
    </row>
    <row r="136" spans="1:42">
      <c r="A136" t="s">
        <v>9</v>
      </c>
      <c r="B136">
        <f>AVERAGE(E136/E$89,I136/I$89,M136/M$89,Q136/Q$89,U136/U$89,Y136/Y$89,AC136/AC$89,AG136/AG$89)</f>
        <v>0.55391524099630796</v>
      </c>
      <c r="C136">
        <f>STDEV(E136/E$89,I136/I$89,M136/M$89,Q136/Q$89,U136/U$89,Y136/Y$89,AC136/AC$89,AG136/AG$89)/SQRT(D136)</f>
        <v>7.9594149917953036E-2</v>
      </c>
      <c r="D136">
        <v>8</v>
      </c>
      <c r="E136">
        <v>3.0440999999999999E-2</v>
      </c>
      <c r="I136">
        <v>2.7559E-2</v>
      </c>
      <c r="M136">
        <v>2.6558999999999999E-2</v>
      </c>
      <c r="Q136">
        <v>3.6912E-2</v>
      </c>
      <c r="U136">
        <v>3.8656999999999997E-2</v>
      </c>
      <c r="Y136" s="31">
        <v>6.9985000000000006E-2</v>
      </c>
      <c r="Z136" s="31"/>
      <c r="AA136" s="31"/>
      <c r="AB136" s="31"/>
      <c r="AC136" s="31">
        <v>5.9332999999999997E-2</v>
      </c>
      <c r="AD136" s="31"/>
      <c r="AG136">
        <v>6.1395999999999999E-2</v>
      </c>
    </row>
    <row r="137" spans="1:42">
      <c r="A137" t="s">
        <v>10</v>
      </c>
      <c r="B137">
        <f>AVERAGE(E137/E$89,I137/I$89,M137/M$89,Q137/Q$89,U137/U$89,Y137/Y$89,AC137/AC$89,AG137/AG$89,AL137/AL$89,AP137/AP$89)</f>
        <v>0.34164592818355272</v>
      </c>
      <c r="C137">
        <f>STDEV(E137/E$89,I137/I$89,M137/M$89,Q137/Q$89,U137/U$89,Y137/Y$89,AC137/AC$89,AG137/AG$89,AL137/AL$89,AP137/AP$89)/SQRT(D137)</f>
        <v>2.5739329913065549E-2</v>
      </c>
      <c r="D137">
        <v>10</v>
      </c>
      <c r="E137">
        <v>2.0258999999999999E-2</v>
      </c>
      <c r="I137">
        <v>2.4524000000000001E-2</v>
      </c>
      <c r="M137">
        <v>1.7225000000000001E-2</v>
      </c>
      <c r="Q137">
        <v>2.5048999999999998E-2</v>
      </c>
      <c r="U137">
        <v>2.4899000000000001E-2</v>
      </c>
      <c r="Y137" s="31">
        <v>4.1951000000000002E-2</v>
      </c>
      <c r="Z137" s="31"/>
      <c r="AA137" s="31"/>
      <c r="AB137" s="31"/>
      <c r="AC137" s="31">
        <v>3.0155999999999999E-2</v>
      </c>
      <c r="AD137" s="31"/>
      <c r="AG137">
        <v>3.0632E-2</v>
      </c>
      <c r="AL137">
        <v>4.9736000000000002E-2</v>
      </c>
      <c r="AP137">
        <v>4.6080999999999997E-2</v>
      </c>
    </row>
    <row r="138" spans="1:42">
      <c r="A138" t="s">
        <v>11</v>
      </c>
      <c r="B138">
        <f>AVERAGE(E138/E$89,I138/I$89,M138/M$89,Q138/Q$89,U138/U$89,Y138/Y$89,AC138/AC$89,AG138/AG$89)</f>
        <v>0.26756931953876911</v>
      </c>
      <c r="C138">
        <f>STDEV(E138/E$89,I138/I$89,M138/M$89,Q138/Q$89,U138/U$89,Y138/Y$89,AC138/AC$89,AG138/AG$89)/SQRT(D138)</f>
        <v>3.4680312680991345E-2</v>
      </c>
      <c r="D138">
        <v>8</v>
      </c>
      <c r="E138">
        <v>1.3233E-2</v>
      </c>
      <c r="I138">
        <v>1.3416000000000001E-2</v>
      </c>
      <c r="M138">
        <v>1.3416000000000001E-2</v>
      </c>
      <c r="Q138">
        <v>2.0118E-2</v>
      </c>
      <c r="U138">
        <v>2.2241E-2</v>
      </c>
      <c r="Y138" s="31">
        <v>2.8788000000000001E-2</v>
      </c>
      <c r="Z138" s="31"/>
      <c r="AA138" s="31"/>
      <c r="AB138" s="31"/>
      <c r="AC138" s="31">
        <v>3.1396E-2</v>
      </c>
      <c r="AD138" s="31"/>
      <c r="AG138">
        <v>2.7140000000000001E-2</v>
      </c>
    </row>
    <row r="139" spans="1:42">
      <c r="A139" t="s">
        <v>49</v>
      </c>
      <c r="B139" t="s">
        <v>30</v>
      </c>
      <c r="C139" t="s">
        <v>30</v>
      </c>
      <c r="D139">
        <v>0</v>
      </c>
      <c r="Y139" s="31"/>
      <c r="Z139" s="31"/>
      <c r="AA139" s="31"/>
      <c r="AB139" s="31"/>
      <c r="AC139" s="31"/>
      <c r="AD139" s="31"/>
    </row>
    <row r="140" spans="1:42">
      <c r="A140" t="s">
        <v>12</v>
      </c>
      <c r="B140">
        <f>AVERAGE(E140/E$89,I140/I$89,M140/M$89,Q140/Q$89,U140/U$89,Y140/Y$89,AC140/AC$89,AG140/AG$89)</f>
        <v>0.32938272217733</v>
      </c>
      <c r="C140">
        <f>STDEV(E140/E$89,I140/I$89,M140/M$89,Q140/Q$89,U140/U$89,Y140/Y$89,AC140/AC$89,AG140/AG$89)/SQRT(D140)</f>
        <v>2.3651993556033039E-2</v>
      </c>
      <c r="D140">
        <v>8</v>
      </c>
      <c r="E140">
        <v>2.1432E-2</v>
      </c>
      <c r="I140">
        <v>2.3189999999999999E-2</v>
      </c>
      <c r="M140">
        <v>1.8504E-2</v>
      </c>
      <c r="Q140">
        <v>2.5510999999999999E-2</v>
      </c>
      <c r="U140">
        <v>2.7307000000000001E-2</v>
      </c>
      <c r="Y140" s="31">
        <v>3.3563000000000003E-2</v>
      </c>
      <c r="Z140" s="31"/>
      <c r="AA140" s="31"/>
      <c r="AB140" s="31"/>
      <c r="AC140" s="31">
        <v>3.4199E-2</v>
      </c>
      <c r="AD140" s="31"/>
      <c r="AG140">
        <v>2.6336999999999999E-2</v>
      </c>
    </row>
    <row r="141" spans="1:42">
      <c r="A141" t="s">
        <v>13</v>
      </c>
      <c r="B141">
        <f>AVERAGE(E141/E$89,I141/I$89,M141/M$89,Q141/Q$89,U141/U$89,Y141/Y$89,AC141/AC$89,AG141/AG$89)</f>
        <v>0.30024093360895387</v>
      </c>
      <c r="C141">
        <f>STDEV(E141/E$89,I141/I$89,M141/M$89,Q141/Q$89,U141/U$89,Y141/Y$89,AC141/AC$89,AG141/AG$89)/SQRT(D141)</f>
        <v>4.4127498210485644E-2</v>
      </c>
      <c r="D141">
        <v>8</v>
      </c>
      <c r="E141">
        <v>1.5726E-2</v>
      </c>
      <c r="I141">
        <v>1.8078E-2</v>
      </c>
      <c r="M141">
        <v>1.4359E-2</v>
      </c>
      <c r="Q141">
        <v>1.8183999999999999E-2</v>
      </c>
      <c r="U141">
        <v>1.9341000000000001E-2</v>
      </c>
      <c r="Y141" s="31">
        <v>3.5908000000000002E-2</v>
      </c>
      <c r="Z141" s="31"/>
      <c r="AA141" s="31"/>
      <c r="AB141" s="31"/>
      <c r="AC141" s="31">
        <v>3.4533000000000001E-2</v>
      </c>
      <c r="AD141" s="31"/>
      <c r="AG141">
        <v>3.397E-2</v>
      </c>
    </row>
    <row r="142" spans="1:42">
      <c r="A142" t="s">
        <v>14</v>
      </c>
      <c r="B142">
        <f>AVERAGE(E142/E$89,I142/I$89,M142/M$89,Q142/Q$89,U142/U$89,Y142/Y$89,AC142/AC$89,AG142/AG$89)</f>
        <v>0.32878053331138768</v>
      </c>
      <c r="C142">
        <f>STDEV(E142/E$89,I142/I$89,M142/M$89,Q142/Q$89,U142/U$89,Y142/Y$89,AC142/AC$89,AG142/AG$89)/SQRT(D142)</f>
        <v>3.4786320878652112E-2</v>
      </c>
      <c r="D142">
        <v>8</v>
      </c>
      <c r="E142">
        <v>2.8306999999999999E-2</v>
      </c>
      <c r="I142">
        <v>1.5233999999999999E-2</v>
      </c>
      <c r="M142">
        <v>1.7524999999999999E-2</v>
      </c>
      <c r="Q142">
        <v>2.8465000000000001E-2</v>
      </c>
      <c r="R142">
        <v>2.9638999999999999E-2</v>
      </c>
      <c r="U142">
        <v>2.3153E-2</v>
      </c>
      <c r="V142">
        <v>2.2901999999999999E-2</v>
      </c>
      <c r="Y142" s="31">
        <v>3.0224000000000001E-2</v>
      </c>
      <c r="Z142" s="31"/>
      <c r="AA142" s="31"/>
      <c r="AB142" s="31"/>
      <c r="AC142" s="31">
        <v>3.3596000000000001E-2</v>
      </c>
      <c r="AD142" s="31"/>
      <c r="AG142">
        <v>3.0318000000000001E-2</v>
      </c>
    </row>
    <row r="143" spans="1:42">
      <c r="A143" t="s">
        <v>56</v>
      </c>
      <c r="B143">
        <f>AVERAGE(E143/E$89,I143/I$89,M143/M$89,Q143/Q$89,U143/U$89,Y143/Y$89,AC143/AC$89,AG143/AG$89)</f>
        <v>0.26827033781304233</v>
      </c>
      <c r="C143">
        <f>STDEV(E143/E$89,I143/I$89,M143/M$89,Q143/Q$89,U143/U$89,Y143/Y$89,AC143/AC$89,AG143/AG$89)/SQRT(D143)</f>
        <v>1.5708484373475544E-2</v>
      </c>
      <c r="D143">
        <v>8</v>
      </c>
      <c r="E143">
        <v>2.0136000000000001E-2</v>
      </c>
      <c r="I143">
        <v>2.0424000000000001E-2</v>
      </c>
      <c r="M143">
        <v>1.8142999999999999E-2</v>
      </c>
      <c r="Q143">
        <v>1.9446999999999999E-2</v>
      </c>
      <c r="U143">
        <v>1.8317E-2</v>
      </c>
      <c r="Y143" s="31">
        <v>2.9818000000000001E-2</v>
      </c>
      <c r="Z143" s="31"/>
      <c r="AA143" s="31"/>
      <c r="AB143" s="31"/>
      <c r="AC143" s="31">
        <v>2.4004000000000001E-2</v>
      </c>
      <c r="AD143" s="31"/>
      <c r="AG143">
        <v>2.0742E-2</v>
      </c>
    </row>
    <row r="144" spans="1:42">
      <c r="A144" t="s">
        <v>57</v>
      </c>
      <c r="B144">
        <f>AVERAGE(Y144/Y$89,AC144/AC$89,AG144/AG$89)</f>
        <v>0.35484260990261829</v>
      </c>
      <c r="C144">
        <f>STDEV(Y144/Y$89,AC144/AC$89,AG144/AG$89)/SQRT(D144)</f>
        <v>2.0251822414779699E-2</v>
      </c>
      <c r="D144">
        <v>3</v>
      </c>
      <c r="Y144" s="31">
        <v>2.8145E-2</v>
      </c>
      <c r="Z144" s="31"/>
      <c r="AA144" s="31"/>
      <c r="AB144" s="31"/>
      <c r="AC144" s="31">
        <v>3.0498000000000001E-2</v>
      </c>
      <c r="AD144" s="31"/>
      <c r="AG144">
        <v>2.4577999999999999E-2</v>
      </c>
    </row>
    <row r="145" spans="1:42">
      <c r="A145" t="s">
        <v>15</v>
      </c>
      <c r="B145">
        <f>AVERAGE(E145/E$89,I145/I$89,M145/M$89,Q145/Q$89,U145/U$89,Y145/Y$89,AC145/AC$89,AG145/AG$89,AL145/AL$89,AP145/AP$89)</f>
        <v>0.246019393925135</v>
      </c>
      <c r="C145">
        <f>STDEV(E145/E$89,I145/I$89,M145/M$89,Q145/Q$89,U145/U$89,Y145/Y$89,AC145/AC$89,AG145/AG$89,AL145/AL$89,AP145/AP$89)/SQRT(D145)</f>
        <v>2.4340594541629412E-2</v>
      </c>
      <c r="D145">
        <v>10</v>
      </c>
      <c r="E145">
        <v>2.3168999999999999E-2</v>
      </c>
      <c r="I145">
        <v>2.3015000000000001E-2</v>
      </c>
      <c r="M145">
        <v>1.9442000000000001E-2</v>
      </c>
      <c r="Q145">
        <v>8.1550000000000008E-3</v>
      </c>
      <c r="U145">
        <v>2.6744E-2</v>
      </c>
      <c r="Y145" s="31">
        <v>3.1919000000000003E-2</v>
      </c>
      <c r="Z145" s="31"/>
      <c r="AA145" s="31"/>
      <c r="AB145" s="31"/>
      <c r="AC145" s="31">
        <v>1.2460000000000001E-2</v>
      </c>
      <c r="AD145" s="31"/>
      <c r="AG145">
        <v>1.8540000000000001E-2</v>
      </c>
      <c r="AL145">
        <v>2.9090999999999999E-2</v>
      </c>
      <c r="AP145">
        <v>2.7647000000000001E-2</v>
      </c>
    </row>
    <row r="146" spans="1:42">
      <c r="A146" t="s">
        <v>22</v>
      </c>
      <c r="B146">
        <f>AVERAGE(Y146/Y$89,AG146/AG$89,AL146/AL$89,AP146/AP$89)</f>
        <v>0.36591818990008612</v>
      </c>
      <c r="C146">
        <f>STDEV(Y146/Y$89,AG146/AG$89,AL146/AL$89,AP146/AP$89)/SQRT(D146)</f>
        <v>4.3642275512271317E-2</v>
      </c>
      <c r="D146">
        <v>4</v>
      </c>
      <c r="Y146" s="31">
        <v>3.3381000000000001E-2</v>
      </c>
      <c r="Z146" s="31"/>
      <c r="AA146" s="31"/>
      <c r="AB146" s="31"/>
      <c r="AC146" s="31"/>
      <c r="AD146" s="31"/>
      <c r="AG146">
        <v>3.039E-2</v>
      </c>
      <c r="AL146">
        <v>3.6107E-2</v>
      </c>
      <c r="AP146">
        <v>4.7015000000000001E-2</v>
      </c>
    </row>
    <row r="147" spans="1:42">
      <c r="A147" t="s">
        <v>59</v>
      </c>
      <c r="B147" t="s">
        <v>30</v>
      </c>
      <c r="C147" t="s">
        <v>30</v>
      </c>
      <c r="D147">
        <v>0</v>
      </c>
      <c r="Y147" s="31"/>
      <c r="Z147" s="31"/>
      <c r="AA147" s="31"/>
      <c r="AB147" s="31"/>
      <c r="AC147" s="31"/>
      <c r="AD147" s="31"/>
    </row>
    <row r="148" spans="1:42">
      <c r="A148" t="s">
        <v>58</v>
      </c>
      <c r="B148" t="s">
        <v>30</v>
      </c>
      <c r="C148" t="s">
        <v>30</v>
      </c>
      <c r="D148">
        <v>0</v>
      </c>
    </row>
  </sheetData>
  <pageMargins left="0.7" right="0.7" top="0.75" bottom="0.75" header="0.3" footer="0.3"/>
  <pageSetup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S148"/>
  <sheetViews>
    <sheetView topLeftCell="A76" zoomScale="83" workbookViewId="0">
      <pane xSplit="1" topLeftCell="P1" activePane="topRight" state="frozen"/>
      <selection pane="topRight" activeCell="AA90" sqref="AA90"/>
    </sheetView>
  </sheetViews>
  <sheetFormatPr baseColWidth="10" defaultRowHeight="16"/>
  <cols>
    <col min="1" max="1" width="17.6640625" bestFit="1" customWidth="1"/>
    <col min="5" max="5" width="15.33203125" customWidth="1"/>
    <col min="9" max="9" width="17.5" customWidth="1"/>
    <col min="13" max="13" width="19.33203125" customWidth="1"/>
    <col min="17" max="17" width="21.33203125" customWidth="1"/>
    <col min="18" max="18" width="18.83203125" customWidth="1"/>
    <col min="19" max="19" width="19" customWidth="1"/>
    <col min="27" max="27" width="15.5" customWidth="1"/>
    <col min="28" max="28" width="12.6640625" customWidth="1"/>
    <col min="29" max="29" width="13.5" customWidth="1"/>
    <col min="31" max="31" width="19.6640625" customWidth="1"/>
    <col min="35" max="35" width="18.1640625" customWidth="1"/>
    <col min="38" max="38" width="21.6640625" bestFit="1" customWidth="1"/>
    <col min="39" max="39" width="19.83203125" bestFit="1" customWidth="1"/>
    <col min="41" max="41" width="20.5" customWidth="1"/>
    <col min="44" max="44" width="23.1640625" customWidth="1"/>
  </cols>
  <sheetData>
    <row r="1" spans="1:45">
      <c r="A1" s="1" t="s">
        <v>32</v>
      </c>
      <c r="E1" s="74">
        <v>42559</v>
      </c>
      <c r="I1" s="74">
        <v>42559</v>
      </c>
      <c r="M1" s="74">
        <v>42612</v>
      </c>
      <c r="Q1" s="74">
        <v>42853</v>
      </c>
      <c r="R1" s="74">
        <v>42853</v>
      </c>
      <c r="AA1" s="2"/>
      <c r="AB1" s="2"/>
      <c r="AC1" s="2"/>
      <c r="AL1" s="13"/>
      <c r="AM1" s="13"/>
      <c r="AO1" s="13"/>
      <c r="AR1" s="13"/>
    </row>
    <row r="2" spans="1:45">
      <c r="A2" s="1" t="s">
        <v>33</v>
      </c>
      <c r="E2" s="75" t="s">
        <v>39</v>
      </c>
      <c r="I2" s="75" t="s">
        <v>39</v>
      </c>
      <c r="M2" s="75" t="s">
        <v>39</v>
      </c>
      <c r="Q2" s="75" t="s">
        <v>39</v>
      </c>
      <c r="R2" s="75" t="s">
        <v>39</v>
      </c>
      <c r="AA2" s="2" t="s">
        <v>113</v>
      </c>
      <c r="AB2" s="2" t="s">
        <v>113</v>
      </c>
      <c r="AC2" s="2" t="s">
        <v>113</v>
      </c>
      <c r="AL2" s="14" t="s">
        <v>132</v>
      </c>
      <c r="AM2" s="14" t="s">
        <v>132</v>
      </c>
      <c r="AO2" s="14" t="s">
        <v>132</v>
      </c>
      <c r="AR2" s="14" t="s">
        <v>132</v>
      </c>
    </row>
    <row r="3" spans="1:45">
      <c r="A3" s="1" t="s">
        <v>34</v>
      </c>
      <c r="E3" s="76" t="s">
        <v>73</v>
      </c>
      <c r="I3" s="76" t="s">
        <v>184</v>
      </c>
      <c r="M3" s="76" t="s">
        <v>75</v>
      </c>
      <c r="Q3" s="76" t="s">
        <v>190</v>
      </c>
      <c r="R3" s="76" t="s">
        <v>192</v>
      </c>
      <c r="AA3" s="2"/>
      <c r="AB3" s="2"/>
      <c r="AC3" s="2"/>
      <c r="AL3" s="28" t="s">
        <v>206</v>
      </c>
      <c r="AM3" s="28" t="s">
        <v>207</v>
      </c>
      <c r="AO3" s="28" t="s">
        <v>228</v>
      </c>
      <c r="AR3" s="28" t="s">
        <v>229</v>
      </c>
    </row>
    <row r="4" spans="1:45">
      <c r="A4" s="1" t="s">
        <v>35</v>
      </c>
      <c r="E4" s="75" t="s">
        <v>41</v>
      </c>
      <c r="I4" s="75" t="s">
        <v>41</v>
      </c>
      <c r="M4" s="75" t="s">
        <v>41</v>
      </c>
      <c r="Q4" s="75" t="s">
        <v>41</v>
      </c>
      <c r="R4" s="75" t="s">
        <v>41</v>
      </c>
      <c r="AA4" s="2" t="s">
        <v>41</v>
      </c>
      <c r="AB4" s="2" t="s">
        <v>41</v>
      </c>
      <c r="AC4" s="14" t="s">
        <v>41</v>
      </c>
      <c r="AL4" s="14" t="s">
        <v>41</v>
      </c>
      <c r="AM4" s="14" t="s">
        <v>41</v>
      </c>
      <c r="AO4" s="14" t="s">
        <v>41</v>
      </c>
      <c r="AR4" s="14" t="s">
        <v>41</v>
      </c>
    </row>
    <row r="5" spans="1:45" ht="32">
      <c r="A5" s="1" t="s">
        <v>36</v>
      </c>
      <c r="E5" s="77" t="s">
        <v>185</v>
      </c>
      <c r="I5" s="77" t="s">
        <v>185</v>
      </c>
      <c r="M5" s="77" t="s">
        <v>185</v>
      </c>
      <c r="Q5" s="77" t="s">
        <v>185</v>
      </c>
      <c r="R5" s="77" t="s">
        <v>185</v>
      </c>
      <c r="AA5" s="38" t="s">
        <v>185</v>
      </c>
      <c r="AB5" s="38" t="s">
        <v>185</v>
      </c>
      <c r="AC5" s="38" t="s">
        <v>185</v>
      </c>
      <c r="AL5" s="38" t="s">
        <v>185</v>
      </c>
      <c r="AM5" s="38" t="s">
        <v>185</v>
      </c>
      <c r="AO5" s="38" t="s">
        <v>185</v>
      </c>
      <c r="AR5" s="38" t="s">
        <v>185</v>
      </c>
    </row>
    <row r="6" spans="1:45">
      <c r="A6" s="1" t="s">
        <v>37</v>
      </c>
      <c r="E6" s="44">
        <v>100</v>
      </c>
      <c r="I6" s="44">
        <v>100</v>
      </c>
      <c r="M6" s="44">
        <v>100</v>
      </c>
      <c r="Q6" s="44">
        <v>100</v>
      </c>
      <c r="R6" s="44">
        <v>100</v>
      </c>
      <c r="AA6" s="2"/>
      <c r="AB6" s="2"/>
      <c r="AC6" s="2"/>
      <c r="AL6" s="2"/>
      <c r="AM6" s="2"/>
      <c r="AO6" s="2"/>
      <c r="AR6" s="2"/>
    </row>
    <row r="7" spans="1:45">
      <c r="A7" s="1" t="s">
        <v>38</v>
      </c>
      <c r="E7" s="44">
        <v>0.1</v>
      </c>
      <c r="I7" s="44">
        <v>0.1</v>
      </c>
      <c r="M7" s="78">
        <v>0.05</v>
      </c>
      <c r="Q7" s="44">
        <v>0.1</v>
      </c>
      <c r="R7" s="44">
        <v>0.1</v>
      </c>
      <c r="AA7" s="2"/>
      <c r="AB7" s="2"/>
      <c r="AC7" s="2"/>
      <c r="AL7" s="2"/>
      <c r="AM7" s="2"/>
      <c r="AO7" s="2"/>
      <c r="AR7" s="2"/>
    </row>
    <row r="8" spans="1:45" ht="17">
      <c r="A8" s="1" t="s">
        <v>43</v>
      </c>
      <c r="E8">
        <f>AVERAGE(0.182097949,0.183837019)</f>
        <v>0.18296748400000001</v>
      </c>
      <c r="I8">
        <f>AVERAGE(0.162929145,0.202314468)</f>
        <v>0.18262180649999998</v>
      </c>
      <c r="M8">
        <f>AVERAGE(0.084923728,0.094771736)</f>
        <v>8.9847732E-2</v>
      </c>
      <c r="Q8">
        <v>0.192488063559002</v>
      </c>
      <c r="R8" s="27">
        <v>0.18242513299999999</v>
      </c>
      <c r="AA8" s="35"/>
      <c r="AB8" s="35"/>
    </row>
    <row r="9" spans="1:45">
      <c r="A9" s="1" t="s">
        <v>53</v>
      </c>
      <c r="E9">
        <f>AVERAGE(E21:F21)</f>
        <v>0.189355</v>
      </c>
      <c r="I9">
        <f>AVERAGE(I21:J21)</f>
        <v>0.189805</v>
      </c>
      <c r="M9">
        <f>AVERAGE(M21:N21)</f>
        <v>9.2983999999999997E-2</v>
      </c>
      <c r="Q9">
        <f>Q21</f>
        <v>0.19925999999999999</v>
      </c>
      <c r="R9">
        <f>R21</f>
        <v>0.18881999999999999</v>
      </c>
      <c r="AA9">
        <v>0.31796130605844952</v>
      </c>
      <c r="AB9">
        <v>0.33888037787169573</v>
      </c>
      <c r="AC9">
        <v>0.32346169299999999</v>
      </c>
      <c r="AL9">
        <v>0.18779999999999999</v>
      </c>
      <c r="AM9">
        <v>0.18074000000000001</v>
      </c>
      <c r="AO9">
        <v>0.13700000000000001</v>
      </c>
      <c r="AR9">
        <v>0.192</v>
      </c>
    </row>
    <row r="10" spans="1:45">
      <c r="A10" s="1" t="s">
        <v>44</v>
      </c>
      <c r="E10" s="21">
        <f>E6*E7*(1-E8)/E8</f>
        <v>44.654519925518571</v>
      </c>
      <c r="I10" s="21">
        <f>I6*I7*(1-I8)/I8</f>
        <v>44.757973276318452</v>
      </c>
      <c r="M10" s="21">
        <f>M6*M7*(1-M8)/M8</f>
        <v>50.649707440584031</v>
      </c>
      <c r="Q10" s="21">
        <f>Q6*Q7*(1-Q8)/Q8</f>
        <v>41.951273315889374</v>
      </c>
      <c r="R10" s="21">
        <f>R6*R7*(1-R8)/R8</f>
        <v>44.817008136702313</v>
      </c>
    </row>
    <row r="11" spans="1:45">
      <c r="A11" s="1" t="s">
        <v>292</v>
      </c>
      <c r="C11" s="43">
        <f>AVERAGE(E11:R11)</f>
        <v>0.95836847940232661</v>
      </c>
      <c r="E11">
        <f>(1-E9)*E8/E9/(1-E8)</f>
        <v>0.9587127570466123</v>
      </c>
      <c r="I11">
        <f>(1-I9)*I8/I9/(1-I8)</f>
        <v>0.95369937328056098</v>
      </c>
      <c r="M11">
        <f>(1-M9)*M8/M9/(1-M8)</f>
        <v>0.96294123975484314</v>
      </c>
      <c r="Q11">
        <f>(1-Q9)*Q8/Q9/(1-Q8)</f>
        <v>0.95791340442662953</v>
      </c>
      <c r="R11">
        <f>(1-R9)*R8/R9/(1-R8)</f>
        <v>0.95857562250298756</v>
      </c>
    </row>
    <row r="12" spans="1:45">
      <c r="A12" s="1" t="s">
        <v>33</v>
      </c>
      <c r="E12" t="s">
        <v>39</v>
      </c>
      <c r="I12" t="s">
        <v>39</v>
      </c>
      <c r="M12" t="s">
        <v>39</v>
      </c>
      <c r="Q12" t="s">
        <v>39</v>
      </c>
      <c r="R12" t="s">
        <v>39</v>
      </c>
      <c r="AL12" t="s">
        <v>39</v>
      </c>
      <c r="AM12" t="s">
        <v>39</v>
      </c>
      <c r="AP12" t="s">
        <v>39</v>
      </c>
      <c r="AS12" t="s">
        <v>39</v>
      </c>
    </row>
    <row r="13" spans="1:45">
      <c r="A13" s="1" t="s">
        <v>45</v>
      </c>
      <c r="E13" t="s">
        <v>47</v>
      </c>
      <c r="I13" t="s">
        <v>47</v>
      </c>
      <c r="M13" t="s">
        <v>47</v>
      </c>
      <c r="Q13" t="s">
        <v>47</v>
      </c>
      <c r="R13" t="s">
        <v>47</v>
      </c>
      <c r="AL13" t="s">
        <v>47</v>
      </c>
      <c r="AM13" t="s">
        <v>47</v>
      </c>
      <c r="AP13" t="s">
        <v>85</v>
      </c>
      <c r="AS13" t="s">
        <v>85</v>
      </c>
    </row>
    <row r="14" spans="1:45" ht="34">
      <c r="A14" s="12" t="s">
        <v>31</v>
      </c>
      <c r="E14" s="11" t="s">
        <v>186</v>
      </c>
      <c r="I14" s="11" t="s">
        <v>186</v>
      </c>
      <c r="M14" s="11" t="s">
        <v>187</v>
      </c>
      <c r="Q14" s="11" t="s">
        <v>191</v>
      </c>
      <c r="R14" s="11" t="s">
        <v>191</v>
      </c>
      <c r="AL14" t="s">
        <v>217</v>
      </c>
      <c r="AM14" t="s">
        <v>217</v>
      </c>
      <c r="AP14" t="s">
        <v>279</v>
      </c>
      <c r="AS14" t="s">
        <v>279</v>
      </c>
    </row>
    <row r="16" spans="1:45">
      <c r="A16" s="1" t="s">
        <v>50</v>
      </c>
      <c r="E16" t="s">
        <v>177</v>
      </c>
      <c r="I16" t="s">
        <v>177</v>
      </c>
      <c r="M16" t="s">
        <v>177</v>
      </c>
      <c r="Q16" t="s">
        <v>193</v>
      </c>
      <c r="R16" t="s">
        <v>193</v>
      </c>
    </row>
    <row r="17" spans="1:45">
      <c r="B17" s="1" t="s">
        <v>5</v>
      </c>
      <c r="C17" s="1" t="s">
        <v>6</v>
      </c>
      <c r="D17" s="1" t="s">
        <v>55</v>
      </c>
    </row>
    <row r="18" spans="1:45">
      <c r="A18" s="1" t="s">
        <v>0</v>
      </c>
    </row>
    <row r="19" spans="1:45">
      <c r="A19" t="s">
        <v>60</v>
      </c>
      <c r="B19">
        <f>AVERAGE(AVERAGE(E19/E$9,F19/E$9),AVERAGE(I19/I$9,J19/I$9),AVERAGE(M19/M$9,N19/M$9),Q19/Q$9,R19/R$9)</f>
        <v>6.4880126086291984E-2</v>
      </c>
      <c r="C19">
        <f>STDEV(AVERAGE(E19/E$9,F19/E$9),AVERAGE(I19/I$9,J19/I$9),AVERAGE(M19/M$9,N19/M$9),Q19/Q$9,R19/R$9)/SQRT(D19)</f>
        <v>7.7764139130578839E-3</v>
      </c>
      <c r="D19">
        <v>5</v>
      </c>
      <c r="E19">
        <v>1.1453E-2</v>
      </c>
      <c r="F19">
        <v>1.3972E-2</v>
      </c>
      <c r="I19">
        <v>8.7697000000000001E-3</v>
      </c>
      <c r="J19">
        <v>9.5543999999999994E-3</v>
      </c>
      <c r="M19">
        <v>4.5367999999999997E-3</v>
      </c>
      <c r="N19">
        <v>4.8688000000000004E-3</v>
      </c>
      <c r="Q19">
        <v>1.8277000000000002E-2</v>
      </c>
      <c r="R19">
        <v>1.2593E-2</v>
      </c>
    </row>
    <row r="20" spans="1:45">
      <c r="A20" t="s">
        <v>61</v>
      </c>
      <c r="B20">
        <f>AVERAGE(AVERAGE(E20/E$9,F20/E$9),AVERAGE(I20/I$9,J20/I$9),AVERAGE(M20/M$9,N20/M$9),Q20/Q$9,R20/R$9)</f>
        <v>5.5569964313547951E-2</v>
      </c>
      <c r="C20">
        <f>STDEV(AVERAGE(E20/E$9,F20/E$9),AVERAGE(I20/I$9,J20/I$9),AVERAGE(M20/M$9,N20/M$9),Q20/Q$9,R20/R$9)/SQRT(D20)</f>
        <v>5.4639647271454081E-3</v>
      </c>
      <c r="D20">
        <v>5</v>
      </c>
      <c r="E20">
        <v>8.9104000000000006E-3</v>
      </c>
      <c r="F20">
        <v>1.0822999999999999E-2</v>
      </c>
      <c r="I20">
        <v>7.5062000000000002E-3</v>
      </c>
      <c r="J20">
        <v>9.6561000000000008E-3</v>
      </c>
      <c r="M20">
        <v>3.9227999999999997E-3</v>
      </c>
      <c r="N20">
        <v>4.7216000000000003E-3</v>
      </c>
      <c r="Q20">
        <v>1.4978999999999999E-2</v>
      </c>
      <c r="R20">
        <v>1.1117E-2</v>
      </c>
    </row>
    <row r="21" spans="1:45">
      <c r="A21" t="s">
        <v>62</v>
      </c>
      <c r="B21">
        <f t="shared" ref="B21:B29" si="0">AVERAGE(AVERAGE(E21/E$9,F21/E$9),AVERAGE(I21/I$9,J21/I$9),AVERAGE(M21/M$9,N21/M$9),Q21/Q$9,R21/R$9)</f>
        <v>1</v>
      </c>
      <c r="C21">
        <f t="shared" ref="C21:C29" si="1">STDEV(AVERAGE(E21/E$9,F21/E$9),AVERAGE(I21/I$9,J21/I$9),AVERAGE(M21/M$9,N21/M$9),Q21/Q$9,R21/R$9)/SQRT(D21)</f>
        <v>0</v>
      </c>
      <c r="D21">
        <v>5</v>
      </c>
      <c r="E21">
        <v>0.18844</v>
      </c>
      <c r="F21">
        <v>0.19026999999999999</v>
      </c>
      <c r="I21">
        <v>0.17041000000000001</v>
      </c>
      <c r="J21">
        <v>0.2092</v>
      </c>
      <c r="M21">
        <v>8.7795999999999999E-2</v>
      </c>
      <c r="N21">
        <v>9.8171999999999995E-2</v>
      </c>
      <c r="Q21">
        <v>0.19925999999999999</v>
      </c>
      <c r="R21">
        <v>0.18881999999999999</v>
      </c>
    </row>
    <row r="22" spans="1:45">
      <c r="A22" t="s">
        <v>63</v>
      </c>
      <c r="B22">
        <f t="shared" si="0"/>
        <v>3.726890034842617E-2</v>
      </c>
      <c r="C22">
        <f t="shared" si="1"/>
        <v>4.5030804668286847E-3</v>
      </c>
      <c r="D22">
        <v>5</v>
      </c>
      <c r="E22">
        <v>8.1904000000000005E-3</v>
      </c>
      <c r="F22">
        <v>8.2851999999999995E-3</v>
      </c>
      <c r="I22">
        <v>8.8749999999999992E-3</v>
      </c>
      <c r="J22">
        <v>7.0520000000000001E-3</v>
      </c>
      <c r="M22">
        <v>4.4187999999999996E-3</v>
      </c>
      <c r="N22">
        <v>3.7369E-3</v>
      </c>
      <c r="Q22">
        <v>7.3959999999999998E-3</v>
      </c>
      <c r="R22">
        <v>3.7596000000000001E-3</v>
      </c>
    </row>
    <row r="23" spans="1:45">
      <c r="A23" t="s">
        <v>64</v>
      </c>
      <c r="B23">
        <f t="shared" si="0"/>
        <v>1.8664053213492495E-3</v>
      </c>
      <c r="C23">
        <f t="shared" si="1"/>
        <v>3.943306961426126E-4</v>
      </c>
      <c r="D23">
        <v>5</v>
      </c>
      <c r="E23">
        <v>4.6921000000000002E-4</v>
      </c>
      <c r="F23">
        <v>3.3359999999999998E-4</v>
      </c>
      <c r="I23">
        <v>4.3412000000000002E-4</v>
      </c>
      <c r="J23">
        <v>2.5516999999999998E-4</v>
      </c>
      <c r="M23">
        <v>1.9185E-4</v>
      </c>
      <c r="N23">
        <v>1.8348E-4</v>
      </c>
      <c r="Q23" s="15">
        <v>9.4269000000000002E-5</v>
      </c>
      <c r="R23">
        <v>5.4852999999999998E-4</v>
      </c>
    </row>
    <row r="24" spans="1:45">
      <c r="A24" t="s">
        <v>65</v>
      </c>
      <c r="B24">
        <f t="shared" si="0"/>
        <v>0</v>
      </c>
      <c r="C24">
        <f t="shared" si="1"/>
        <v>0</v>
      </c>
      <c r="D24">
        <v>5</v>
      </c>
      <c r="E24">
        <v>0</v>
      </c>
      <c r="F24">
        <v>0</v>
      </c>
      <c r="I24">
        <v>0</v>
      </c>
      <c r="J24">
        <v>0</v>
      </c>
      <c r="M24">
        <v>0</v>
      </c>
      <c r="N24">
        <v>0</v>
      </c>
      <c r="Q24">
        <v>0</v>
      </c>
      <c r="R24">
        <v>0</v>
      </c>
    </row>
    <row r="25" spans="1:45">
      <c r="A25" t="s">
        <v>66</v>
      </c>
      <c r="B25">
        <f t="shared" si="0"/>
        <v>2.4124686566525397E-4</v>
      </c>
      <c r="C25">
        <f t="shared" si="1"/>
        <v>1.7765491612794075E-4</v>
      </c>
      <c r="D25">
        <v>5</v>
      </c>
      <c r="E25" s="15">
        <v>6.1964000000000005E-5</v>
      </c>
      <c r="F25">
        <v>0</v>
      </c>
      <c r="I25" s="15">
        <v>3.8654E-5</v>
      </c>
      <c r="J25">
        <v>0</v>
      </c>
      <c r="M25">
        <v>0</v>
      </c>
      <c r="N25">
        <v>0</v>
      </c>
      <c r="Q25">
        <v>0</v>
      </c>
      <c r="R25">
        <v>1.7763999999999999E-4</v>
      </c>
    </row>
    <row r="26" spans="1:45">
      <c r="A26" t="s">
        <v>67</v>
      </c>
      <c r="B26">
        <f t="shared" si="0"/>
        <v>0</v>
      </c>
      <c r="C26">
        <f t="shared" si="1"/>
        <v>0</v>
      </c>
      <c r="D26">
        <v>5</v>
      </c>
      <c r="E26">
        <v>0</v>
      </c>
      <c r="F26">
        <v>0</v>
      </c>
      <c r="I26">
        <v>0</v>
      </c>
      <c r="J26">
        <v>0</v>
      </c>
      <c r="M26">
        <v>0</v>
      </c>
      <c r="N26">
        <v>0</v>
      </c>
      <c r="Q26">
        <v>0</v>
      </c>
      <c r="R26">
        <v>0</v>
      </c>
    </row>
    <row r="27" spans="1:45">
      <c r="A27" t="s">
        <v>71</v>
      </c>
      <c r="B27">
        <f t="shared" si="0"/>
        <v>7.3851225855086026E-3</v>
      </c>
      <c r="C27">
        <f t="shared" si="1"/>
        <v>1.872720008466723E-3</v>
      </c>
      <c r="D27">
        <v>5</v>
      </c>
      <c r="E27">
        <v>6.288E-4</v>
      </c>
      <c r="F27">
        <v>2.1737000000000002E-3</v>
      </c>
      <c r="I27">
        <v>1.7733E-3</v>
      </c>
      <c r="J27">
        <v>3.4402999999999999E-3</v>
      </c>
      <c r="M27">
        <v>2.9420999999999999E-4</v>
      </c>
      <c r="N27">
        <v>1.2976999999999999E-3</v>
      </c>
      <c r="Q27">
        <v>7.4611999999999996E-4</v>
      </c>
      <c r="R27">
        <v>6.5837999999999997E-4</v>
      </c>
    </row>
    <row r="28" spans="1:45">
      <c r="A28" t="s">
        <v>72</v>
      </c>
      <c r="B28">
        <f t="shared" si="0"/>
        <v>3.4859272670874596E-3</v>
      </c>
      <c r="C28">
        <f t="shared" si="1"/>
        <v>1.5068568580833611E-3</v>
      </c>
      <c r="D28">
        <v>5</v>
      </c>
      <c r="E28">
        <v>1.0707E-3</v>
      </c>
      <c r="F28">
        <v>4.4469000000000003E-4</v>
      </c>
      <c r="I28">
        <v>8.7089000000000003E-4</v>
      </c>
      <c r="J28">
        <v>1.6868E-3</v>
      </c>
      <c r="M28">
        <v>2.1562E-4</v>
      </c>
      <c r="N28">
        <v>1.0286E-3</v>
      </c>
      <c r="Q28">
        <v>0</v>
      </c>
      <c r="R28">
        <v>0</v>
      </c>
    </row>
    <row r="29" spans="1:45">
      <c r="A29" t="s">
        <v>69</v>
      </c>
      <c r="B29">
        <f t="shared" si="0"/>
        <v>8.9601782423284565E-2</v>
      </c>
      <c r="C29">
        <f t="shared" si="1"/>
        <v>1.5289855778027096E-3</v>
      </c>
      <c r="D29">
        <v>5</v>
      </c>
      <c r="E29">
        <v>1.5516E-2</v>
      </c>
      <c r="F29">
        <v>1.7683999999999998E-2</v>
      </c>
      <c r="I29">
        <v>1.7989999999999999E-2</v>
      </c>
      <c r="J29">
        <v>1.5494000000000001E-2</v>
      </c>
      <c r="M29">
        <v>7.3356000000000003E-3</v>
      </c>
      <c r="N29">
        <v>8.9277000000000002E-3</v>
      </c>
      <c r="Q29">
        <v>1.7748E-2</v>
      </c>
      <c r="R29">
        <v>1.8054000000000001E-2</v>
      </c>
    </row>
    <row r="30" spans="1:45">
      <c r="A30" t="s">
        <v>68</v>
      </c>
      <c r="B30">
        <f>AVERAGE(AA30/AA9,AB30/AB9,AC30/AC9)</f>
        <v>3.5826049826518845E-2</v>
      </c>
      <c r="C30">
        <f>STDEV(AA30/AA9,AB30/AB9,AC30/AC9)/SQRT(D30)</f>
        <v>9.8035528515198755E-3</v>
      </c>
      <c r="D30">
        <v>3</v>
      </c>
      <c r="AA30">
        <v>1.6660182983455459E-2</v>
      </c>
      <c r="AB30">
        <v>1.24088566067268E-2</v>
      </c>
      <c r="AC30">
        <v>5.9724107839596863E-3</v>
      </c>
    </row>
    <row r="31" spans="1:45">
      <c r="A31" t="s">
        <v>70</v>
      </c>
      <c r="B31">
        <f>AVERAGE(AL31/AL9,AM31/AM9,AP31/AO9,AS31/AR9)</f>
        <v>1.721763094286499E-3</v>
      </c>
      <c r="C31">
        <f>STDEV(AL31/AL9,AM31/AM9,AP31/AO9,AS31/AR9)/SQRT(D31)</f>
        <v>1.2701449774768262E-3</v>
      </c>
      <c r="D31">
        <v>4</v>
      </c>
      <c r="AL31">
        <v>1.0104000000000001E-3</v>
      </c>
      <c r="AM31">
        <v>2.7234999999999998E-4</v>
      </c>
      <c r="AP31">
        <v>0</v>
      </c>
      <c r="AS31">
        <v>0</v>
      </c>
    </row>
    <row r="32" spans="1:45">
      <c r="A32" t="s">
        <v>23</v>
      </c>
      <c r="B32">
        <f t="shared" ref="B32:B33" si="2">AVERAGE(AVERAGE(E32/E$9,F32/E$9),AVERAGE(I32/I$9,J32/I$9),AVERAGE(M32/M$9,N32/M$9),Q32/Q$9,R32/R$9)</f>
        <v>0</v>
      </c>
      <c r="C32">
        <f t="shared" ref="C32:C33" si="3">STDEV(AVERAGE(E32/E$9,F32/E$9),AVERAGE(I32/I$9,J32/I$9),AVERAGE(M32/M$9,N32/M$9),Q32/Q$9,R32/R$9)/SQRT(D32)</f>
        <v>0</v>
      </c>
      <c r="D32">
        <v>5</v>
      </c>
      <c r="E32">
        <v>0</v>
      </c>
      <c r="F32">
        <v>0</v>
      </c>
      <c r="I32">
        <v>0</v>
      </c>
      <c r="J32">
        <v>0</v>
      </c>
      <c r="M32">
        <v>0</v>
      </c>
      <c r="N32">
        <v>0</v>
      </c>
      <c r="Q32">
        <v>0</v>
      </c>
      <c r="R32">
        <v>0</v>
      </c>
    </row>
    <row r="33" spans="1:18">
      <c r="A33" t="s">
        <v>24</v>
      </c>
      <c r="B33">
        <f t="shared" si="2"/>
        <v>0</v>
      </c>
      <c r="C33">
        <f t="shared" si="3"/>
        <v>0</v>
      </c>
      <c r="D33">
        <v>5</v>
      </c>
      <c r="E33">
        <v>0</v>
      </c>
      <c r="F33">
        <v>0</v>
      </c>
      <c r="I33">
        <v>0</v>
      </c>
      <c r="J33">
        <v>0</v>
      </c>
      <c r="M33">
        <v>0</v>
      </c>
      <c r="N33">
        <v>0</v>
      </c>
      <c r="Q33">
        <v>0</v>
      </c>
      <c r="R33">
        <v>0</v>
      </c>
    </row>
    <row r="36" spans="1:18">
      <c r="A36" s="1" t="s">
        <v>16</v>
      </c>
    </row>
    <row r="37" spans="1:18">
      <c r="A37" t="s">
        <v>7</v>
      </c>
      <c r="B37">
        <f>AVERAGE(AVERAGE(E37/E$9,F37/E$9),AVERAGE(I37/I$9,J37/I$9),AVERAGE(M37/M$9,N37/M$9))</f>
        <v>6.6781420192267182E-2</v>
      </c>
      <c r="C37">
        <f>STDEV(AVERAGE(E37/E$9,F37/E$9),AVERAGE(I37/I$9,J37/I$9),AVERAGE(M37/M$9,N37/M$9))/SQRT(D37)</f>
        <v>5.0527458665844422E-3</v>
      </c>
      <c r="D37">
        <v>3</v>
      </c>
      <c r="E37">
        <v>1.4585000000000001E-2</v>
      </c>
      <c r="F37">
        <v>1.4276E-2</v>
      </c>
      <c r="I37">
        <v>1.1402000000000001E-2</v>
      </c>
      <c r="J37">
        <v>1.0963000000000001E-2</v>
      </c>
      <c r="M37">
        <v>5.8547E-3</v>
      </c>
      <c r="N37">
        <v>6.2741000000000003E-3</v>
      </c>
    </row>
    <row r="38" spans="1:18">
      <c r="A38" t="s">
        <v>8</v>
      </c>
      <c r="B38">
        <f>AVERAGE(AVERAGE(E38/E$9,F38/E$9),AVERAGE(I38/I$9,J38/I$9),AVERAGE(M38/M$9,N38/M$9))</f>
        <v>8.5584097282946622E-2</v>
      </c>
      <c r="C38">
        <f>STDEV(AVERAGE(E38/E$9,F38/E$9),AVERAGE(I38/I$9,J38/I$9),AVERAGE(M38/M$9,N38/M$9))/SQRT(D38)</f>
        <v>8.3740120734872251E-3</v>
      </c>
      <c r="D38">
        <v>3</v>
      </c>
      <c r="E38">
        <v>1.0064999999999999E-2</v>
      </c>
      <c r="F38">
        <v>1.7453E-2</v>
      </c>
      <c r="I38">
        <v>1.9946999999999999E-2</v>
      </c>
      <c r="J38">
        <v>1.8497E-2</v>
      </c>
      <c r="M38">
        <v>9.5019000000000006E-3</v>
      </c>
      <c r="N38">
        <v>5.8995000000000002E-3</v>
      </c>
    </row>
    <row r="39" spans="1:18">
      <c r="A39" t="s">
        <v>9</v>
      </c>
      <c r="B39">
        <f t="shared" ref="B39:B41" si="4">AVERAGE(AVERAGE(E39/E$9,F39/E$9),AVERAGE(I39/I$9,J39/I$9),AVERAGE(M39/M$9,N39/M$9))</f>
        <v>0.13859343917087832</v>
      </c>
      <c r="C39">
        <f t="shared" ref="C39:C41" si="5">STDEV(AVERAGE(E39/E$9,F39/E$9),AVERAGE(I39/I$9,J39/I$9),AVERAGE(M39/M$9,N39/M$9))/SQRT(D39)</f>
        <v>2.9133276364332284E-3</v>
      </c>
      <c r="D39">
        <v>3</v>
      </c>
      <c r="E39">
        <v>2.6407E-2</v>
      </c>
      <c r="F39">
        <v>2.6273999999999999E-2</v>
      </c>
      <c r="I39">
        <v>2.5174999999999999E-2</v>
      </c>
      <c r="J39">
        <v>2.5430999999999999E-2</v>
      </c>
      <c r="M39">
        <v>1.3148999999999999E-2</v>
      </c>
      <c r="N39">
        <v>1.3512E-2</v>
      </c>
    </row>
    <row r="40" spans="1:18">
      <c r="A40" t="s">
        <v>10</v>
      </c>
      <c r="B40">
        <f t="shared" si="4"/>
        <v>0.13842730059792874</v>
      </c>
      <c r="C40">
        <f t="shared" si="5"/>
        <v>5.3040966192273642E-3</v>
      </c>
      <c r="D40">
        <v>3</v>
      </c>
      <c r="E40">
        <v>2.5312999999999999E-2</v>
      </c>
      <c r="F40">
        <v>2.5607000000000001E-2</v>
      </c>
      <c r="I40">
        <v>2.9567E-2</v>
      </c>
      <c r="J40">
        <v>2.6969E-2</v>
      </c>
      <c r="M40">
        <v>1.2442E-2</v>
      </c>
      <c r="N40">
        <v>1.2086E-2</v>
      </c>
    </row>
    <row r="41" spans="1:18">
      <c r="A41" t="s">
        <v>11</v>
      </c>
      <c r="B41">
        <f t="shared" si="4"/>
        <v>0.29255104696414513</v>
      </c>
      <c r="C41">
        <f t="shared" si="5"/>
        <v>3.2456398875787489E-2</v>
      </c>
      <c r="D41">
        <v>3</v>
      </c>
      <c r="E41">
        <v>4.2174999999999997E-2</v>
      </c>
      <c r="F41">
        <v>4.4136000000000002E-2</v>
      </c>
      <c r="I41">
        <v>6.1657999999999998E-2</v>
      </c>
      <c r="J41">
        <v>6.361E-2</v>
      </c>
      <c r="M41">
        <v>2.98E-2</v>
      </c>
      <c r="N41">
        <v>2.9663999999999999E-2</v>
      </c>
    </row>
    <row r="42" spans="1:18">
      <c r="A42" t="s">
        <v>49</v>
      </c>
      <c r="B42" t="s">
        <v>30</v>
      </c>
      <c r="C42" t="s">
        <v>30</v>
      </c>
      <c r="D42">
        <v>0</v>
      </c>
    </row>
    <row r="43" spans="1:18">
      <c r="A43" t="s">
        <v>12</v>
      </c>
      <c r="B43">
        <f>AVERAGE(AVERAGE(E43/E$9,F43/E$9),AVERAGE(I43/I$9,J43/I$9),AVERAGE(M43/M$9,N43/M$9))</f>
        <v>0.31676364182604139</v>
      </c>
      <c r="C43">
        <f>STDEV(AVERAGE(E43/E$9,F43/E$9),AVERAGE(I43/I$9,J43/I$9),AVERAGE(M43/M$9,N43/M$9))/SQRT(D43)</f>
        <v>8.0929278949639777E-2</v>
      </c>
      <c r="D43">
        <v>3</v>
      </c>
      <c r="E43">
        <v>3.2946999999999997E-2</v>
      </c>
      <c r="F43">
        <v>2.5974000000000001E-2</v>
      </c>
      <c r="I43">
        <v>7.6401999999999998E-2</v>
      </c>
      <c r="J43">
        <v>7.9303999999999999E-2</v>
      </c>
      <c r="M43">
        <v>3.4061000000000001E-2</v>
      </c>
      <c r="N43">
        <v>3.7449999999999997E-2</v>
      </c>
    </row>
    <row r="44" spans="1:18">
      <c r="A44" t="s">
        <v>13</v>
      </c>
      <c r="B44">
        <f>AVERAGE(AVERAGE(E44/E$9,F44/E$9),AVERAGE(I44/I$9,J44/I$9),AVERAGE(M44/M$9,N44/M$9))</f>
        <v>0.10768569759065223</v>
      </c>
      <c r="C44">
        <f>STDEV(AVERAGE(E44/E$9,F44/E$9),AVERAGE(I44/I$9,J44/I$9),AVERAGE(M44/M$9,N44/M$9))/SQRT(D44)</f>
        <v>4.0766753287935446E-3</v>
      </c>
      <c r="D44">
        <v>3</v>
      </c>
      <c r="E44">
        <v>1.9325999999999999E-2</v>
      </c>
      <c r="F44">
        <v>1.8685E-2</v>
      </c>
      <c r="I44">
        <v>2.1663000000000002E-2</v>
      </c>
      <c r="J44">
        <v>1.9421000000000001E-2</v>
      </c>
      <c r="M44">
        <v>1.0489E-2</v>
      </c>
      <c r="N44">
        <v>1.0796999999999999E-2</v>
      </c>
    </row>
    <row r="45" spans="1:18">
      <c r="A45" t="s">
        <v>14</v>
      </c>
      <c r="B45">
        <f>AVERAGE(AVERAGE(E45/E$9,F45/E$9),AVERAGE(I45/I$9,J45/I$9),AVERAGE(M45/M$9,N45/M$9))</f>
        <v>2.9937789630663403E-2</v>
      </c>
      <c r="C45">
        <f>STDEV(AVERAGE(E45/E$9,F45/E$9),AVERAGE(I45/I$9,J45/I$9),AVERAGE(M45/M$9,N45/M$9))/SQRT(D45)</f>
        <v>3.4023044058712911E-3</v>
      </c>
      <c r="D45">
        <v>3</v>
      </c>
      <c r="E45">
        <v>4.8311999999999999E-3</v>
      </c>
      <c r="F45">
        <v>4.2152999999999999E-3</v>
      </c>
      <c r="I45">
        <v>5.9191000000000001E-3</v>
      </c>
      <c r="J45">
        <v>5.5700999999999997E-3</v>
      </c>
      <c r="M45">
        <v>3.2436000000000001E-3</v>
      </c>
      <c r="N45">
        <v>3.388E-3</v>
      </c>
    </row>
    <row r="46" spans="1:18">
      <c r="A46" t="s">
        <v>56</v>
      </c>
      <c r="B46">
        <f>AVERAGE(E46/E$9,I46/I$9,M46/M$9)</f>
        <v>0.13486246557615031</v>
      </c>
      <c r="C46">
        <f>STDEV(E46/E$9,I46/I$9,M46/M$9)/SQRT(D46)</f>
        <v>7.1252585025914751E-3</v>
      </c>
      <c r="D46">
        <v>3</v>
      </c>
      <c r="E46">
        <v>2.4676E-2</v>
      </c>
      <c r="I46">
        <v>2.3809E-2</v>
      </c>
      <c r="M46">
        <v>1.3839000000000001E-2</v>
      </c>
    </row>
    <row r="47" spans="1:18">
      <c r="A47" t="s">
        <v>57</v>
      </c>
      <c r="B47">
        <f>AVERAGE(F47/E$9,J47/I$9,N47/M$9)</f>
        <v>0.13709657465183142</v>
      </c>
      <c r="C47">
        <f>STDEV(F47/E$9,J47/I$9,N47/M$9)/SQRT(D47)</f>
        <v>5.8542028541576363E-3</v>
      </c>
      <c r="D47">
        <v>3</v>
      </c>
      <c r="F47">
        <v>2.5357999999999999E-2</v>
      </c>
      <c r="J47">
        <v>2.4471E-2</v>
      </c>
      <c r="N47">
        <v>1.3802999999999999E-2</v>
      </c>
    </row>
    <row r="48" spans="1:18">
      <c r="A48" t="s">
        <v>15</v>
      </c>
      <c r="B48">
        <f>AVERAGE(AVERAGE(E48/E$9,F48/E$9),AVERAGE(I48/I$9,J48/I$9),AVERAGE(M48/M$9,N48/M$9))</f>
        <v>0.29342297707200582</v>
      </c>
      <c r="C48">
        <f>STDEV(AVERAGE(E48/E$9,F48/E$9),AVERAGE(I48/I$9,J48/I$9),AVERAGE(M48/M$9,N48/M$9))/SQRT(D48)</f>
        <v>1.7737385017610862E-2</v>
      </c>
      <c r="D48">
        <v>3</v>
      </c>
      <c r="E48">
        <v>4.7946999999999997E-2</v>
      </c>
      <c r="F48">
        <v>5.0338000000000001E-2</v>
      </c>
      <c r="I48">
        <v>5.8761000000000001E-2</v>
      </c>
      <c r="J48">
        <v>5.5620000000000003E-2</v>
      </c>
      <c r="M48">
        <v>3.0918999999999999E-2</v>
      </c>
      <c r="N48">
        <v>2.8485E-2</v>
      </c>
    </row>
    <row r="49" spans="1:14">
      <c r="A49" t="s">
        <v>22</v>
      </c>
      <c r="B49">
        <f>AVERAGE(F49/E$9,J49/I$9,N49/M$9)</f>
        <v>8.7765127990702171E-2</v>
      </c>
      <c r="C49">
        <f>STDEV(F49/E$9,J49/I$9,N49/M$9)/SQRT(D49)</f>
        <v>1.4945924331989388E-2</v>
      </c>
      <c r="D49">
        <v>3</v>
      </c>
      <c r="F49">
        <v>1.9057000000000001E-2</v>
      </c>
      <c r="J49">
        <v>1.1002E-2</v>
      </c>
      <c r="N49">
        <v>9.7344000000000007E-3</v>
      </c>
    </row>
    <row r="50" spans="1:14">
      <c r="A50" t="s">
        <v>59</v>
      </c>
      <c r="B50" t="s">
        <v>30</v>
      </c>
      <c r="C50" t="s">
        <v>30</v>
      </c>
      <c r="D50">
        <v>0</v>
      </c>
    </row>
    <row r="51" spans="1:14">
      <c r="A51" t="s">
        <v>58</v>
      </c>
      <c r="B51" t="s">
        <v>30</v>
      </c>
      <c r="C51" t="s">
        <v>30</v>
      </c>
      <c r="D51">
        <v>0</v>
      </c>
    </row>
    <row r="53" spans="1:14">
      <c r="A53" s="1" t="s">
        <v>17</v>
      </c>
    </row>
    <row r="54" spans="1:14">
      <c r="A54" t="s">
        <v>7</v>
      </c>
      <c r="B54">
        <f>AVERAGE(AVERAGE(E54/E$9,F54/E$9),AVERAGE(I54/I$9,J54/I$9),AVERAGE(M54/M$9,N54/M$9))</f>
        <v>6.2177907760379868E-2</v>
      </c>
      <c r="C54">
        <f>STDEV(AVERAGE(E54/E$9,F54/E$9),AVERAGE(I54/I$9,J54/I$9),AVERAGE(M54/M$9,N54/M$9))/SQRT(D54)</f>
        <v>6.0840976273974657E-3</v>
      </c>
      <c r="D54">
        <v>3</v>
      </c>
      <c r="E54">
        <v>1.3651E-2</v>
      </c>
      <c r="F54">
        <v>1.4305E-2</v>
      </c>
      <c r="I54">
        <v>1.0406E-2</v>
      </c>
      <c r="J54">
        <v>9.8232000000000007E-3</v>
      </c>
      <c r="M54">
        <v>5.2453999999999999E-3</v>
      </c>
      <c r="N54">
        <v>5.8057999999999998E-3</v>
      </c>
    </row>
    <row r="55" spans="1:14">
      <c r="A55" t="s">
        <v>8</v>
      </c>
      <c r="B55">
        <f>AVERAGE(AVERAGE(E55/E$9,F55/E$9),AVERAGE(I55/I$9,J55/I$9),AVERAGE(M55/M$9,N55/M$9))</f>
        <v>8.2361951518963999E-2</v>
      </c>
      <c r="C55">
        <f>STDEV(AVERAGE(E55/E$9,F55/E$9),AVERAGE(I55/I$9,J55/I$9),AVERAGE(M55/M$9,N55/M$9))/SQRT(D55)</f>
        <v>7.0854432265742059E-3</v>
      </c>
      <c r="D55">
        <v>3</v>
      </c>
      <c r="E55">
        <v>9.7528000000000007E-3</v>
      </c>
      <c r="F55">
        <v>1.7281000000000001E-2</v>
      </c>
      <c r="I55">
        <v>1.8714000000000001E-2</v>
      </c>
      <c r="J55">
        <v>1.7580999999999999E-2</v>
      </c>
      <c r="M55">
        <v>9.7456999999999995E-3</v>
      </c>
      <c r="N55">
        <v>5.1485999999999997E-3</v>
      </c>
    </row>
    <row r="56" spans="1:14">
      <c r="A56" t="s">
        <v>9</v>
      </c>
      <c r="B56">
        <f t="shared" ref="B56:B58" si="6">AVERAGE(AVERAGE(E56/E$9,F56/E$9),AVERAGE(I56/I$9,J56/I$9),AVERAGE(M56/M$9,N56/M$9))</f>
        <v>0.15185820688323334</v>
      </c>
      <c r="C56">
        <f t="shared" ref="C56:C58" si="7">STDEV(AVERAGE(E56/E$9,F56/E$9),AVERAGE(I56/I$9,J56/I$9),AVERAGE(M56/M$9,N56/M$9))/SQRT(D56)</f>
        <v>4.5265581055071481E-3</v>
      </c>
      <c r="D56">
        <v>3</v>
      </c>
      <c r="E56">
        <v>2.8941999999999999E-2</v>
      </c>
      <c r="F56">
        <v>2.7382E-2</v>
      </c>
      <c r="I56">
        <v>2.7895E-2</v>
      </c>
      <c r="J56">
        <v>2.7553999999999999E-2</v>
      </c>
      <c r="M56">
        <v>1.4258E-2</v>
      </c>
      <c r="N56">
        <v>1.5642E-2</v>
      </c>
    </row>
    <row r="57" spans="1:14">
      <c r="A57" t="s">
        <v>10</v>
      </c>
      <c r="B57">
        <f t="shared" si="6"/>
        <v>0.16706628538441493</v>
      </c>
      <c r="C57">
        <f t="shared" si="7"/>
        <v>8.4558956051017063E-3</v>
      </c>
      <c r="D57">
        <v>3</v>
      </c>
      <c r="E57">
        <v>2.8840999999999999E-2</v>
      </c>
      <c r="F57">
        <v>2.8784000000000001E-2</v>
      </c>
      <c r="I57">
        <v>3.5432999999999999E-2</v>
      </c>
      <c r="J57">
        <v>3.3443000000000001E-2</v>
      </c>
      <c r="M57">
        <v>1.5466000000000001E-2</v>
      </c>
      <c r="N57">
        <v>1.5702000000000001E-2</v>
      </c>
    </row>
    <row r="58" spans="1:14">
      <c r="A58" t="s">
        <v>11</v>
      </c>
      <c r="B58">
        <f t="shared" si="6"/>
        <v>0.2762157564262831</v>
      </c>
      <c r="C58">
        <f t="shared" si="7"/>
        <v>2.5143820440247509E-2</v>
      </c>
      <c r="D58">
        <v>3</v>
      </c>
      <c r="E58">
        <v>4.2992000000000002E-2</v>
      </c>
      <c r="F58">
        <v>4.3479999999999998E-2</v>
      </c>
      <c r="I58">
        <v>5.9075000000000003E-2</v>
      </c>
      <c r="J58">
        <v>5.9919E-2</v>
      </c>
      <c r="M58">
        <v>2.8285000000000001E-2</v>
      </c>
      <c r="N58">
        <v>2.5059999999999999E-2</v>
      </c>
    </row>
    <row r="59" spans="1:14">
      <c r="A59" t="s">
        <v>49</v>
      </c>
      <c r="B59" t="s">
        <v>30</v>
      </c>
      <c r="C59" t="s">
        <v>30</v>
      </c>
      <c r="D59">
        <v>0</v>
      </c>
    </row>
    <row r="60" spans="1:14">
      <c r="A60" t="s">
        <v>12</v>
      </c>
      <c r="B60">
        <f>AVERAGE(AVERAGE(E60/E$9,F60/E$9),AVERAGE(I60/I$9,J60/I$9),AVERAGE(M60/M$9,N60/M$9))</f>
        <v>0.36098142255574328</v>
      </c>
      <c r="C60">
        <f>STDEV(AVERAGE(E60/E$9,F60/E$9),AVERAGE(I60/I$9,J60/I$9),AVERAGE(M60/M$9,N60/M$9))/SQRT(D60)</f>
        <v>8.7165249987406823E-2</v>
      </c>
      <c r="D60">
        <v>3</v>
      </c>
      <c r="E60">
        <v>3.4437000000000002E-2</v>
      </c>
      <c r="F60">
        <v>3.6374999999999998E-2</v>
      </c>
      <c r="I60">
        <v>8.0962999999999993E-2</v>
      </c>
      <c r="J60">
        <v>8.5564000000000001E-2</v>
      </c>
      <c r="M60">
        <v>3.9979000000000001E-2</v>
      </c>
      <c r="N60">
        <v>4.5060999999999997E-2</v>
      </c>
    </row>
    <row r="61" spans="1:14">
      <c r="A61" t="s">
        <v>13</v>
      </c>
      <c r="B61">
        <f>AVERAGE(AVERAGE(E61/E$9,F61/E$9),AVERAGE(I61/I$9,J61/I$9),AVERAGE(M61/M$9,N61/M$9))</f>
        <v>7.7895967915370096E-2</v>
      </c>
      <c r="C61">
        <f>STDEV(AVERAGE(E61/E$9,F61/E$9),AVERAGE(I61/I$9,J61/I$9),AVERAGE(M61/M$9,N61/M$9))/SQRT(D61)</f>
        <v>1.6929210563954151E-2</v>
      </c>
      <c r="D61">
        <v>3</v>
      </c>
      <c r="E61">
        <v>1.8589000000000001E-2</v>
      </c>
      <c r="F61">
        <v>1.7964999999999998E-2</v>
      </c>
      <c r="I61">
        <v>1.8304999999999998E-2</v>
      </c>
      <c r="J61">
        <v>1.7024999999999998E-2</v>
      </c>
      <c r="M61">
        <v>4.0451999999999997E-3</v>
      </c>
      <c r="N61">
        <v>4.1552999999999998E-3</v>
      </c>
    </row>
    <row r="62" spans="1:14">
      <c r="A62" t="s">
        <v>14</v>
      </c>
      <c r="B62">
        <f>AVERAGE(AVERAGE(E62/E$9,F62/E$9),AVERAGE(I62/I$9,J62/I$9),AVERAGE(M62/M$9,N62/M$9))</f>
        <v>1.9876868550540609E-2</v>
      </c>
      <c r="C62">
        <f>STDEV(AVERAGE(E62/E$9,F62/E$9),AVERAGE(I62/I$9,J62/I$9),AVERAGE(M62/M$9,N62/M$9))/SQRT(D62)</f>
        <v>1.4456428560533565E-3</v>
      </c>
      <c r="D62">
        <v>3</v>
      </c>
      <c r="E62">
        <v>3.4332E-3</v>
      </c>
      <c r="F62">
        <v>3.1901999999999998E-3</v>
      </c>
      <c r="I62">
        <v>3.3926E-3</v>
      </c>
      <c r="J62">
        <v>4.0699000000000004E-3</v>
      </c>
      <c r="M62">
        <v>1.9047999999999999E-3</v>
      </c>
      <c r="N62">
        <v>2.2763000000000002E-3</v>
      </c>
    </row>
    <row r="63" spans="1:14">
      <c r="A63" t="s">
        <v>56</v>
      </c>
      <c r="B63">
        <f>AVERAGE(E63/E$9,I63/I$9,M63/M$9)</f>
        <v>9.0273109895003215E-2</v>
      </c>
      <c r="C63">
        <f>STDEV(E63/E$9,I63/I$9,M63/M$9)/SQRT(D63)</f>
        <v>2.4539615373199417E-2</v>
      </c>
      <c r="D63">
        <v>3</v>
      </c>
      <c r="E63">
        <v>2.2589000000000001E-2</v>
      </c>
      <c r="I63">
        <v>2.0885999999999998E-2</v>
      </c>
      <c r="M63">
        <v>3.8574999999999998E-3</v>
      </c>
    </row>
    <row r="64" spans="1:14">
      <c r="A64" t="s">
        <v>57</v>
      </c>
      <c r="B64">
        <f>AVERAGE(F64/E$9,J64/I$9,N64/M$9)</f>
        <v>0.11659964457390216</v>
      </c>
      <c r="C64">
        <f>STDEV(F64/E$9,J64/I$9,N64/M$9)/SQRT(D64)</f>
        <v>8.0373116236221696E-3</v>
      </c>
      <c r="D64">
        <v>3</v>
      </c>
      <c r="F64">
        <v>2.4760000000000001E-2</v>
      </c>
      <c r="J64">
        <v>2.2037999999999999E-2</v>
      </c>
      <c r="N64">
        <v>9.5709000000000002E-3</v>
      </c>
    </row>
    <row r="65" spans="1:14">
      <c r="A65" t="s">
        <v>15</v>
      </c>
      <c r="B65">
        <f>AVERAGE(AVERAGE(E65/E$9,F65/E$9),AVERAGE(I65/I$9,J65/I$9),AVERAGE(M65/M$9,N65/M$9))</f>
        <v>0.34622911249620064</v>
      </c>
      <c r="C65">
        <f>STDEV(AVERAGE(E65/E$9,F65/E$9),AVERAGE(I65/I$9,J65/I$9),AVERAGE(M65/M$9,N65/M$9))/SQRT(D65)</f>
        <v>2.5626351667056121E-2</v>
      </c>
      <c r="D65">
        <v>3</v>
      </c>
      <c r="E65">
        <v>5.5324999999999999E-2</v>
      </c>
      <c r="F65">
        <v>5.6640000000000003E-2</v>
      </c>
      <c r="I65">
        <v>6.9979E-2</v>
      </c>
      <c r="J65">
        <v>6.8334000000000006E-2</v>
      </c>
      <c r="M65">
        <v>3.6415999999999997E-2</v>
      </c>
      <c r="N65">
        <v>3.4007000000000003E-2</v>
      </c>
    </row>
    <row r="66" spans="1:14">
      <c r="A66" t="s">
        <v>22</v>
      </c>
      <c r="B66">
        <f>AVERAGE(F66/E$9,J66/I$9,N66/M$9)</f>
        <v>8.6437217163702049E-2</v>
      </c>
      <c r="C66">
        <f>STDEV(F66/E$9,J66/I$9,N66/M$9)/SQRT(D66)</f>
        <v>1.5559730235215341E-2</v>
      </c>
      <c r="D66">
        <v>3</v>
      </c>
      <c r="F66">
        <v>1.8256999999999999E-2</v>
      </c>
      <c r="J66">
        <v>1.0614E-2</v>
      </c>
      <c r="N66">
        <v>9.9468999999999998E-3</v>
      </c>
    </row>
    <row r="67" spans="1:14">
      <c r="A67" t="s">
        <v>59</v>
      </c>
      <c r="B67" t="s">
        <v>30</v>
      </c>
      <c r="C67" t="s">
        <v>30</v>
      </c>
      <c r="D67">
        <v>0</v>
      </c>
    </row>
    <row r="68" spans="1:14">
      <c r="A68" t="s">
        <v>58</v>
      </c>
      <c r="B68" t="s">
        <v>30</v>
      </c>
      <c r="C68" t="s">
        <v>30</v>
      </c>
      <c r="D68">
        <v>0</v>
      </c>
    </row>
    <row r="81" spans="1:36">
      <c r="A81" s="1" t="s">
        <v>32</v>
      </c>
      <c r="E81" s="74">
        <v>42838</v>
      </c>
      <c r="I81" s="74">
        <v>42838</v>
      </c>
      <c r="M81" s="74">
        <v>42838</v>
      </c>
      <c r="Q81" s="74">
        <v>42807</v>
      </c>
      <c r="R81" s="74">
        <v>42807</v>
      </c>
      <c r="S81" s="74">
        <v>42807</v>
      </c>
      <c r="U81" s="13">
        <v>43670</v>
      </c>
      <c r="V81" s="8"/>
      <c r="W81" s="8"/>
      <c r="X81" s="13">
        <v>43670</v>
      </c>
      <c r="AA81" s="13"/>
      <c r="AE81" s="13"/>
      <c r="AI81" s="13"/>
    </row>
    <row r="82" spans="1:36">
      <c r="A82" s="1" t="s">
        <v>33</v>
      </c>
      <c r="E82" s="75" t="s">
        <v>39</v>
      </c>
      <c r="I82" s="75" t="s">
        <v>39</v>
      </c>
      <c r="M82" s="75" t="s">
        <v>39</v>
      </c>
      <c r="Q82" s="75" t="s">
        <v>39</v>
      </c>
      <c r="R82" s="75" t="s">
        <v>39</v>
      </c>
      <c r="S82" s="75" t="s">
        <v>39</v>
      </c>
      <c r="U82" s="14" t="s">
        <v>39</v>
      </c>
      <c r="V82" s="9"/>
      <c r="W82" s="9"/>
      <c r="X82" s="14" t="s">
        <v>39</v>
      </c>
      <c r="AA82" s="14" t="s">
        <v>132</v>
      </c>
      <c r="AE82" s="14" t="s">
        <v>132</v>
      </c>
      <c r="AI82" s="14" t="s">
        <v>132</v>
      </c>
    </row>
    <row r="83" spans="1:36">
      <c r="A83" s="1" t="s">
        <v>34</v>
      </c>
      <c r="E83" s="76" t="s">
        <v>40</v>
      </c>
      <c r="I83" s="76" t="s">
        <v>73</v>
      </c>
      <c r="M83" s="76" t="s">
        <v>75</v>
      </c>
      <c r="Q83" s="76" t="s">
        <v>40</v>
      </c>
      <c r="R83" s="76" t="s">
        <v>73</v>
      </c>
      <c r="S83" s="76" t="s">
        <v>75</v>
      </c>
      <c r="U83" s="28" t="s">
        <v>90</v>
      </c>
      <c r="V83" s="39"/>
      <c r="W83" s="39"/>
      <c r="X83" s="28" t="s">
        <v>92</v>
      </c>
      <c r="AA83" s="28" t="s">
        <v>206</v>
      </c>
      <c r="AE83" s="28" t="s">
        <v>228</v>
      </c>
      <c r="AI83" s="28" t="s">
        <v>229</v>
      </c>
    </row>
    <row r="84" spans="1:36">
      <c r="A84" s="1" t="s">
        <v>35</v>
      </c>
      <c r="E84" s="75" t="s">
        <v>52</v>
      </c>
      <c r="I84" s="75" t="s">
        <v>52</v>
      </c>
      <c r="M84" s="75" t="s">
        <v>52</v>
      </c>
      <c r="Q84" s="75" t="s">
        <v>52</v>
      </c>
      <c r="R84" s="75" t="s">
        <v>52</v>
      </c>
      <c r="S84" s="75" t="s">
        <v>52</v>
      </c>
      <c r="U84" s="14" t="s">
        <v>52</v>
      </c>
      <c r="V84" s="9"/>
      <c r="W84" s="9"/>
      <c r="X84" s="14" t="s">
        <v>52</v>
      </c>
      <c r="AA84" s="14" t="s">
        <v>52</v>
      </c>
      <c r="AE84" s="14" t="s">
        <v>52</v>
      </c>
      <c r="AI84" s="14" t="s">
        <v>52</v>
      </c>
    </row>
    <row r="85" spans="1:36" ht="48">
      <c r="A85" s="1" t="s">
        <v>36</v>
      </c>
      <c r="E85" s="77" t="s">
        <v>185</v>
      </c>
      <c r="I85" s="77" t="s">
        <v>185</v>
      </c>
      <c r="M85" s="77" t="s">
        <v>185</v>
      </c>
      <c r="Q85" s="77" t="s">
        <v>185</v>
      </c>
      <c r="R85" s="77" t="s">
        <v>185</v>
      </c>
      <c r="S85" s="77" t="s">
        <v>185</v>
      </c>
      <c r="U85" s="38" t="s">
        <v>185</v>
      </c>
      <c r="V85" s="40"/>
      <c r="W85" s="40"/>
      <c r="X85" s="38" t="s">
        <v>185</v>
      </c>
      <c r="AA85" s="38" t="s">
        <v>185</v>
      </c>
      <c r="AE85" s="38" t="s">
        <v>185</v>
      </c>
      <c r="AI85" s="38" t="s">
        <v>185</v>
      </c>
    </row>
    <row r="86" spans="1:36">
      <c r="A86" s="1" t="s">
        <v>37</v>
      </c>
      <c r="E86" s="44">
        <v>100</v>
      </c>
      <c r="I86" s="44">
        <v>100</v>
      </c>
      <c r="M86" s="44">
        <v>100</v>
      </c>
      <c r="Q86" s="44">
        <v>100</v>
      </c>
      <c r="R86" s="44">
        <v>100</v>
      </c>
      <c r="S86" s="44">
        <v>100</v>
      </c>
      <c r="U86" s="2">
        <v>50</v>
      </c>
      <c r="X86" s="2">
        <v>50</v>
      </c>
      <c r="AA86" s="2"/>
      <c r="AE86" s="2"/>
      <c r="AI86" s="2"/>
    </row>
    <row r="87" spans="1:36">
      <c r="A87" s="1" t="s">
        <v>38</v>
      </c>
      <c r="E87" s="44">
        <v>0.1</v>
      </c>
      <c r="I87" s="44">
        <v>0.1</v>
      </c>
      <c r="M87" s="44">
        <v>0.1</v>
      </c>
      <c r="Q87" s="44">
        <v>0.1</v>
      </c>
      <c r="R87" s="44">
        <v>0.1</v>
      </c>
      <c r="S87" s="44">
        <v>0.1</v>
      </c>
      <c r="U87" s="2">
        <v>0.15</v>
      </c>
      <c r="X87" s="2">
        <v>0.15</v>
      </c>
      <c r="AA87" s="2"/>
      <c r="AE87" s="2"/>
      <c r="AI87" s="2"/>
    </row>
    <row r="88" spans="1:36">
      <c r="A88" s="1" t="s">
        <v>43</v>
      </c>
      <c r="E88" s="27">
        <v>0.12536102599999999</v>
      </c>
      <c r="F88" s="27"/>
      <c r="G88" s="27"/>
      <c r="I88" s="27">
        <v>0.126720842</v>
      </c>
      <c r="J88" s="27"/>
      <c r="M88" s="27">
        <v>0.12700763600000001</v>
      </c>
      <c r="Q88" s="27">
        <v>0.113534489</v>
      </c>
      <c r="R88" s="27">
        <v>9.1244948000000006E-2</v>
      </c>
      <c r="S88" s="27">
        <v>0.13233700200000001</v>
      </c>
      <c r="U88" s="27"/>
      <c r="V88" s="27"/>
    </row>
    <row r="89" spans="1:36">
      <c r="A89" s="1" t="s">
        <v>54</v>
      </c>
      <c r="E89">
        <f>E101</f>
        <v>0.12986</v>
      </c>
      <c r="I89">
        <f>I101</f>
        <v>0.13131999999999999</v>
      </c>
      <c r="M89">
        <f>M101</f>
        <v>0.13174</v>
      </c>
      <c r="Q89">
        <f>Q101</f>
        <v>0.11781999999999999</v>
      </c>
      <c r="R89">
        <f>R101</f>
        <v>9.4909999999999994E-2</v>
      </c>
      <c r="S89">
        <f>S101</f>
        <v>0.13572999999999999</v>
      </c>
      <c r="U89">
        <v>0.106</v>
      </c>
      <c r="X89">
        <v>0.125</v>
      </c>
      <c r="AA89">
        <f>AVERAGE(AA101:AB101)</f>
        <v>7.986E-2</v>
      </c>
      <c r="AE89">
        <f>AE101</f>
        <v>0.15853</v>
      </c>
      <c r="AI89">
        <f>AI101</f>
        <v>0.13062000000000001</v>
      </c>
    </row>
    <row r="90" spans="1:36">
      <c r="A90" s="1" t="s">
        <v>44</v>
      </c>
      <c r="E90" s="21">
        <f>E86*E87*(1-E88)/E88</f>
        <v>69.769608777771182</v>
      </c>
      <c r="I90" s="21">
        <f>I86*I87*(1-I88)/I88</f>
        <v>68.913617067033073</v>
      </c>
      <c r="M90" s="21">
        <f>M86*M87*(1-M88)/M88</f>
        <v>68.735423435485416</v>
      </c>
      <c r="Q90" s="21">
        <f>Q86*Q87*(1-Q88)/Q88</f>
        <v>78.078962508035787</v>
      </c>
      <c r="R90" s="21">
        <f>R86*R87*(1-R88)/R88</f>
        <v>99.595108761528351</v>
      </c>
      <c r="S90" s="21">
        <f>S86*S87*(1-S88)/S88</f>
        <v>65.564655756671883</v>
      </c>
      <c r="U90" s="21" t="e">
        <f>U86*U87*(1-U88)/U88</f>
        <v>#DIV/0!</v>
      </c>
      <c r="V90" s="21"/>
    </row>
    <row r="91" spans="1:36">
      <c r="A91" s="1" t="s">
        <v>292</v>
      </c>
      <c r="C91" s="43">
        <f>AVERAGE(E91:S91)</f>
        <v>0.96113344507666587</v>
      </c>
      <c r="E91">
        <f>(1-E89)*E88/E89/(1-E88)</f>
        <v>0.96038959716587768</v>
      </c>
      <c r="I91">
        <f>(1-I89)*I88/I89/(1-I88)</f>
        <v>0.95989538418658249</v>
      </c>
      <c r="M91">
        <f>(1-M89)*M88/M89/(1-M88)</f>
        <v>0.95885187619510337</v>
      </c>
      <c r="Q91">
        <f>(1-Q89)*Q88/Q89/(1-Q88)</f>
        <v>0.95896808822460744</v>
      </c>
      <c r="R91">
        <f>(1-R89)*R88/R89/(1-R88)</f>
        <v>0.95750661489576661</v>
      </c>
      <c r="S91">
        <f>(1-S89)*S88/S89/(1-S88)</f>
        <v>0.97118910979205719</v>
      </c>
    </row>
    <row r="92" spans="1:36">
      <c r="A92" s="1" t="s">
        <v>33</v>
      </c>
      <c r="E92" t="s">
        <v>39</v>
      </c>
      <c r="I92" t="s">
        <v>39</v>
      </c>
      <c r="M92" t="s">
        <v>39</v>
      </c>
      <c r="Q92" t="s">
        <v>39</v>
      </c>
      <c r="R92" t="s">
        <v>39</v>
      </c>
      <c r="S92" t="s">
        <v>39</v>
      </c>
      <c r="V92" t="s">
        <v>39</v>
      </c>
      <c r="Y92" t="s">
        <v>39</v>
      </c>
      <c r="AA92" t="s">
        <v>132</v>
      </c>
      <c r="AE92" t="s">
        <v>132</v>
      </c>
      <c r="AF92" t="s">
        <v>39</v>
      </c>
      <c r="AI92" t="s">
        <v>132</v>
      </c>
      <c r="AJ92" t="s">
        <v>39</v>
      </c>
    </row>
    <row r="93" spans="1:36">
      <c r="A93" s="1" t="s">
        <v>45</v>
      </c>
      <c r="E93" t="s">
        <v>47</v>
      </c>
      <c r="I93" t="s">
        <v>47</v>
      </c>
      <c r="M93" t="s">
        <v>47</v>
      </c>
      <c r="Q93" t="s">
        <v>47</v>
      </c>
      <c r="R93" t="s">
        <v>47</v>
      </c>
      <c r="S93" t="s">
        <v>47</v>
      </c>
      <c r="V93" t="s">
        <v>85</v>
      </c>
      <c r="Y93" t="s">
        <v>85</v>
      </c>
      <c r="AA93" t="s">
        <v>47</v>
      </c>
      <c r="AE93" t="s">
        <v>47</v>
      </c>
      <c r="AF93" t="s">
        <v>85</v>
      </c>
      <c r="AI93" t="s">
        <v>47</v>
      </c>
      <c r="AJ93" t="s">
        <v>85</v>
      </c>
    </row>
    <row r="94" spans="1:36" ht="68">
      <c r="A94" s="12" t="s">
        <v>31</v>
      </c>
      <c r="E94" s="11" t="s">
        <v>188</v>
      </c>
      <c r="I94" s="11" t="s">
        <v>188</v>
      </c>
      <c r="M94" s="11" t="s">
        <v>188</v>
      </c>
      <c r="Q94" s="11" t="s">
        <v>189</v>
      </c>
      <c r="R94" s="11" t="s">
        <v>189</v>
      </c>
      <c r="S94" s="11" t="s">
        <v>189</v>
      </c>
      <c r="U94" s="11"/>
      <c r="V94" s="11" t="s">
        <v>279</v>
      </c>
      <c r="Y94" s="11" t="s">
        <v>279</v>
      </c>
      <c r="AA94" s="10" t="s">
        <v>226</v>
      </c>
      <c r="AE94" s="10" t="s">
        <v>227</v>
      </c>
      <c r="AF94" s="10" t="s">
        <v>279</v>
      </c>
      <c r="AI94" s="10" t="s">
        <v>227</v>
      </c>
      <c r="AJ94" s="10" t="s">
        <v>279</v>
      </c>
    </row>
    <row r="96" spans="1:36">
      <c r="A96" s="1" t="s">
        <v>50</v>
      </c>
    </row>
    <row r="97" spans="1:36">
      <c r="B97" s="1" t="s">
        <v>5</v>
      </c>
      <c r="C97" s="1" t="s">
        <v>6</v>
      </c>
      <c r="D97" s="1" t="s">
        <v>55</v>
      </c>
    </row>
    <row r="98" spans="1:36">
      <c r="A98" s="1" t="s">
        <v>0</v>
      </c>
    </row>
    <row r="99" spans="1:36">
      <c r="A99" t="s">
        <v>60</v>
      </c>
      <c r="B99">
        <f>AVERAGE(E99/E$89,I99/I$89,M99/M$89,Q99/Q$89,R99/R$89,S99/S$89,AVERAGE(AA99,AB99)/AA$89,AE99/AE$89,AI99/AI$89)</f>
        <v>4.0760970125131898E-2</v>
      </c>
      <c r="C99">
        <f>STDEV(E99/E$89,I99/I$89,M99/M$89,Q99/Q$89,R99/R$89,S99/S$89,AVERAGE(AA99,AB99)/AA$89,AE99/AE$89,AI99/AI$89)</f>
        <v>9.7451000316279707E-3</v>
      </c>
      <c r="D99">
        <f>COUNT(E99:AZ99)-1</f>
        <v>9</v>
      </c>
      <c r="E99">
        <v>4.4619000000000004E-3</v>
      </c>
      <c r="I99">
        <v>4.2493000000000001E-3</v>
      </c>
      <c r="M99">
        <v>4.8256999999999996E-3</v>
      </c>
      <c r="Q99">
        <v>5.0717000000000002E-3</v>
      </c>
      <c r="R99">
        <v>4.3384000000000001E-3</v>
      </c>
      <c r="S99">
        <v>5.0590000000000001E-3</v>
      </c>
      <c r="AA99">
        <v>4.8697999999999996E-3</v>
      </c>
      <c r="AB99">
        <v>3.8566E-3</v>
      </c>
      <c r="AE99">
        <v>8.7962000000000005E-3</v>
      </c>
      <c r="AI99">
        <v>3.5723999999999999E-3</v>
      </c>
    </row>
    <row r="100" spans="1:36">
      <c r="A100" t="s">
        <v>61</v>
      </c>
      <c r="B100">
        <f t="shared" ref="B100:B109" si="8">AVERAGE(E100/E$89,I100/I$89,M100/M$89,Q100/Q$89,R100/R$89,S100/S$89,AVERAGE(AA100,AB100)/AA$89,AE100/AE$89,AI100/AI$89)</f>
        <v>3.8142501606545948E-2</v>
      </c>
      <c r="C100">
        <f t="shared" ref="C100:C109" si="9">STDEV(E100/E$89,I100/I$89,M100/M$89,Q100/Q$89,R100/R$89,S100/S$89,AVERAGE(AA100,AB100)/AA$89,AE100/AE$89,AI100/AI$89)</f>
        <v>1.5995017512176177E-2</v>
      </c>
      <c r="D100">
        <f t="shared" ref="D100:D111" si="10">COUNT(E100:AZ100)-1</f>
        <v>9</v>
      </c>
      <c r="E100">
        <v>5.1749999999999999E-3</v>
      </c>
      <c r="I100">
        <v>5.5623000000000001E-3</v>
      </c>
      <c r="M100">
        <v>4.5713999999999998E-3</v>
      </c>
      <c r="Q100">
        <v>3.0506000000000001E-3</v>
      </c>
      <c r="R100">
        <v>2.4908999999999999E-3</v>
      </c>
      <c r="S100">
        <v>1.0052999999999999E-2</v>
      </c>
      <c r="AA100">
        <v>1.253E-3</v>
      </c>
      <c r="AB100">
        <v>6.3502999999999997E-3</v>
      </c>
      <c r="AE100">
        <v>3.2891999999999999E-3</v>
      </c>
      <c r="AI100">
        <v>4.1562999999999999E-3</v>
      </c>
    </row>
    <row r="101" spans="1:36">
      <c r="A101" t="s">
        <v>62</v>
      </c>
      <c r="B101">
        <f t="shared" si="8"/>
        <v>1</v>
      </c>
      <c r="C101">
        <f t="shared" si="9"/>
        <v>0</v>
      </c>
      <c r="D101">
        <f t="shared" si="10"/>
        <v>9</v>
      </c>
      <c r="E101">
        <v>0.12986</v>
      </c>
      <c r="I101">
        <v>0.13131999999999999</v>
      </c>
      <c r="M101">
        <v>0.13174</v>
      </c>
      <c r="Q101">
        <v>0.11781999999999999</v>
      </c>
      <c r="R101">
        <v>9.4909999999999994E-2</v>
      </c>
      <c r="S101">
        <v>0.13572999999999999</v>
      </c>
      <c r="AA101">
        <v>7.8033000000000005E-2</v>
      </c>
      <c r="AB101">
        <v>8.1686999999999996E-2</v>
      </c>
      <c r="AE101">
        <v>0.15853</v>
      </c>
      <c r="AI101">
        <v>0.13062000000000001</v>
      </c>
    </row>
    <row r="102" spans="1:36">
      <c r="A102" t="s">
        <v>63</v>
      </c>
      <c r="B102">
        <f t="shared" si="8"/>
        <v>3.0042665069847929E-2</v>
      </c>
      <c r="C102">
        <f t="shared" si="9"/>
        <v>1.8332513955309979E-2</v>
      </c>
      <c r="D102">
        <f t="shared" si="10"/>
        <v>9</v>
      </c>
      <c r="E102">
        <v>4.3667999999999997E-3</v>
      </c>
      <c r="I102">
        <v>4.5839000000000001E-3</v>
      </c>
      <c r="M102">
        <v>4.0540999999999997E-3</v>
      </c>
      <c r="Q102">
        <v>3.9402999999999999E-3</v>
      </c>
      <c r="R102">
        <v>3.8987000000000002E-3</v>
      </c>
      <c r="S102">
        <v>3.6370999999999999E-3</v>
      </c>
      <c r="AA102">
        <v>5.1684000000000001E-3</v>
      </c>
      <c r="AB102">
        <v>4.8609999999999999E-3</v>
      </c>
      <c r="AE102">
        <v>0</v>
      </c>
      <c r="AI102">
        <v>9.0985999999999997E-4</v>
      </c>
    </row>
    <row r="103" spans="1:36">
      <c r="A103" t="s">
        <v>64</v>
      </c>
      <c r="B103">
        <f t="shared" si="8"/>
        <v>1.4972797671879022E-3</v>
      </c>
      <c r="C103">
        <f t="shared" si="9"/>
        <v>2.8418399172448184E-3</v>
      </c>
      <c r="D103">
        <f t="shared" si="10"/>
        <v>9</v>
      </c>
      <c r="E103">
        <v>4.9720000000000005E-4</v>
      </c>
      <c r="I103">
        <v>0</v>
      </c>
      <c r="M103">
        <v>0</v>
      </c>
      <c r="Q103" s="15">
        <v>8.3574000000000007E-6</v>
      </c>
      <c r="R103">
        <v>7.8505999999999997E-4</v>
      </c>
      <c r="S103">
        <v>0</v>
      </c>
      <c r="AA103">
        <v>2.0830999999999999E-4</v>
      </c>
      <c r="AB103">
        <v>0</v>
      </c>
      <c r="AE103">
        <v>0</v>
      </c>
      <c r="AI103">
        <v>0</v>
      </c>
    </row>
    <row r="104" spans="1:36">
      <c r="A104" t="s">
        <v>65</v>
      </c>
      <c r="B104">
        <f t="shared" si="8"/>
        <v>1.5068407164366981E-4</v>
      </c>
      <c r="C104">
        <f t="shared" si="9"/>
        <v>2.166619850874211E-4</v>
      </c>
      <c r="D104">
        <f t="shared" si="10"/>
        <v>9</v>
      </c>
      <c r="E104">
        <v>0</v>
      </c>
      <c r="G104" s="15"/>
      <c r="I104">
        <v>0</v>
      </c>
      <c r="J104" s="15"/>
      <c r="M104" s="15">
        <v>2.1001000000000001E-5</v>
      </c>
      <c r="Q104" s="15">
        <v>3.2159000000000002E-5</v>
      </c>
      <c r="R104">
        <v>0</v>
      </c>
      <c r="S104" s="15">
        <v>4.0540000000000001E-5</v>
      </c>
      <c r="AA104" s="15">
        <v>5.2354000000000001E-5</v>
      </c>
      <c r="AB104" s="15">
        <v>4.7488999999999999E-5</v>
      </c>
      <c r="AE104">
        <v>0</v>
      </c>
      <c r="AI104">
        <v>0</v>
      </c>
    </row>
    <row r="105" spans="1:36">
      <c r="A105" t="s">
        <v>66</v>
      </c>
      <c r="B105">
        <f t="shared" si="8"/>
        <v>1.0162325876242587E-4</v>
      </c>
      <c r="C105">
        <f t="shared" si="9"/>
        <v>2.072158723795424E-4</v>
      </c>
      <c r="D105">
        <f t="shared" si="10"/>
        <v>9</v>
      </c>
      <c r="E105">
        <v>0</v>
      </c>
      <c r="I105">
        <v>0</v>
      </c>
      <c r="M105">
        <v>0</v>
      </c>
      <c r="Q105" s="15">
        <v>4.2641000000000001E-5</v>
      </c>
      <c r="R105">
        <v>0</v>
      </c>
      <c r="S105" s="15">
        <v>7.5017000000000004E-5</v>
      </c>
      <c r="AA105">
        <v>0</v>
      </c>
      <c r="AB105">
        <v>0</v>
      </c>
      <c r="AE105">
        <v>0</v>
      </c>
      <c r="AI105">
        <v>0</v>
      </c>
    </row>
    <row r="106" spans="1:36">
      <c r="A106" t="s">
        <v>67</v>
      </c>
      <c r="B106">
        <f t="shared" si="8"/>
        <v>2.9378946851980345E-5</v>
      </c>
      <c r="C106">
        <f t="shared" si="9"/>
        <v>8.8136840555941038E-5</v>
      </c>
      <c r="D106">
        <f t="shared" si="10"/>
        <v>9</v>
      </c>
      <c r="E106">
        <v>0</v>
      </c>
      <c r="I106">
        <v>0</v>
      </c>
      <c r="M106">
        <v>0</v>
      </c>
      <c r="Q106">
        <v>0</v>
      </c>
      <c r="R106">
        <v>0</v>
      </c>
      <c r="S106">
        <v>0</v>
      </c>
      <c r="AA106">
        <v>0</v>
      </c>
      <c r="AB106">
        <v>0</v>
      </c>
      <c r="AE106" s="15">
        <v>4.1916999999999999E-5</v>
      </c>
      <c r="AI106">
        <v>0</v>
      </c>
    </row>
    <row r="107" spans="1:36">
      <c r="A107" t="s">
        <v>71</v>
      </c>
      <c r="B107">
        <f t="shared" si="8"/>
        <v>4.4529846199331006E-3</v>
      </c>
      <c r="C107">
        <f t="shared" si="9"/>
        <v>5.5637083025910188E-3</v>
      </c>
      <c r="D107">
        <f t="shared" si="10"/>
        <v>9</v>
      </c>
      <c r="E107">
        <v>4.1353000000000001E-4</v>
      </c>
      <c r="I107">
        <v>0</v>
      </c>
      <c r="M107">
        <v>6.9415000000000004E-4</v>
      </c>
      <c r="Q107">
        <v>3.0587000000000002E-4</v>
      </c>
      <c r="R107">
        <v>0</v>
      </c>
      <c r="S107">
        <v>8.9331000000000002E-4</v>
      </c>
      <c r="AA107">
        <v>1.2772E-3</v>
      </c>
      <c r="AB107">
        <v>1.5640999999999999E-3</v>
      </c>
      <c r="AE107">
        <v>0</v>
      </c>
      <c r="AI107">
        <v>6.0822999999999997E-4</v>
      </c>
    </row>
    <row r="108" spans="1:36">
      <c r="A108" t="s">
        <v>72</v>
      </c>
      <c r="B108">
        <f t="shared" si="8"/>
        <v>2.9579740468968873E-3</v>
      </c>
      <c r="C108">
        <f t="shared" si="9"/>
        <v>4.6645157737066605E-3</v>
      </c>
      <c r="D108">
        <f t="shared" si="10"/>
        <v>9</v>
      </c>
      <c r="E108">
        <v>4.6862E-4</v>
      </c>
      <c r="I108">
        <v>1.1811000000000001E-4</v>
      </c>
      <c r="M108">
        <v>0</v>
      </c>
      <c r="Q108">
        <v>0</v>
      </c>
      <c r="R108">
        <v>6.4714000000000004E-4</v>
      </c>
      <c r="S108">
        <v>2.04E-4</v>
      </c>
      <c r="AA108">
        <v>2.2028999999999998E-3</v>
      </c>
      <c r="AB108">
        <v>0</v>
      </c>
      <c r="AE108">
        <v>0</v>
      </c>
      <c r="AI108">
        <v>0</v>
      </c>
    </row>
    <row r="109" spans="1:36">
      <c r="A109" t="s">
        <v>69</v>
      </c>
      <c r="B109">
        <f t="shared" si="8"/>
        <v>6.3383690077247076E-2</v>
      </c>
      <c r="C109">
        <f t="shared" si="9"/>
        <v>1.4741794902430121E-2</v>
      </c>
      <c r="D109">
        <f t="shared" si="10"/>
        <v>9</v>
      </c>
      <c r="E109">
        <v>1.0526000000000001E-2</v>
      </c>
      <c r="I109">
        <v>9.2510999999999999E-3</v>
      </c>
      <c r="M109">
        <v>1.1346E-2</v>
      </c>
      <c r="Q109">
        <v>8.1805000000000003E-3</v>
      </c>
      <c r="R109">
        <v>5.0517000000000001E-3</v>
      </c>
      <c r="S109">
        <v>8.5255999999999995E-3</v>
      </c>
      <c r="AA109">
        <v>3.1979E-3</v>
      </c>
      <c r="AB109">
        <v>3.6594000000000002E-3</v>
      </c>
      <c r="AE109">
        <v>7.4745999999999996E-3</v>
      </c>
      <c r="AI109">
        <v>7.4808000000000001E-3</v>
      </c>
    </row>
    <row r="110" spans="1:36" s="44" customFormat="1">
      <c r="A110" s="44" t="s">
        <v>68</v>
      </c>
      <c r="B110" s="44" t="s">
        <v>30</v>
      </c>
      <c r="C110" s="44" t="s">
        <v>30</v>
      </c>
      <c r="D110" s="44">
        <v>0</v>
      </c>
    </row>
    <row r="111" spans="1:36">
      <c r="A111" t="s">
        <v>70</v>
      </c>
      <c r="B111">
        <f>AVERAGE(V111/U89,Y111/X89,AVERAGE(AA111/AA89,AB111/AA89),AF111/AE89,AJ111/AI89)</f>
        <v>3.3746556473829201E-3</v>
      </c>
      <c r="C111">
        <f>STDEV(AVERAGE(V111/U89,Y111/X89,AA111/AA89,AB111/AA89),AF111/AE89,AJ111/AI89)/SQRT(D111)</f>
        <v>2.178330853583143E-3</v>
      </c>
      <c r="D111">
        <f t="shared" si="10"/>
        <v>5</v>
      </c>
      <c r="V111">
        <v>0</v>
      </c>
      <c r="Y111">
        <v>0</v>
      </c>
      <c r="AA111">
        <v>2.6949999999999999E-3</v>
      </c>
      <c r="AB111">
        <v>0</v>
      </c>
      <c r="AF111">
        <v>0</v>
      </c>
      <c r="AJ111">
        <v>0</v>
      </c>
    </row>
    <row r="112" spans="1:36">
      <c r="A112" t="s">
        <v>23</v>
      </c>
      <c r="B112">
        <f t="shared" ref="B112:B113" si="11">AVERAGE(E112/E$89,I112/I$89,M112/M$89,Q112/Q$89,R112/R$89,S112/S$89,AVERAGE(AA112,AB112)/AA$89,AE112/AE$89,AI112/AI$89)</f>
        <v>0</v>
      </c>
      <c r="C112">
        <f t="shared" ref="C112:C113" si="12">STDEV(E112/E$89,I112/I$89,M112/M$89,Q112/Q$89,R112/R$89,S112/S$89,AVERAGE(AA112,AB112)/AA$89,AE112/AE$89,AI112/AI$89)</f>
        <v>0</v>
      </c>
      <c r="D112">
        <f t="shared" ref="D112:D113" si="13">COUNT(E112:AZ112)-1</f>
        <v>9</v>
      </c>
      <c r="E112">
        <v>0</v>
      </c>
      <c r="I112">
        <v>0</v>
      </c>
      <c r="M112">
        <v>0</v>
      </c>
      <c r="Q112">
        <v>0</v>
      </c>
      <c r="R112">
        <v>0</v>
      </c>
      <c r="S112">
        <v>0</v>
      </c>
      <c r="AA112">
        <v>0</v>
      </c>
      <c r="AB112">
        <v>0</v>
      </c>
      <c r="AE112">
        <v>0</v>
      </c>
      <c r="AI112">
        <v>0</v>
      </c>
    </row>
    <row r="113" spans="1:35">
      <c r="A113" t="s">
        <v>24</v>
      </c>
      <c r="B113">
        <f t="shared" si="11"/>
        <v>0</v>
      </c>
      <c r="C113">
        <f t="shared" si="12"/>
        <v>0</v>
      </c>
      <c r="D113">
        <f t="shared" si="13"/>
        <v>9</v>
      </c>
      <c r="E113">
        <v>0</v>
      </c>
      <c r="I113">
        <v>0</v>
      </c>
      <c r="M113">
        <v>0</v>
      </c>
      <c r="Q113">
        <v>0</v>
      </c>
      <c r="R113">
        <v>0</v>
      </c>
      <c r="S113">
        <v>0</v>
      </c>
      <c r="AA113">
        <v>0</v>
      </c>
      <c r="AB113">
        <v>0</v>
      </c>
      <c r="AE113">
        <v>0</v>
      </c>
      <c r="AI113">
        <v>0</v>
      </c>
    </row>
    <row r="116" spans="1:35">
      <c r="A116" s="1" t="s">
        <v>16</v>
      </c>
    </row>
    <row r="117" spans="1:35">
      <c r="A117" t="s">
        <v>7</v>
      </c>
      <c r="B117">
        <f>AVERAGE(E117/E$89,I117/I$89,M117/M$89,AA117/AA$89,AE117/AE$89,AI117/AI$89)</f>
        <v>6.0037028283067416E-2</v>
      </c>
      <c r="C117">
        <f>STDEV(E117/E$89,I117/I$89,M117/M$89,AA117/AA$89,AE117/AE$89,AI117/AI$89)/SQRT(D117)</f>
        <v>1.0076887726280714E-2</v>
      </c>
      <c r="D117">
        <f>COUNT(E117:AZ117)</f>
        <v>6</v>
      </c>
      <c r="E117">
        <v>6.3404999999999998E-3</v>
      </c>
      <c r="I117">
        <v>5.9738999999999999E-3</v>
      </c>
      <c r="M117">
        <v>6.5748999999999998E-3</v>
      </c>
      <c r="AA117">
        <v>6.3397000000000002E-3</v>
      </c>
      <c r="AE117">
        <v>5.6972999999999998E-3</v>
      </c>
      <c r="AI117">
        <v>1.315E-2</v>
      </c>
    </row>
    <row r="118" spans="1:35">
      <c r="A118" t="s">
        <v>8</v>
      </c>
      <c r="B118">
        <f t="shared" ref="B118:B121" si="14">AVERAGE(E118/E$89,I118/I$89,M118/M$89,AA118/AA$89,AE118/AE$89,AI118/AI$89)</f>
        <v>7.8298152785226005E-2</v>
      </c>
      <c r="C118">
        <f t="shared" ref="C118:C121" si="15">STDEV(E118/E$89,I118/I$89,M118/M$89,AA118/AA$89,AE118/AE$89,AI118/AI$89)/SQRT(D118)</f>
        <v>6.4629733339722634E-3</v>
      </c>
      <c r="D118">
        <f t="shared" ref="D118:D121" si="16">COUNT(E118:AZ118)</f>
        <v>6</v>
      </c>
      <c r="E118">
        <v>8.3558E-3</v>
      </c>
      <c r="I118">
        <v>9.9512999999999997E-3</v>
      </c>
      <c r="M118">
        <v>7.3397999999999996E-3</v>
      </c>
      <c r="AA118">
        <v>7.6502999999999996E-3</v>
      </c>
      <c r="AE118">
        <v>1.3913E-2</v>
      </c>
      <c r="AI118">
        <v>1.1807E-2</v>
      </c>
    </row>
    <row r="119" spans="1:35">
      <c r="A119" t="s">
        <v>9</v>
      </c>
      <c r="B119">
        <f t="shared" si="14"/>
        <v>0.12353107160803217</v>
      </c>
      <c r="C119">
        <f t="shared" si="15"/>
        <v>1.4841328007841856E-2</v>
      </c>
      <c r="D119">
        <f t="shared" si="16"/>
        <v>6</v>
      </c>
      <c r="E119">
        <v>1.9418999999999999E-2</v>
      </c>
      <c r="I119">
        <v>1.8197999999999999E-2</v>
      </c>
      <c r="M119">
        <v>2.1103E-2</v>
      </c>
      <c r="AA119">
        <v>9.8172999999999993E-3</v>
      </c>
      <c r="AE119">
        <v>9.2946000000000001E-3</v>
      </c>
      <c r="AI119">
        <v>1.4541E-2</v>
      </c>
    </row>
    <row r="120" spans="1:35">
      <c r="A120" t="s">
        <v>10</v>
      </c>
      <c r="B120">
        <f t="shared" si="14"/>
        <v>0.16110046625176452</v>
      </c>
      <c r="C120">
        <f t="shared" si="15"/>
        <v>2.4685665206922312E-2</v>
      </c>
      <c r="D120">
        <f t="shared" si="16"/>
        <v>6</v>
      </c>
      <c r="E120">
        <v>1.6244999999999999E-2</v>
      </c>
      <c r="I120">
        <v>1.6740999999999999E-2</v>
      </c>
      <c r="M120">
        <v>1.376E-2</v>
      </c>
      <c r="AA120">
        <v>2.1805999999999999E-2</v>
      </c>
      <c r="AE120">
        <v>2.7022000000000001E-2</v>
      </c>
      <c r="AI120">
        <v>2.1691999999999999E-2</v>
      </c>
    </row>
    <row r="121" spans="1:35">
      <c r="A121" t="s">
        <v>11</v>
      </c>
      <c r="B121">
        <f t="shared" si="14"/>
        <v>0.2970392000835988</v>
      </c>
      <c r="C121">
        <f t="shared" si="15"/>
        <v>1.8874977738679431E-2</v>
      </c>
      <c r="D121">
        <f t="shared" si="16"/>
        <v>6</v>
      </c>
      <c r="E121">
        <v>3.5070999999999998E-2</v>
      </c>
      <c r="I121">
        <v>3.2718999999999998E-2</v>
      </c>
      <c r="M121">
        <v>3.5972999999999998E-2</v>
      </c>
      <c r="AA121">
        <v>2.2363000000000001E-2</v>
      </c>
      <c r="AE121">
        <v>5.5190999999999997E-2</v>
      </c>
      <c r="AI121">
        <v>4.7255999999999999E-2</v>
      </c>
    </row>
    <row r="122" spans="1:35">
      <c r="A122" t="s">
        <v>49</v>
      </c>
      <c r="B122" t="s">
        <v>30</v>
      </c>
      <c r="C122" t="s">
        <v>30</v>
      </c>
      <c r="D122">
        <f t="shared" ref="D122" si="17">COUNT(E122:Z122)</f>
        <v>0</v>
      </c>
    </row>
    <row r="123" spans="1:35">
      <c r="A123" t="s">
        <v>12</v>
      </c>
      <c r="B123">
        <f>AVERAGE(E123/E$89,I123/I$89,M123/M$89,AA123/AA$89,AE123/AE$89,AI123/AI$89)</f>
        <v>0.37818851980928558</v>
      </c>
      <c r="C123">
        <f>STDEV(E123/E$89,I123/I$89,M123/M$89,AA123/AA$89,AE123/AE$89,AI123/AI$89)/SQRT(D123)</f>
        <v>3.9984435799859629E-2</v>
      </c>
      <c r="D123">
        <f>COUNT(E123:AZ123)</f>
        <v>6</v>
      </c>
      <c r="E123">
        <v>4.6872999999999998E-2</v>
      </c>
      <c r="I123">
        <v>5.2384E-2</v>
      </c>
      <c r="M123">
        <v>5.6148999999999998E-2</v>
      </c>
      <c r="AA123">
        <v>3.6527999999999998E-2</v>
      </c>
      <c r="AE123">
        <v>3.0141000000000001E-2</v>
      </c>
      <c r="AI123">
        <v>5.6890000000000003E-2</v>
      </c>
    </row>
    <row r="124" spans="1:35">
      <c r="A124" t="s">
        <v>13</v>
      </c>
      <c r="B124">
        <f t="shared" ref="B124" si="18">AVERAGE(E124/E$89,I124/I$89,M124/M$89,AA124/AA$89,AE124/AE$89,AI124/AI$89)</f>
        <v>0.1172470302871368</v>
      </c>
      <c r="C124">
        <f t="shared" ref="C124" si="19">STDEV(E124/E$89,I124/I$89,M124/M$89,AA124/AA$89,AE124/AE$89,AI124/AI$89)/SQRT(D124)</f>
        <v>8.9944467435718756E-3</v>
      </c>
      <c r="D124">
        <f t="shared" ref="D124" si="20">COUNT(E124:AZ124)</f>
        <v>6</v>
      </c>
      <c r="E124">
        <v>1.3835999999999999E-2</v>
      </c>
      <c r="I124">
        <v>1.5547999999999999E-2</v>
      </c>
      <c r="M124">
        <v>1.3847E-2</v>
      </c>
      <c r="AA124">
        <v>1.0900999999999999E-2</v>
      </c>
      <c r="AE124">
        <v>2.3522999999999999E-2</v>
      </c>
      <c r="AI124">
        <v>1.1566E-2</v>
      </c>
    </row>
    <row r="125" spans="1:35">
      <c r="A125" t="s">
        <v>14</v>
      </c>
      <c r="B125">
        <f>AVERAGE(E125/E$89,I125/I$89,M125/M$89,AA125/AA$89,AE125/AE$89,AI125/AI$89)</f>
        <v>4.1858934987073576E-2</v>
      </c>
      <c r="C125">
        <f>STDEV(E125/E$89,I125/I$89,M125/M$89,AA125/AA$89,AE125/AE$89,AI125/AI$89)/SQRT(D125)</f>
        <v>4.3620293716365201E-3</v>
      </c>
      <c r="D125">
        <f>COUNT(E125:AZ125)</f>
        <v>6</v>
      </c>
      <c r="E125">
        <v>3.6738999999999999E-3</v>
      </c>
      <c r="I125">
        <v>4.9735999999999999E-3</v>
      </c>
      <c r="M125">
        <v>5.0131000000000004E-3</v>
      </c>
      <c r="AA125">
        <v>4.6483000000000002E-3</v>
      </c>
      <c r="AE125">
        <v>6.0521000000000004E-3</v>
      </c>
      <c r="AI125">
        <v>6.6033000000000003E-3</v>
      </c>
    </row>
    <row r="126" spans="1:35">
      <c r="A126" t="s">
        <v>56</v>
      </c>
      <c r="B126">
        <f>AVERAGE(E126/E$89,I126/I$89,M126/M$89,AA126/AA$89,AI126/AI$89)</f>
        <v>0.17981829117467646</v>
      </c>
      <c r="C126">
        <f>STDEV(E126/E$89,I126/I$89,M126/M$89,AA126/AA$89,AI126/AI$89)/SQRT(D126)</f>
        <v>3.6466619281889601E-2</v>
      </c>
      <c r="D126">
        <f t="shared" ref="D126" si="21">COUNT(E126:AZ126)</f>
        <v>5</v>
      </c>
      <c r="E126">
        <v>3.9065999999999997E-2</v>
      </c>
      <c r="I126">
        <v>2.8421999999999999E-2</v>
      </c>
      <c r="M126">
        <v>1.8331E-2</v>
      </c>
      <c r="AA126">
        <v>1.2289E-2</v>
      </c>
      <c r="AI126">
        <v>1.1599E-2</v>
      </c>
    </row>
    <row r="127" spans="1:35">
      <c r="A127" t="s">
        <v>57</v>
      </c>
      <c r="B127">
        <f>AVERAGE(AA127/AA$89,AE127/AE$89,AI127/AI$89)</f>
        <v>0.16890162521709387</v>
      </c>
      <c r="C127">
        <f>STDEV(AA127/AA$89,AE127/AE$89,AI127/AI$89)/SQRT(D127)</f>
        <v>1.6142681379043143E-2</v>
      </c>
      <c r="D127">
        <f>COUNT(E127:AZ127)</f>
        <v>3</v>
      </c>
      <c r="AA127">
        <v>1.4633999999999999E-2</v>
      </c>
      <c r="AE127">
        <v>2.1668E-2</v>
      </c>
      <c r="AI127">
        <v>2.4396999999999999E-2</v>
      </c>
    </row>
    <row r="128" spans="1:35">
      <c r="A128" t="s">
        <v>15</v>
      </c>
      <c r="B128">
        <f>AVERAGE(E128/E$89,I128/I$89,M128/M$89,AA128/AA$89,AE128/AE$89,AI128/AI$89)</f>
        <v>0.20642407792641718</v>
      </c>
      <c r="C128">
        <f>STDEV(E128/E$89,I128/I$89,M128/M$89,AA128/AA$89,AE128/AE$89,AI128/AI$89)/SQRT(D128)</f>
        <v>3.7367038724108473E-2</v>
      </c>
      <c r="D128">
        <f>COUNT(E128:AZ128)</f>
        <v>6</v>
      </c>
      <c r="E128">
        <v>1.5551000000000001E-2</v>
      </c>
      <c r="I128">
        <v>1.6455999999999998E-2</v>
      </c>
      <c r="M128">
        <v>1.6542000000000001E-2</v>
      </c>
      <c r="AA128">
        <v>2.3684E-2</v>
      </c>
      <c r="AE128">
        <v>4.2604999999999997E-2</v>
      </c>
      <c r="AI128">
        <v>3.9524999999999998E-2</v>
      </c>
    </row>
    <row r="129" spans="1:35">
      <c r="A129" t="s">
        <v>22</v>
      </c>
      <c r="B129">
        <f>AVERAGE(AA129/AA$89,AE129/AE$89,AI129/AI$89)</f>
        <v>0.11835261917964564</v>
      </c>
      <c r="C129">
        <f>STDEV(AA129/AA$89,AE129/AE$89,AI129/AI$89)/SQRT(D129)</f>
        <v>1.2721323627776728E-2</v>
      </c>
      <c r="D129">
        <f>COUNT(E129:AZ129)</f>
        <v>3</v>
      </c>
      <c r="AA129">
        <v>9.4581000000000005E-3</v>
      </c>
      <c r="AE129">
        <v>1.5263000000000001E-2</v>
      </c>
      <c r="AI129">
        <v>1.8332000000000001E-2</v>
      </c>
    </row>
    <row r="130" spans="1:35">
      <c r="A130" t="s">
        <v>59</v>
      </c>
      <c r="B130" t="s">
        <v>30</v>
      </c>
      <c r="C130" t="s">
        <v>30</v>
      </c>
      <c r="D130">
        <f t="shared" ref="D130:D131" si="22">COUNT(E130:Z130)</f>
        <v>0</v>
      </c>
    </row>
    <row r="131" spans="1:35">
      <c r="A131" t="s">
        <v>58</v>
      </c>
      <c r="B131" t="s">
        <v>30</v>
      </c>
      <c r="C131" t="s">
        <v>30</v>
      </c>
      <c r="D131">
        <f t="shared" si="22"/>
        <v>0</v>
      </c>
    </row>
    <row r="133" spans="1:35">
      <c r="A133" s="1" t="s">
        <v>17</v>
      </c>
    </row>
    <row r="134" spans="1:35">
      <c r="A134" t="s">
        <v>7</v>
      </c>
      <c r="B134">
        <f>AVERAGE(E134/E$89,I134/I$89,M134/M$89,AA134/AA$89,AE134/AE$89,AI134/AI$89)</f>
        <v>5.7239342733408381E-2</v>
      </c>
      <c r="C134">
        <f>STDEV(E134/E$89,I134/I$89,M134/M$89,AA134/AA$89,AE134/AE$89,AI134/AI$89)/SQRT(D134)</f>
        <v>1.3811265764640543E-2</v>
      </c>
      <c r="D134">
        <f>COUNT(E134:AZ134)</f>
        <v>6</v>
      </c>
      <c r="E134">
        <v>4.7349999999999996E-3</v>
      </c>
      <c r="I134">
        <v>4.6613999999999996E-3</v>
      </c>
      <c r="M134">
        <v>3.9709000000000003E-3</v>
      </c>
      <c r="AA134">
        <v>6.4968999999999999E-3</v>
      </c>
      <c r="AE134">
        <v>7.1130999999999998E-3</v>
      </c>
      <c r="AI134">
        <v>1.5036000000000001E-2</v>
      </c>
    </row>
    <row r="135" spans="1:35">
      <c r="A135" t="s">
        <v>8</v>
      </c>
      <c r="B135">
        <f t="shared" ref="B135:B138" si="23">AVERAGE(E135/E$89,I135/I$89,M135/M$89,AA135/AA$89,AE135/AE$89,AI135/AI$89)</f>
        <v>7.7008333458561812E-2</v>
      </c>
      <c r="C135">
        <f t="shared" ref="C135:C138" si="24">STDEV(E135/E$89,I135/I$89,M135/M$89,AA135/AA$89,AE135/AE$89,AI135/AI$89)/SQRT(D135)</f>
        <v>6.762236937071662E-3</v>
      </c>
      <c r="D135">
        <f t="shared" ref="D135:D138" si="25">COUNT(E135:AZ135)</f>
        <v>6</v>
      </c>
      <c r="E135">
        <v>7.9062999999999998E-3</v>
      </c>
      <c r="I135">
        <v>9.5194000000000008E-3</v>
      </c>
      <c r="M135">
        <v>7.2928000000000003E-3</v>
      </c>
      <c r="AA135">
        <v>7.5855999999999996E-3</v>
      </c>
      <c r="AE135">
        <v>1.3917000000000001E-2</v>
      </c>
      <c r="AI135">
        <v>1.1827000000000001E-2</v>
      </c>
    </row>
    <row r="136" spans="1:35">
      <c r="A136" t="s">
        <v>9</v>
      </c>
      <c r="B136">
        <f t="shared" si="23"/>
        <v>0.15056665595436378</v>
      </c>
      <c r="C136">
        <f t="shared" si="24"/>
        <v>7.4251353989176708E-3</v>
      </c>
      <c r="D136">
        <f t="shared" si="25"/>
        <v>6</v>
      </c>
      <c r="E136">
        <v>2.1679E-2</v>
      </c>
      <c r="I136">
        <v>1.9091E-2</v>
      </c>
      <c r="M136">
        <v>2.3369000000000001E-2</v>
      </c>
      <c r="AA136">
        <v>1.0919E-2</v>
      </c>
      <c r="AE136">
        <v>2.3354E-2</v>
      </c>
      <c r="AI136">
        <v>1.6934999999999999E-2</v>
      </c>
    </row>
    <row r="137" spans="1:35">
      <c r="A137" t="s">
        <v>10</v>
      </c>
      <c r="B137">
        <f t="shared" si="23"/>
        <v>0.2066947820950561</v>
      </c>
      <c r="C137">
        <f t="shared" si="24"/>
        <v>3.1773214171998534E-2</v>
      </c>
      <c r="D137">
        <f t="shared" si="25"/>
        <v>6</v>
      </c>
      <c r="E137">
        <v>2.0098999999999999E-2</v>
      </c>
      <c r="I137">
        <v>2.2259999999999999E-2</v>
      </c>
      <c r="M137">
        <v>1.6667000000000001E-2</v>
      </c>
      <c r="AA137">
        <v>2.7465E-2</v>
      </c>
      <c r="AE137">
        <v>3.2969999999999999E-2</v>
      </c>
      <c r="AI137">
        <v>3.1019999999999999E-2</v>
      </c>
    </row>
    <row r="138" spans="1:35">
      <c r="A138" t="s">
        <v>11</v>
      </c>
      <c r="B138">
        <f t="shared" si="23"/>
        <v>0.29038054460569879</v>
      </c>
      <c r="C138">
        <f t="shared" si="24"/>
        <v>2.1544217289816755E-2</v>
      </c>
      <c r="D138">
        <f t="shared" si="25"/>
        <v>6</v>
      </c>
      <c r="E138">
        <v>3.2205999999999999E-2</v>
      </c>
      <c r="I138">
        <v>3.2987000000000002E-2</v>
      </c>
      <c r="M138">
        <v>3.2189000000000002E-2</v>
      </c>
      <c r="AA138">
        <v>2.3019000000000001E-2</v>
      </c>
      <c r="AE138">
        <v>5.5506E-2</v>
      </c>
      <c r="AI138">
        <v>4.7072000000000003E-2</v>
      </c>
    </row>
    <row r="139" spans="1:35">
      <c r="A139" t="s">
        <v>49</v>
      </c>
      <c r="B139" t="s">
        <v>30</v>
      </c>
      <c r="C139" t="s">
        <v>30</v>
      </c>
      <c r="D139">
        <f t="shared" ref="D139" si="26">COUNT(E139:Z139)</f>
        <v>0</v>
      </c>
    </row>
    <row r="140" spans="1:35">
      <c r="A140" t="s">
        <v>12</v>
      </c>
      <c r="B140">
        <f>AVERAGE(E140/E$89,I140/I$89,M140/M$89,AA140/AA$89,AE140/AE$89,AI140/AI$89)</f>
        <v>0.48467035017222226</v>
      </c>
      <c r="C140">
        <f>STDEV(E140/E$89,I140/I$89,M140/M$89,AA140/AA$89,AE140/AE$89,AI140/AI$89)/SQRT(D140)</f>
        <v>1.7834755823900834E-2</v>
      </c>
      <c r="D140">
        <f>COUNT(E140:AZ140)</f>
        <v>6</v>
      </c>
      <c r="E140">
        <v>5.6487999999999997E-2</v>
      </c>
      <c r="I140">
        <v>5.9833999999999998E-2</v>
      </c>
      <c r="M140">
        <v>6.8460999999999994E-2</v>
      </c>
      <c r="AA140">
        <v>4.2789000000000001E-2</v>
      </c>
      <c r="AE140">
        <v>7.0795999999999998E-2</v>
      </c>
      <c r="AI140">
        <v>6.7315E-2</v>
      </c>
    </row>
    <row r="141" spans="1:35">
      <c r="A141" t="s">
        <v>13</v>
      </c>
      <c r="B141">
        <f t="shared" ref="B141" si="27">AVERAGE(E141/E$89,I141/I$89,M141/M$89,AA141/AA$89,AE141/AE$89,AI141/AI$89)</f>
        <v>9.271652931782548E-2</v>
      </c>
      <c r="C141">
        <f t="shared" ref="C141" si="28">STDEV(E141/E$89,I141/I$89,M141/M$89,AA141/AA$89,AE141/AE$89,AI141/AI$89)/SQRT(D141)</f>
        <v>2.2439099192636803E-2</v>
      </c>
      <c r="D141">
        <f t="shared" ref="D141" si="29">COUNT(E141:AZ141)</f>
        <v>6</v>
      </c>
      <c r="E141">
        <v>4.6481999999999999E-3</v>
      </c>
      <c r="I141">
        <v>6.7911999999999998E-3</v>
      </c>
      <c r="M141">
        <v>6.0987000000000003E-3</v>
      </c>
      <c r="AA141">
        <v>9.3293999999999998E-3</v>
      </c>
      <c r="AE141">
        <v>2.2571000000000001E-2</v>
      </c>
      <c r="AI141">
        <v>2.1329999999999998E-2</v>
      </c>
    </row>
    <row r="142" spans="1:35">
      <c r="A142" t="s">
        <v>14</v>
      </c>
      <c r="B142">
        <f>AVERAGE(E142/E$89,I142/I$89,M142/M$89,AA142/AA$89,AE142/AE$89,AI142/AI$89)</f>
        <v>3.0394751197823949E-2</v>
      </c>
      <c r="C142">
        <f>STDEV(E142/E$89,I142/I$89,M142/M$89,AA142/AA$89,AE142/AE$89,AI142/AI$89)/SQRT(D142)</f>
        <v>4.8268155421761624E-3</v>
      </c>
      <c r="D142">
        <f>COUNT(E142:AZ142)</f>
        <v>6</v>
      </c>
      <c r="E142">
        <v>2.5601999999999999E-3</v>
      </c>
      <c r="I142">
        <v>4.2716999999999998E-3</v>
      </c>
      <c r="M142">
        <v>3.5896000000000001E-3</v>
      </c>
      <c r="AA142">
        <v>4.2069999999999998E-3</v>
      </c>
      <c r="AE142">
        <v>3.5071E-3</v>
      </c>
      <c r="AI142">
        <v>3.6671E-3</v>
      </c>
    </row>
    <row r="143" spans="1:35">
      <c r="A143" t="s">
        <v>56</v>
      </c>
      <c r="B143">
        <f>AVERAGE(E143/E$89,I143/I$89,M143/M$89,AA143/AA$89,AE143/AE$89,AI143/AI$89)</f>
        <v>0.20082064987945114</v>
      </c>
      <c r="C143">
        <f>STDEV(E143/E$89,I143/I$89,M143/M$89,AA143/AA$89,AE143/AE$89,AI143/AI$89)/SQRT(D143)</f>
        <v>3.7691121937429108E-2</v>
      </c>
      <c r="D143">
        <f t="shared" ref="D143" si="30">COUNT(E143:AZ143)</f>
        <v>6</v>
      </c>
      <c r="E143">
        <v>4.1633000000000003E-2</v>
      </c>
      <c r="I143">
        <v>3.1449999999999999E-2</v>
      </c>
      <c r="M143">
        <v>1.9390999999999999E-2</v>
      </c>
      <c r="AA143">
        <v>1.5265000000000001E-2</v>
      </c>
      <c r="AE143">
        <v>8.7291999999999995E-3</v>
      </c>
      <c r="AI143">
        <v>3.2842000000000003E-2</v>
      </c>
    </row>
    <row r="144" spans="1:35">
      <c r="A144" t="s">
        <v>57</v>
      </c>
      <c r="B144">
        <f>AVERAGE(AA144/AA$89,AE144/AE$89,AI144/AI$89)</f>
        <v>0.17084207313837182</v>
      </c>
      <c r="C144">
        <f>STDEV(AA144/AA$89,AE144/AE$89,AI144/AI$89)/SQRT(D144)</f>
        <v>2.4136212201993752E-2</v>
      </c>
      <c r="D144">
        <f>COUNT(E144:AZ144)</f>
        <v>3</v>
      </c>
      <c r="AA144">
        <v>1.6416E-2</v>
      </c>
      <c r="AE144">
        <v>1.9727000000000001E-2</v>
      </c>
      <c r="AI144">
        <v>2.3841999999999999E-2</v>
      </c>
    </row>
    <row r="145" spans="1:35">
      <c r="A145" t="s">
        <v>15</v>
      </c>
      <c r="B145">
        <f>AVERAGE(E145/E$89,I145/I$89,M145/M$89,AA145/AA$89,AE145/AE$89,AI145/AI$89)</f>
        <v>0.19338877239810934</v>
      </c>
      <c r="C145">
        <f>STDEV(E145/E$89,I145/I$89,M145/M$89,AA145/AA$89,AE145/AE$89,AI145/AI$89)/SQRT(D145)</f>
        <v>5.5690768491221773E-2</v>
      </c>
      <c r="D145">
        <f>COUNT(E145:AZ145)</f>
        <v>6</v>
      </c>
      <c r="E145">
        <v>5.2350000000000001E-3</v>
      </c>
      <c r="I145">
        <v>1.7086E-2</v>
      </c>
      <c r="M145">
        <v>6.1152000000000003E-3</v>
      </c>
      <c r="AA145">
        <v>2.4974E-2</v>
      </c>
      <c r="AE145">
        <v>4.9910000000000003E-2</v>
      </c>
      <c r="AI145">
        <v>4.1267999999999999E-2</v>
      </c>
    </row>
    <row r="146" spans="1:35">
      <c r="A146" t="s">
        <v>22</v>
      </c>
      <c r="B146">
        <f>AVERAGE(AA146/AA$89,AE146/AE$89,AI146/AI$89)</f>
        <v>0.12939215299676471</v>
      </c>
      <c r="C146">
        <f>STDEV(AA146/AA$89,AE146/AE$89,AI146/AI$89)/SQRT(D146)</f>
        <v>1.298438337981112E-2</v>
      </c>
      <c r="D146">
        <f>COUNT(E146:AZ146)</f>
        <v>3</v>
      </c>
      <c r="AA146">
        <v>9.7628000000000003E-3</v>
      </c>
      <c r="AE146">
        <v>1.7651E-2</v>
      </c>
      <c r="AI146">
        <v>2.0192000000000002E-2</v>
      </c>
    </row>
    <row r="147" spans="1:35">
      <c r="A147" t="s">
        <v>59</v>
      </c>
      <c r="B147" t="s">
        <v>30</v>
      </c>
      <c r="C147" t="s">
        <v>30</v>
      </c>
      <c r="D147">
        <f t="shared" ref="D147:D148" si="31">COUNT(E147:Z147)</f>
        <v>0</v>
      </c>
    </row>
    <row r="148" spans="1:35">
      <c r="A148" t="s">
        <v>58</v>
      </c>
      <c r="B148" t="s">
        <v>30</v>
      </c>
      <c r="C148" t="s">
        <v>30</v>
      </c>
      <c r="D148">
        <f t="shared" si="31"/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F149"/>
  <sheetViews>
    <sheetView topLeftCell="A62" zoomScale="109" zoomScaleNormal="90" zoomScalePageLayoutView="90" workbookViewId="0">
      <pane xSplit="1" topLeftCell="B1" activePane="topRight" state="frozen"/>
      <selection pane="topRight" activeCell="G81" sqref="G81"/>
    </sheetView>
  </sheetViews>
  <sheetFormatPr baseColWidth="10" defaultRowHeight="16"/>
  <cols>
    <col min="1" max="1" width="17.6640625" bestFit="1" customWidth="1"/>
    <col min="5" max="5" width="22.1640625" customWidth="1"/>
    <col min="9" max="9" width="25.6640625" customWidth="1"/>
    <col min="13" max="13" width="26.1640625" customWidth="1"/>
    <col min="17" max="17" width="21.1640625" customWidth="1"/>
    <col min="21" max="21" width="23.83203125" customWidth="1"/>
  </cols>
  <sheetData>
    <row r="1" spans="1:30">
      <c r="A1" s="1" t="s">
        <v>32</v>
      </c>
      <c r="E1" s="74">
        <v>43423</v>
      </c>
      <c r="I1" s="74">
        <v>43423</v>
      </c>
      <c r="M1" s="13">
        <v>42516</v>
      </c>
      <c r="Q1" s="74" t="s">
        <v>242</v>
      </c>
      <c r="U1" s="74" t="s">
        <v>242</v>
      </c>
      <c r="AA1" s="13"/>
      <c r="AC1" s="13"/>
    </row>
    <row r="2" spans="1:30">
      <c r="A2" s="1" t="s">
        <v>33</v>
      </c>
      <c r="E2" s="75" t="s">
        <v>132</v>
      </c>
      <c r="I2" s="75" t="s">
        <v>132</v>
      </c>
      <c r="M2" s="14" t="s">
        <v>39</v>
      </c>
      <c r="Q2" s="75" t="s">
        <v>132</v>
      </c>
      <c r="U2" s="75" t="s">
        <v>132</v>
      </c>
      <c r="AA2" s="14" t="s">
        <v>132</v>
      </c>
      <c r="AC2" s="14" t="s">
        <v>132</v>
      </c>
    </row>
    <row r="3" spans="1:30">
      <c r="A3" s="1" t="s">
        <v>34</v>
      </c>
      <c r="E3" s="76" t="s">
        <v>133</v>
      </c>
      <c r="I3" s="76" t="s">
        <v>136</v>
      </c>
      <c r="M3" s="28" t="s">
        <v>75</v>
      </c>
      <c r="Q3" s="76" t="s">
        <v>215</v>
      </c>
      <c r="U3" s="76" t="s">
        <v>243</v>
      </c>
      <c r="AA3" s="28" t="s">
        <v>133</v>
      </c>
      <c r="AC3" s="28" t="s">
        <v>136</v>
      </c>
    </row>
    <row r="4" spans="1:30">
      <c r="A4" s="1" t="s">
        <v>35</v>
      </c>
      <c r="E4" s="75" t="s">
        <v>41</v>
      </c>
      <c r="I4" s="75" t="s">
        <v>41</v>
      </c>
      <c r="M4" s="14" t="s">
        <v>41</v>
      </c>
      <c r="Q4" s="75" t="s">
        <v>41</v>
      </c>
      <c r="U4" s="75" t="s">
        <v>41</v>
      </c>
      <c r="AA4" s="14" t="s">
        <v>41</v>
      </c>
      <c r="AC4" s="14" t="s">
        <v>41</v>
      </c>
    </row>
    <row r="5" spans="1:30">
      <c r="A5" s="1" t="s">
        <v>36</v>
      </c>
      <c r="E5" s="67" t="s">
        <v>134</v>
      </c>
      <c r="I5" s="67" t="s">
        <v>134</v>
      </c>
      <c r="M5" s="29" t="s">
        <v>134</v>
      </c>
      <c r="Q5" s="67" t="s">
        <v>134</v>
      </c>
      <c r="U5" s="67" t="s">
        <v>134</v>
      </c>
      <c r="AA5" s="29" t="s">
        <v>134</v>
      </c>
      <c r="AC5" s="29" t="s">
        <v>134</v>
      </c>
    </row>
    <row r="6" spans="1:30">
      <c r="A6" s="1" t="s">
        <v>37</v>
      </c>
      <c r="E6" s="44">
        <v>200</v>
      </c>
      <c r="I6" s="44">
        <v>200</v>
      </c>
      <c r="M6" s="2">
        <v>200</v>
      </c>
      <c r="Q6" s="44">
        <v>200</v>
      </c>
      <c r="U6" s="44">
        <v>200</v>
      </c>
      <c r="AA6" s="2"/>
      <c r="AC6" s="2"/>
    </row>
    <row r="7" spans="1:30">
      <c r="A7" s="1" t="s">
        <v>38</v>
      </c>
      <c r="E7" s="44">
        <v>0.1</v>
      </c>
      <c r="I7" s="44">
        <v>0.1</v>
      </c>
      <c r="M7" s="2">
        <v>0.05</v>
      </c>
      <c r="Q7" s="44">
        <v>0.1</v>
      </c>
      <c r="U7" s="44">
        <v>0.1</v>
      </c>
      <c r="AA7" s="2"/>
      <c r="AC7" s="2"/>
    </row>
    <row r="8" spans="1:30">
      <c r="A8" s="1" t="s">
        <v>43</v>
      </c>
      <c r="E8">
        <v>0.18698009510862501</v>
      </c>
      <c r="I8">
        <v>0.16628542970448701</v>
      </c>
      <c r="M8">
        <v>0.124730391827913</v>
      </c>
      <c r="Q8">
        <f>AVERAGE(0.202003348,0.213662263)</f>
        <v>0.2078328055</v>
      </c>
      <c r="U8">
        <f>AVERAGE(0.166959691,0.148663256)</f>
        <v>0.15781147349999999</v>
      </c>
    </row>
    <row r="9" spans="1:30">
      <c r="A9" s="1" t="s">
        <v>53</v>
      </c>
      <c r="E9">
        <f>E22</f>
        <v>0.18936</v>
      </c>
      <c r="I9">
        <f>I22</f>
        <v>0.16644999999999999</v>
      </c>
      <c r="M9">
        <f>M22</f>
        <v>0.12472999999999999</v>
      </c>
      <c r="Q9">
        <f>AVERAGE(Q22:R22)</f>
        <v>0.20800000000000002</v>
      </c>
      <c r="U9">
        <f>AVERAGE(U22:V22)</f>
        <v>0.15933999999999998</v>
      </c>
      <c r="AA9">
        <v>0.21127000000000001</v>
      </c>
      <c r="AB9">
        <v>0.21936</v>
      </c>
      <c r="AC9">
        <v>0.21531</v>
      </c>
      <c r="AD9">
        <v>0.21148</v>
      </c>
    </row>
    <row r="10" spans="1:30">
      <c r="A10" s="1" t="s">
        <v>44</v>
      </c>
      <c r="B10" s="22">
        <f>AVERAGE(E10:AZ10)</f>
        <v>88.075199121031361</v>
      </c>
      <c r="C10" s="22">
        <f>STDEV(E10:AZ10)/SQRT(D10)</f>
        <v>6.924516049452321</v>
      </c>
      <c r="D10" s="1">
        <f>COUNT(E10:AZ10)</f>
        <v>5</v>
      </c>
      <c r="E10" s="21">
        <f>E6*E7*(1-E8)/E8</f>
        <v>86.963257176551949</v>
      </c>
      <c r="I10" s="21">
        <f>I6*I7*(1-I8)/I8</f>
        <v>100.27511992808306</v>
      </c>
      <c r="M10" s="21">
        <f>M6*M7*(1-M8)/M8</f>
        <v>70.17292220004181</v>
      </c>
      <c r="Q10" s="21">
        <f>Q6*Q7*(1-Q8)/Q8</f>
        <v>76.231198688216722</v>
      </c>
      <c r="U10" s="21">
        <f>U6*U7*(1-U8)/U8</f>
        <v>106.73349761226329</v>
      </c>
      <c r="AA10" s="21"/>
    </row>
    <row r="11" spans="1:30">
      <c r="A11" s="1" t="s">
        <v>292</v>
      </c>
      <c r="C11" s="43">
        <f>AVERAGE(E11:U11)</f>
        <v>0.99419079526970844</v>
      </c>
      <c r="E11">
        <f>(1-E9)*E8/E9/(1-E8)</f>
        <v>0.98454139933926199</v>
      </c>
      <c r="I11">
        <f>(1-I9)*I8/I9/(1-I8)</f>
        <v>0.99881409402267318</v>
      </c>
      <c r="M11">
        <f>(1-M9)*M8/M9/(1-M8)</f>
        <v>1.0000035890755461</v>
      </c>
      <c r="Q11">
        <f>(1-Q9)*Q8/Q9/(1-Q8)</f>
        <v>0.99898529033123384</v>
      </c>
      <c r="U11">
        <f>(1-U9)*U8/U9/(1-U8)</f>
        <v>0.98860960357982686</v>
      </c>
    </row>
    <row r="12" spans="1:30">
      <c r="A12" s="1" t="s">
        <v>33</v>
      </c>
      <c r="E12" t="s">
        <v>132</v>
      </c>
      <c r="I12" t="s">
        <v>132</v>
      </c>
      <c r="M12" t="s">
        <v>39</v>
      </c>
      <c r="Q12" t="s">
        <v>132</v>
      </c>
      <c r="S12" t="s">
        <v>39</v>
      </c>
      <c r="U12" t="s">
        <v>132</v>
      </c>
      <c r="W12" t="s">
        <v>39</v>
      </c>
      <c r="AA12" t="s">
        <v>132</v>
      </c>
      <c r="AC12" t="s">
        <v>132</v>
      </c>
    </row>
    <row r="13" spans="1:30">
      <c r="A13" s="1" t="s">
        <v>45</v>
      </c>
      <c r="E13" t="s">
        <v>47</v>
      </c>
      <c r="I13" t="s">
        <v>47</v>
      </c>
      <c r="M13" t="s">
        <v>47</v>
      </c>
      <c r="Q13" t="s">
        <v>241</v>
      </c>
      <c r="S13" t="s">
        <v>85</v>
      </c>
      <c r="U13" t="s">
        <v>241</v>
      </c>
      <c r="W13" t="s">
        <v>85</v>
      </c>
      <c r="AA13" t="s">
        <v>47</v>
      </c>
      <c r="AC13" t="s">
        <v>47</v>
      </c>
    </row>
    <row r="14" spans="1:30" s="61" customFormat="1" ht="51">
      <c r="A14" s="60" t="s">
        <v>31</v>
      </c>
      <c r="E14" s="62" t="s">
        <v>135</v>
      </c>
      <c r="I14" s="62" t="s">
        <v>135</v>
      </c>
      <c r="M14" s="62" t="s">
        <v>147</v>
      </c>
      <c r="Q14" s="62" t="s">
        <v>240</v>
      </c>
      <c r="S14" s="63" t="s">
        <v>279</v>
      </c>
      <c r="U14" s="62" t="s">
        <v>240</v>
      </c>
      <c r="W14" s="63" t="s">
        <v>279</v>
      </c>
      <c r="AA14" s="62" t="s">
        <v>214</v>
      </c>
      <c r="AC14" s="62" t="s">
        <v>214</v>
      </c>
    </row>
    <row r="16" spans="1:30">
      <c r="A16" s="1" t="s">
        <v>50</v>
      </c>
      <c r="E16" s="36"/>
      <c r="I16" s="36"/>
      <c r="M16" s="36" t="s">
        <v>148</v>
      </c>
    </row>
    <row r="17" spans="1:30">
      <c r="B17" s="1" t="s">
        <v>5</v>
      </c>
      <c r="C17" s="1" t="s">
        <v>6</v>
      </c>
      <c r="D17" s="1" t="s">
        <v>55</v>
      </c>
    </row>
    <row r="18" spans="1:30">
      <c r="A18" s="1" t="s">
        <v>0</v>
      </c>
    </row>
    <row r="19" spans="1:30">
      <c r="A19" t="s">
        <v>60</v>
      </c>
      <c r="B19" s="3">
        <f>AVERAGE(E19/E$9,I19/I$9,AVERAGE(Q19/Q$9,R19/Q$9),AVERAGE(U19/U$9,V19/U$9))</f>
        <v>0.19798248274006544</v>
      </c>
      <c r="C19" s="3">
        <f>STDEV(E19/E$9,I19/I$9,AVERAGE(Q19/Q$9,R19/Q$9),AVERAGE(U19/U$9,V19/U$9))/SQRT(D19)</f>
        <v>2.4143090761754651E-2</v>
      </c>
      <c r="D19">
        <f>COUNT(E19:AZ19)-2</f>
        <v>4</v>
      </c>
      <c r="E19">
        <v>4.1530999999999998E-2</v>
      </c>
      <c r="I19">
        <v>3.8133E-2</v>
      </c>
      <c r="Q19">
        <v>2.5056999999999999E-2</v>
      </c>
      <c r="R19">
        <v>2.734E-2</v>
      </c>
      <c r="U19">
        <v>3.2818E-2</v>
      </c>
      <c r="V19">
        <v>3.6512999999999997E-2</v>
      </c>
    </row>
    <row r="20" spans="1:30">
      <c r="A20" t="s">
        <v>61</v>
      </c>
      <c r="B20" s="3">
        <f>AVERAGE(E20/E$9,I20/I$9,M20/M$9,AVERAGE(Q20/Q$9,R20/Q$9),AVERAGE(U20/U$9,V20/U$9))</f>
        <v>0.21608123089021208</v>
      </c>
      <c r="C20" s="3">
        <f>STDEV(E20/E$9,I20/I$9,M20/M$9,AVERAGE(Q20/Q$9,R20/Q$9),AVERAGE(U20/U$9,V20/U$9))/SQRT(D20)</f>
        <v>1.6244571212990076E-2</v>
      </c>
      <c r="D20">
        <f>COUNT(E20:AZ20)-2</f>
        <v>5</v>
      </c>
      <c r="E20">
        <v>4.5822000000000002E-2</v>
      </c>
      <c r="I20">
        <v>3.9731000000000002E-2</v>
      </c>
      <c r="M20">
        <v>2.2726E-2</v>
      </c>
      <c r="Q20">
        <v>3.2049000000000001E-2</v>
      </c>
      <c r="R20">
        <v>3.9119000000000001E-2</v>
      </c>
      <c r="U20">
        <v>3.8601000000000003E-2</v>
      </c>
      <c r="V20">
        <v>3.9937E-2</v>
      </c>
    </row>
    <row r="21" spans="1:30">
      <c r="A21" t="s">
        <v>62</v>
      </c>
      <c r="B21" s="3">
        <f>AVERAGE(E21/E$9,I21/I$9,AVERAGE(Q21/Q$9,R21/Q$9),AVERAGE(U21/U$9,V21/U$9))</f>
        <v>7.7417373794485045E-2</v>
      </c>
      <c r="C21" s="3">
        <f>STDEV(E21/E$9,I21/I$9,AVERAGE(Q21/Q$9,R21/Q$9),AVERAGE(U21/U$9,V21/U$9))/SQRT(D21)</f>
        <v>1.1516131479017432E-2</v>
      </c>
      <c r="D21">
        <f>COUNT(E21:AZ21)-2</f>
        <v>4</v>
      </c>
      <c r="E21">
        <v>1.3878E-2</v>
      </c>
      <c r="I21">
        <v>1.8043E-2</v>
      </c>
      <c r="Q21">
        <v>1.0768E-2</v>
      </c>
      <c r="R21">
        <v>1.1164E-2</v>
      </c>
      <c r="U21">
        <v>1.1756000000000001E-2</v>
      </c>
      <c r="V21">
        <v>1.2227999999999999E-2</v>
      </c>
    </row>
    <row r="22" spans="1:30">
      <c r="A22" t="s">
        <v>63</v>
      </c>
      <c r="B22" s="3">
        <f>AVERAGE(E22/E$9,I22/I$9,M22/M$9,AVERAGE(Q22/Q$9,R22/Q$9),AVERAGE(U22/U$9,V22/U$9))</f>
        <v>1</v>
      </c>
      <c r="C22" s="3">
        <f>STDEV(E22/E$9,I22/I$9,M22/M$9,AVERAGE(Q22/Q$9,R22/Q$9),AVERAGE(U22/U$9,V22/U$9))/SQRT(D22)</f>
        <v>0</v>
      </c>
      <c r="D22">
        <f>COUNT(E22:AZ22)-2</f>
        <v>5</v>
      </c>
      <c r="E22">
        <v>0.18936</v>
      </c>
      <c r="I22">
        <v>0.16644999999999999</v>
      </c>
      <c r="M22">
        <v>0.12472999999999999</v>
      </c>
      <c r="Q22">
        <v>0.20215</v>
      </c>
      <c r="R22">
        <v>0.21385000000000001</v>
      </c>
      <c r="U22">
        <v>0.16861999999999999</v>
      </c>
      <c r="V22">
        <v>0.15006</v>
      </c>
    </row>
    <row r="23" spans="1:30">
      <c r="A23" t="s">
        <v>64</v>
      </c>
      <c r="B23" s="3">
        <f>AVERAGE(E23/E$9,I23/I$9,AVERAGE(Q23/Q$9,R23/Q$9),AVERAGE(U23/U$9,V23/U$9))</f>
        <v>0</v>
      </c>
      <c r="C23" s="3">
        <f>STDEV(E23/E$9,I23/I$9,AVERAGE(Q23/Q$9,R23/Q$9),AVERAGE(U23/U$9,V23/U$9))/SQRT(D23)</f>
        <v>0</v>
      </c>
      <c r="D23">
        <f>COUNT(E23:AZ23)-2</f>
        <v>4</v>
      </c>
      <c r="E23">
        <v>0</v>
      </c>
      <c r="I23">
        <v>0</v>
      </c>
      <c r="Q23">
        <v>0</v>
      </c>
      <c r="R23">
        <v>0</v>
      </c>
      <c r="U23">
        <v>0</v>
      </c>
      <c r="V23">
        <v>0</v>
      </c>
    </row>
    <row r="24" spans="1:30">
      <c r="A24" t="s">
        <v>65</v>
      </c>
      <c r="B24" s="3">
        <f t="shared" ref="B24:B29" si="0">AVERAGE(E24/E$9,I24/I$9,AVERAGE(Q24/Q$9,R24/Q$9),AVERAGE(U24/U$9,V24/U$9))</f>
        <v>2.0187744067287478E-5</v>
      </c>
      <c r="C24" s="3">
        <f t="shared" ref="C24:C29" si="1">STDEV(E24/E$9,I24/I$9,AVERAGE(Q24/Q$9,R24/Q$9),AVERAGE(U24/U$9,V24/U$9))/SQRT(D24)</f>
        <v>2.0187744067287478E-5</v>
      </c>
      <c r="D24">
        <f t="shared" ref="D24:D29" si="2">COUNT(E24:AZ24)-2</f>
        <v>4</v>
      </c>
      <c r="E24">
        <v>0</v>
      </c>
      <c r="I24" s="15">
        <v>1.3441000000000001E-5</v>
      </c>
      <c r="Q24">
        <v>0</v>
      </c>
      <c r="R24">
        <v>0</v>
      </c>
      <c r="U24">
        <v>0</v>
      </c>
      <c r="V24">
        <v>0</v>
      </c>
    </row>
    <row r="25" spans="1:30">
      <c r="A25" t="s">
        <v>66</v>
      </c>
      <c r="B25" s="3">
        <f t="shared" si="0"/>
        <v>6.1947115384615377E-5</v>
      </c>
      <c r="C25" s="3">
        <f t="shared" si="1"/>
        <v>6.1947115384615377E-5</v>
      </c>
      <c r="D25">
        <f t="shared" si="2"/>
        <v>4</v>
      </c>
      <c r="E25">
        <v>0</v>
      </c>
      <c r="I25">
        <v>0</v>
      </c>
      <c r="Q25">
        <v>1.0308E-4</v>
      </c>
      <c r="R25">
        <v>0</v>
      </c>
      <c r="U25">
        <v>0</v>
      </c>
      <c r="V25">
        <v>0</v>
      </c>
    </row>
    <row r="26" spans="1:30">
      <c r="A26" t="s">
        <v>67</v>
      </c>
      <c r="B26" s="3">
        <f t="shared" si="0"/>
        <v>0</v>
      </c>
      <c r="C26" s="3">
        <f t="shared" si="1"/>
        <v>0</v>
      </c>
      <c r="D26">
        <f t="shared" si="2"/>
        <v>4</v>
      </c>
      <c r="E26">
        <v>0</v>
      </c>
      <c r="I26">
        <v>0</v>
      </c>
      <c r="Q26">
        <v>0</v>
      </c>
      <c r="R26">
        <v>0</v>
      </c>
      <c r="U26">
        <v>0</v>
      </c>
      <c r="V26">
        <v>0</v>
      </c>
    </row>
    <row r="27" spans="1:30">
      <c r="A27" t="s">
        <v>71</v>
      </c>
      <c r="B27" s="3">
        <f t="shared" si="0"/>
        <v>0</v>
      </c>
      <c r="C27" s="3">
        <f t="shared" si="1"/>
        <v>0</v>
      </c>
      <c r="D27">
        <f t="shared" si="2"/>
        <v>4</v>
      </c>
      <c r="E27">
        <v>0</v>
      </c>
      <c r="I27">
        <v>0</v>
      </c>
      <c r="Q27">
        <v>0</v>
      </c>
      <c r="R27">
        <v>0</v>
      </c>
      <c r="U27">
        <v>0</v>
      </c>
      <c r="V27">
        <v>0</v>
      </c>
    </row>
    <row r="28" spans="1:30">
      <c r="A28" t="s">
        <v>72</v>
      </c>
      <c r="B28" s="3">
        <f t="shared" si="0"/>
        <v>0</v>
      </c>
      <c r="C28" s="3">
        <f t="shared" si="1"/>
        <v>0</v>
      </c>
      <c r="D28">
        <f t="shared" si="2"/>
        <v>4</v>
      </c>
      <c r="E28">
        <v>0</v>
      </c>
      <c r="I28">
        <v>0</v>
      </c>
      <c r="Q28">
        <v>0</v>
      </c>
      <c r="R28">
        <v>0</v>
      </c>
      <c r="U28">
        <v>0</v>
      </c>
      <c r="V28">
        <v>0</v>
      </c>
    </row>
    <row r="29" spans="1:30">
      <c r="A29" t="s">
        <v>69</v>
      </c>
      <c r="B29" s="3">
        <f t="shared" si="0"/>
        <v>2.5551412410674067E-2</v>
      </c>
      <c r="C29" s="3">
        <f t="shared" si="1"/>
        <v>9.6279301444534074E-3</v>
      </c>
      <c r="D29">
        <f t="shared" si="2"/>
        <v>4</v>
      </c>
      <c r="E29">
        <v>4.0505999999999997E-3</v>
      </c>
      <c r="I29">
        <v>0</v>
      </c>
      <c r="Q29">
        <v>6.4958999999999998E-3</v>
      </c>
      <c r="R29">
        <v>1.0052999999999999E-2</v>
      </c>
      <c r="U29">
        <v>3.5942999999999999E-3</v>
      </c>
      <c r="V29">
        <v>9.4823000000000008E-3</v>
      </c>
    </row>
    <row r="30" spans="1:30" s="44" customFormat="1">
      <c r="A30" s="44" t="s">
        <v>68</v>
      </c>
      <c r="B30" s="44" t="s">
        <v>30</v>
      </c>
      <c r="C30" s="44" t="s">
        <v>30</v>
      </c>
      <c r="D30" s="44">
        <f t="shared" ref="D30" si="3">COUNT(E30:AZ30)</f>
        <v>0</v>
      </c>
    </row>
    <row r="31" spans="1:30">
      <c r="A31" t="s">
        <v>70</v>
      </c>
      <c r="B31">
        <f>AVERAGE(S31/Q9,W31/U9,AVERAGE(AA31/AA9,AB31/AB9),AVERAGE(AC31/AC9,AD31/AD9))</f>
        <v>9.1052157813301705E-3</v>
      </c>
      <c r="C31">
        <f>STDEV(S31/Q9,W31/U9,AVERAGE(AA31/AA9,AB31/AB9),AVERAGE(AC31/AC9,AD31/AD9))/SQRT(D31)</f>
        <v>3.6921002616205289E-3</v>
      </c>
      <c r="D31">
        <v>4</v>
      </c>
      <c r="S31">
        <v>1.4168621996089299E-3</v>
      </c>
      <c r="W31">
        <v>0</v>
      </c>
      <c r="AA31">
        <v>2.4459999999999998E-3</v>
      </c>
      <c r="AB31">
        <v>2.9524999999999998E-3</v>
      </c>
      <c r="AC31">
        <v>3.4705999999999999E-3</v>
      </c>
      <c r="AD31">
        <v>3.8197000000000001E-3</v>
      </c>
    </row>
    <row r="32" spans="1:30">
      <c r="A32" t="s">
        <v>23</v>
      </c>
      <c r="B32" s="3">
        <f>AVERAGE(E32/E$9,I32/I$9,AVERAGE(Q32/Q$9,R32/Q$9),AVERAGE(U32/U$9,V32/U$9))</f>
        <v>0</v>
      </c>
      <c r="C32" s="3">
        <f>STDEV(E32/E$9,I32/I$9,AVERAGE(Q32/Q$9,R32/Q$9),AVERAGE(U32/U$9,V32/U$9))/SQRT(D32)</f>
        <v>0</v>
      </c>
      <c r="D32">
        <f>COUNT(E32:AZ32)-2</f>
        <v>4</v>
      </c>
      <c r="E32">
        <v>0</v>
      </c>
      <c r="I32">
        <v>0</v>
      </c>
      <c r="Q32">
        <v>0</v>
      </c>
      <c r="R32">
        <v>0</v>
      </c>
      <c r="U32">
        <v>0</v>
      </c>
      <c r="V32">
        <v>0</v>
      </c>
    </row>
    <row r="33" spans="1:22">
      <c r="A33" t="s">
        <v>24</v>
      </c>
      <c r="B33" s="3">
        <f>AVERAGE(E33/E$9,I33/I$9,AVERAGE(Q33/Q$9,R33/Q$9),AVERAGE(U33/U$9,V33/U$9))</f>
        <v>0</v>
      </c>
      <c r="C33" s="3">
        <f>STDEV(E33/E$9,I33/I$9,AVERAGE(Q33/Q$9,R33/Q$9),AVERAGE(U33/U$9,V33/U$9))/SQRT(D33)</f>
        <v>0</v>
      </c>
      <c r="D33">
        <f>COUNT(E33:AZ33)-2</f>
        <v>4</v>
      </c>
      <c r="E33">
        <v>0</v>
      </c>
      <c r="I33">
        <v>0</v>
      </c>
      <c r="Q33">
        <v>0</v>
      </c>
      <c r="R33">
        <v>0</v>
      </c>
      <c r="U33">
        <v>0</v>
      </c>
      <c r="V33">
        <v>0</v>
      </c>
    </row>
    <row r="36" spans="1:22">
      <c r="A36" s="1" t="s">
        <v>16</v>
      </c>
    </row>
    <row r="37" spans="1:22">
      <c r="A37" t="s">
        <v>7</v>
      </c>
      <c r="B37" s="3">
        <f>AVERAGE(E37/E$9,I37/I$9,Q37/Q$9,U37/U$9)</f>
        <v>0.18917946971759614</v>
      </c>
      <c r="C37" s="3">
        <f>STDEV(E37/E$9,I37/I$9,Q37/Q$9,U37/U$9)/SQRT(D37)</f>
        <v>2.0534082826039909E-2</v>
      </c>
      <c r="D37">
        <f t="shared" ref="D37" si="4">COUNT(E37:AZ37)</f>
        <v>4</v>
      </c>
      <c r="E37">
        <v>3.7304999999999998E-2</v>
      </c>
      <c r="I37">
        <v>3.4918999999999999E-2</v>
      </c>
      <c r="Q37">
        <v>2.6894999999999999E-2</v>
      </c>
      <c r="U37">
        <v>3.5153999999999998E-2</v>
      </c>
    </row>
    <row r="38" spans="1:22">
      <c r="A38" t="s">
        <v>8</v>
      </c>
      <c r="B38" s="3">
        <f t="shared" ref="B38:B41" si="5">AVERAGE(E38/E$9,I38/I$9,Q38/Q$9,U38/U$9)</f>
        <v>4.6455180237515742E-2</v>
      </c>
      <c r="C38" s="3">
        <f t="shared" ref="C38:C41" si="6">STDEV(E38/E$9,I38/I$9,Q38/Q$9,U38/U$9)/SQRT(D38)</f>
        <v>4.2337748018918091E-3</v>
      </c>
      <c r="D38">
        <f t="shared" ref="D38:D41" si="7">COUNT(E38:AZ38)</f>
        <v>4</v>
      </c>
      <c r="E38">
        <v>8.2678000000000005E-3</v>
      </c>
      <c r="I38">
        <v>9.6742000000000009E-3</v>
      </c>
      <c r="Q38">
        <v>7.9098999999999992E-3</v>
      </c>
      <c r="U38">
        <v>7.3312000000000004E-3</v>
      </c>
    </row>
    <row r="39" spans="1:22">
      <c r="A39" t="s">
        <v>9</v>
      </c>
      <c r="B39" s="3">
        <f t="shared" si="5"/>
        <v>9.5312153063187466E-2</v>
      </c>
      <c r="C39" s="3">
        <f t="shared" si="6"/>
        <v>3.0785214421891555E-2</v>
      </c>
      <c r="D39">
        <f t="shared" si="7"/>
        <v>4</v>
      </c>
      <c r="E39">
        <v>1.8874E-3</v>
      </c>
      <c r="I39">
        <v>2.1717E-2</v>
      </c>
      <c r="Q39">
        <v>1.9172999999999999E-2</v>
      </c>
      <c r="U39">
        <v>2.3682999999999999E-2</v>
      </c>
    </row>
    <row r="40" spans="1:22">
      <c r="A40" t="s">
        <v>10</v>
      </c>
      <c r="B40" s="3">
        <f t="shared" si="5"/>
        <v>0.16938272924596653</v>
      </c>
      <c r="C40" s="3">
        <f t="shared" si="6"/>
        <v>1.3588274942077382E-2</v>
      </c>
      <c r="D40">
        <f t="shared" si="7"/>
        <v>4</v>
      </c>
      <c r="E40">
        <v>2.9974000000000001E-2</v>
      </c>
      <c r="I40">
        <v>3.0838999999999998E-2</v>
      </c>
      <c r="Q40">
        <v>2.8443E-2</v>
      </c>
      <c r="U40">
        <v>3.1425000000000002E-2</v>
      </c>
    </row>
    <row r="41" spans="1:22">
      <c r="A41" t="s">
        <v>11</v>
      </c>
      <c r="B41" s="3">
        <f t="shared" si="5"/>
        <v>5.4568251409527493E-2</v>
      </c>
      <c r="C41" s="3">
        <f t="shared" si="6"/>
        <v>8.5323340559479485E-3</v>
      </c>
      <c r="D41">
        <f t="shared" si="7"/>
        <v>4</v>
      </c>
      <c r="E41">
        <v>8.7358000000000002E-3</v>
      </c>
      <c r="I41">
        <v>9.4701999999999998E-3</v>
      </c>
      <c r="Q41">
        <v>7.8820000000000001E-3</v>
      </c>
      <c r="U41">
        <v>1.2324999999999999E-2</v>
      </c>
    </row>
    <row r="42" spans="1:22">
      <c r="A42" t="s">
        <v>49</v>
      </c>
      <c r="B42" s="3">
        <f>AVERAGE(Q42/Q$9,U42/U$9)</f>
        <v>9.9382433910071344E-2</v>
      </c>
      <c r="C42" s="3">
        <f>STDEV(Q42/Q$9,U42/U$9)/SQRT(D42)</f>
        <v>1.3545895448532993E-2</v>
      </c>
      <c r="D42">
        <f t="shared" ref="D42:D46" si="8">COUNT(E42:AZ42)</f>
        <v>2</v>
      </c>
      <c r="Q42">
        <v>1.7853999999999998E-2</v>
      </c>
      <c r="U42">
        <v>1.7994E-2</v>
      </c>
    </row>
    <row r="43" spans="1:22">
      <c r="A43" t="s">
        <v>12</v>
      </c>
      <c r="B43" s="3">
        <f t="shared" ref="B43:B46" si="9">AVERAGE(E43/E$9,I43/I$9,Q43/Q$9,U43/U$9)</f>
        <v>0.18073727353094671</v>
      </c>
      <c r="C43" s="3">
        <f t="shared" ref="C43:C46" si="10">STDEV(E43/E$9,I43/I$9,Q43/Q$9,U43/U$9)/SQRT(D43)</f>
        <v>1.3305550456605137E-2</v>
      </c>
      <c r="D43">
        <f t="shared" si="8"/>
        <v>4</v>
      </c>
      <c r="E43">
        <v>3.4118999999999997E-2</v>
      </c>
      <c r="I43">
        <v>3.6344000000000001E-2</v>
      </c>
      <c r="Q43">
        <v>3.3033E-2</v>
      </c>
      <c r="U43">
        <v>2.6388000000000002E-2</v>
      </c>
    </row>
    <row r="44" spans="1:22">
      <c r="A44" t="s">
        <v>13</v>
      </c>
      <c r="B44" s="3">
        <f t="shared" si="9"/>
        <v>0.11680063541913191</v>
      </c>
      <c r="C44" s="3">
        <f t="shared" si="10"/>
        <v>9.7938679965687021E-3</v>
      </c>
      <c r="D44">
        <f t="shared" si="8"/>
        <v>4</v>
      </c>
      <c r="E44">
        <v>2.1621000000000001E-2</v>
      </c>
      <c r="I44">
        <v>1.9564999999999999E-2</v>
      </c>
      <c r="Q44">
        <v>1.9519999999999999E-2</v>
      </c>
      <c r="U44">
        <v>2.2568000000000001E-2</v>
      </c>
    </row>
    <row r="45" spans="1:22">
      <c r="A45" t="s">
        <v>14</v>
      </c>
      <c r="B45" s="3">
        <f t="shared" si="9"/>
        <v>2.251269475418451E-2</v>
      </c>
      <c r="C45" s="3">
        <f t="shared" si="10"/>
        <v>2.940053702523069E-3</v>
      </c>
      <c r="D45">
        <f t="shared" si="8"/>
        <v>4</v>
      </c>
      <c r="E45">
        <v>4.0930999999999997E-3</v>
      </c>
      <c r="I45">
        <v>4.8187999999999998E-3</v>
      </c>
      <c r="Q45">
        <v>3.1075E-3</v>
      </c>
      <c r="U45">
        <v>3.9110000000000004E-3</v>
      </c>
    </row>
    <row r="46" spans="1:22">
      <c r="A46" t="s">
        <v>56</v>
      </c>
      <c r="B46" s="3">
        <f t="shared" si="9"/>
        <v>0.1100903043697191</v>
      </c>
      <c r="C46" s="3">
        <f t="shared" si="10"/>
        <v>2.6225587923932276E-2</v>
      </c>
      <c r="D46">
        <f t="shared" si="8"/>
        <v>4</v>
      </c>
      <c r="E46">
        <v>2.6699000000000001E-2</v>
      </c>
      <c r="I46">
        <v>8.7007999999999999E-3</v>
      </c>
      <c r="Q46">
        <v>3.4514000000000003E-2</v>
      </c>
      <c r="U46">
        <v>1.2932000000000001E-2</v>
      </c>
    </row>
    <row r="47" spans="1:22">
      <c r="A47" t="s">
        <v>57</v>
      </c>
      <c r="B47" t="s">
        <v>30</v>
      </c>
      <c r="C47" t="s">
        <v>30</v>
      </c>
      <c r="I47">
        <v>1.2799E-2</v>
      </c>
    </row>
    <row r="48" spans="1:22">
      <c r="A48" t="s">
        <v>15</v>
      </c>
      <c r="B48" s="3">
        <f t="shared" ref="B48:B49" si="11">AVERAGE(E48/E$9,I48/I$9,Q48/Q$9,U48/U$9)</f>
        <v>8.0265847869524717E-2</v>
      </c>
      <c r="C48" s="3">
        <f t="shared" ref="C48:C49" si="12">STDEV(E48/E$9,I48/I$9,Q48/Q$9,U48/U$9)/SQRT(D48)</f>
        <v>1.4696912437859429E-2</v>
      </c>
      <c r="D48">
        <f t="shared" ref="D48:D49" si="13">COUNT(E48:AZ48)</f>
        <v>4</v>
      </c>
      <c r="E48">
        <v>1.0817E-2</v>
      </c>
      <c r="I48">
        <v>1.5088000000000001E-2</v>
      </c>
      <c r="Q48">
        <v>1.1667E-2</v>
      </c>
      <c r="U48">
        <v>1.8675000000000001E-2</v>
      </c>
    </row>
    <row r="49" spans="1:21">
      <c r="A49" t="s">
        <v>22</v>
      </c>
      <c r="B49" s="3">
        <f t="shared" si="11"/>
        <v>7.3663938787669983E-2</v>
      </c>
      <c r="C49" s="3">
        <f t="shared" si="12"/>
        <v>1.0723787482056926E-2</v>
      </c>
      <c r="D49">
        <f t="shared" si="13"/>
        <v>4</v>
      </c>
      <c r="E49">
        <v>1.5309E-2</v>
      </c>
      <c r="I49">
        <v>1.5779999999999999E-2</v>
      </c>
      <c r="Q49">
        <v>9.1526999999999997E-3</v>
      </c>
      <c r="U49">
        <v>1.1951E-2</v>
      </c>
    </row>
    <row r="50" spans="1:21">
      <c r="A50" t="s">
        <v>59</v>
      </c>
      <c r="B50" s="3">
        <f t="shared" ref="B50" si="14">AVERAGE(E50/E$9,I50/I$9)</f>
        <v>5.4657656014288791E-2</v>
      </c>
      <c r="C50" s="3">
        <f t="shared" ref="C50" si="15">STDEV(E50/E$9,I50/I$9)/SQRT(D50)</f>
        <v>5.2876729133170949E-3</v>
      </c>
      <c r="D50">
        <f t="shared" ref="D50" si="16">COUNT(E50:AZ50)</f>
        <v>2</v>
      </c>
      <c r="E50">
        <v>9.3486999999999997E-3</v>
      </c>
      <c r="I50">
        <v>9.9778999999999996E-3</v>
      </c>
    </row>
    <row r="51" spans="1:21">
      <c r="A51" t="s">
        <v>58</v>
      </c>
      <c r="B51" t="s">
        <v>30</v>
      </c>
      <c r="C51" t="s">
        <v>30</v>
      </c>
    </row>
    <row r="52" spans="1:21">
      <c r="A52" t="s">
        <v>137</v>
      </c>
      <c r="B52" s="3">
        <f t="shared" ref="B52" si="17">AVERAGE(E52/E$9,I52/I$9)</f>
        <v>5.998680397952065E-2</v>
      </c>
      <c r="C52" s="3">
        <f t="shared" ref="C52" si="18">STDEV(E52/E$9,I52/I$9)/SQRT(D52)</f>
        <v>6.0630608447509518E-3</v>
      </c>
      <c r="D52">
        <f t="shared" ref="D52" si="19">COUNT(E52:AZ52)</f>
        <v>2</v>
      </c>
      <c r="E52">
        <v>1.0211E-2</v>
      </c>
      <c r="I52">
        <v>1.0994E-2</v>
      </c>
    </row>
    <row r="53" spans="1:21">
      <c r="A53" s="1" t="s">
        <v>17</v>
      </c>
    </row>
    <row r="54" spans="1:21">
      <c r="A54" t="s">
        <v>7</v>
      </c>
      <c r="B54" s="3">
        <f>AVERAGE(E54/E$9,I54/I$9,Q54/Q$9,U54/U$9)</f>
        <v>0.20251479301270414</v>
      </c>
      <c r="C54" s="3">
        <f>STDEV(E54/E$9,I54/I$9,Q54/Q$9,U54/U$9)/SQRT(D54)</f>
        <v>2.1153314831923582E-2</v>
      </c>
      <c r="D54">
        <f t="shared" ref="D54:D63" si="20">COUNT(E54:AZ54)</f>
        <v>4</v>
      </c>
      <c r="E54">
        <v>4.3435000000000001E-2</v>
      </c>
      <c r="I54">
        <v>3.5964999999999997E-2</v>
      </c>
      <c r="Q54">
        <v>2.9037E-2</v>
      </c>
      <c r="U54">
        <v>3.5853000000000003E-2</v>
      </c>
    </row>
    <row r="55" spans="1:21">
      <c r="A55" t="s">
        <v>8</v>
      </c>
      <c r="B55" s="3">
        <f t="shared" ref="B55:B58" si="21">AVERAGE(E55/E$9,I55/I$9,Q55/Q$9,U55/U$9)</f>
        <v>4.694514637622519E-2</v>
      </c>
      <c r="C55" s="3">
        <f t="shared" ref="C55:C58" si="22">STDEV(E55/E$9,I55/I$9,Q55/Q$9,U55/U$9)/SQRT(D55)</f>
        <v>3.642516896897157E-3</v>
      </c>
      <c r="D55">
        <f t="shared" si="20"/>
        <v>4</v>
      </c>
      <c r="E55">
        <v>7.9745000000000007E-3</v>
      </c>
      <c r="I55">
        <v>9.6123000000000007E-3</v>
      </c>
      <c r="Q55">
        <v>9.3121999999999996E-3</v>
      </c>
      <c r="U55">
        <v>6.8753E-3</v>
      </c>
    </row>
    <row r="56" spans="1:21">
      <c r="A56" t="s">
        <v>9</v>
      </c>
      <c r="B56" s="3">
        <f t="shared" si="21"/>
        <v>0.10199820783912907</v>
      </c>
      <c r="C56" s="3">
        <f t="shared" si="22"/>
        <v>1.8842782734431931E-2</v>
      </c>
      <c r="D56">
        <f t="shared" si="20"/>
        <v>4</v>
      </c>
      <c r="E56">
        <v>1.1724999999999999E-2</v>
      </c>
      <c r="I56">
        <v>1.9817999999999999E-2</v>
      </c>
      <c r="Q56">
        <v>1.6872000000000002E-2</v>
      </c>
      <c r="U56">
        <v>2.3247E-2</v>
      </c>
    </row>
    <row r="57" spans="1:21">
      <c r="A57" t="s">
        <v>10</v>
      </c>
      <c r="B57" s="3">
        <f t="shared" si="21"/>
        <v>0.17362146205379161</v>
      </c>
      <c r="C57" s="3">
        <f t="shared" si="22"/>
        <v>1.3123926228433391E-2</v>
      </c>
      <c r="D57">
        <f t="shared" si="20"/>
        <v>4</v>
      </c>
      <c r="E57">
        <v>3.0245999999999999E-2</v>
      </c>
      <c r="I57">
        <v>3.2922E-2</v>
      </c>
      <c r="Q57">
        <v>2.9871999999999999E-2</v>
      </c>
      <c r="U57">
        <v>3.0809E-2</v>
      </c>
    </row>
    <row r="58" spans="1:21">
      <c r="A58" t="s">
        <v>11</v>
      </c>
      <c r="B58" s="3">
        <f t="shared" si="21"/>
        <v>5.3157562499946243E-2</v>
      </c>
      <c r="C58" s="3">
        <f t="shared" si="22"/>
        <v>8.8592470119861957E-3</v>
      </c>
      <c r="D58">
        <f t="shared" si="20"/>
        <v>4</v>
      </c>
      <c r="E58">
        <v>8.2708E-3</v>
      </c>
      <c r="I58">
        <v>9.6792000000000007E-3</v>
      </c>
      <c r="Q58">
        <v>7.3194999999999996E-3</v>
      </c>
      <c r="U58">
        <v>1.2048E-2</v>
      </c>
    </row>
    <row r="59" spans="1:21">
      <c r="A59" t="s">
        <v>49</v>
      </c>
      <c r="B59" s="3">
        <f>AVERAGE(Q59/Q$9,U59/U$9)</f>
        <v>8.1770365860134586E-2</v>
      </c>
      <c r="C59" s="3">
        <f>STDEV(Q59/Q$9,U59/U$9)/SQRT(D59)</f>
        <v>1.1087673552442348E-2</v>
      </c>
      <c r="D59">
        <f t="shared" si="20"/>
        <v>2</v>
      </c>
      <c r="Q59">
        <v>1.4702E-2</v>
      </c>
      <c r="U59">
        <v>1.4796E-2</v>
      </c>
    </row>
    <row r="60" spans="1:21">
      <c r="A60" t="s">
        <v>12</v>
      </c>
      <c r="B60" s="3">
        <f t="shared" ref="B60:B63" si="23">AVERAGE(E60/E$9,I60/I$9,Q60/Q$9,U60/U$9)</f>
        <v>0.14987351581630662</v>
      </c>
      <c r="C60" s="3">
        <f t="shared" ref="C60:C63" si="24">STDEV(E60/E$9,I60/I$9,Q60/Q$9,U60/U$9)/SQRT(D60)</f>
        <v>1.0241703577901967E-2</v>
      </c>
      <c r="D60">
        <f t="shared" si="20"/>
        <v>4</v>
      </c>
      <c r="E60">
        <v>2.9083000000000001E-2</v>
      </c>
      <c r="I60">
        <v>2.9523000000000001E-2</v>
      </c>
      <c r="Q60">
        <v>2.7720000000000002E-2</v>
      </c>
      <c r="U60">
        <v>2.1554E-2</v>
      </c>
    </row>
    <row r="61" spans="1:21">
      <c r="A61" t="s">
        <v>13</v>
      </c>
      <c r="B61" s="3">
        <f t="shared" si="23"/>
        <v>7.9468310763596894E-2</v>
      </c>
      <c r="C61" s="3">
        <f t="shared" si="24"/>
        <v>8.1216026371777796E-3</v>
      </c>
      <c r="D61">
        <f t="shared" si="20"/>
        <v>4</v>
      </c>
      <c r="E61">
        <v>1.4082000000000001E-2</v>
      </c>
      <c r="I61">
        <v>1.6209999999999999E-2</v>
      </c>
      <c r="Q61">
        <v>1.2397E-2</v>
      </c>
      <c r="U61">
        <v>1.3786E-2</v>
      </c>
    </row>
    <row r="62" spans="1:21">
      <c r="A62" t="s">
        <v>14</v>
      </c>
      <c r="B62" s="3">
        <f t="shared" si="23"/>
        <v>2.10236743724148E-2</v>
      </c>
      <c r="C62" s="3">
        <f t="shared" si="24"/>
        <v>2.9723118392816408E-3</v>
      </c>
      <c r="D62">
        <f t="shared" si="20"/>
        <v>4</v>
      </c>
      <c r="E62">
        <v>4.2927E-3</v>
      </c>
      <c r="I62">
        <v>4.5649000000000002E-3</v>
      </c>
      <c r="Q62">
        <v>2.7311000000000002E-3</v>
      </c>
      <c r="U62">
        <v>3.3254000000000001E-3</v>
      </c>
    </row>
    <row r="63" spans="1:21">
      <c r="A63" t="s">
        <v>56</v>
      </c>
      <c r="B63" s="3">
        <f t="shared" si="23"/>
        <v>0.12828108797307736</v>
      </c>
      <c r="C63" s="3">
        <f t="shared" si="24"/>
        <v>2.8902620582959334E-2</v>
      </c>
      <c r="D63">
        <f t="shared" si="20"/>
        <v>4</v>
      </c>
      <c r="E63">
        <v>2.6207999999999999E-2</v>
      </c>
      <c r="I63">
        <v>1.2418E-2</v>
      </c>
      <c r="Q63">
        <v>4.2692000000000001E-2</v>
      </c>
      <c r="U63">
        <v>1.5115999999999999E-2</v>
      </c>
    </row>
    <row r="64" spans="1:21">
      <c r="A64" t="s">
        <v>57</v>
      </c>
      <c r="B64" t="s">
        <v>30</v>
      </c>
      <c r="C64" t="s">
        <v>30</v>
      </c>
      <c r="I64">
        <v>1.7440000000000001E-2</v>
      </c>
    </row>
    <row r="65" spans="1:21">
      <c r="A65" t="s">
        <v>15</v>
      </c>
      <c r="B65" s="3">
        <f t="shared" ref="B65:B66" si="25">AVERAGE(E65/E$9,I65/I$9,Q65/Q$9,U65/U$9)</f>
        <v>8.1557848736331401E-2</v>
      </c>
      <c r="C65" s="3">
        <f t="shared" ref="C65:C66" si="26">STDEV(E65/E$9,I65/I$9,Q65/Q$9,U65/U$9)/SQRT(D65)</f>
        <v>1.6032442919410233E-2</v>
      </c>
      <c r="D65">
        <f t="shared" ref="D65:D67" si="27">COUNT(E65:AZ65)</f>
        <v>4</v>
      </c>
      <c r="E65">
        <v>1.0758E-2</v>
      </c>
      <c r="I65">
        <v>1.5692000000000001E-2</v>
      </c>
      <c r="Q65">
        <v>1.1257E-2</v>
      </c>
      <c r="U65">
        <v>1.9283999999999999E-2</v>
      </c>
    </row>
    <row r="66" spans="1:21">
      <c r="A66" t="s">
        <v>22</v>
      </c>
      <c r="B66" s="3">
        <f t="shared" si="25"/>
        <v>7.7459294849640842E-2</v>
      </c>
      <c r="C66" s="3">
        <f t="shared" si="26"/>
        <v>1.415221141137505E-2</v>
      </c>
      <c r="D66">
        <f t="shared" si="27"/>
        <v>4</v>
      </c>
      <c r="E66">
        <v>1.6435999999999999E-2</v>
      </c>
      <c r="I66">
        <v>1.6884E-2</v>
      </c>
      <c r="Q66">
        <v>7.5808000000000004E-3</v>
      </c>
      <c r="U66">
        <v>1.3568999999999999E-2</v>
      </c>
    </row>
    <row r="67" spans="1:21">
      <c r="A67" t="s">
        <v>59</v>
      </c>
      <c r="B67" s="3">
        <f t="shared" ref="B67" si="28">AVERAGE(E67/E$9,I67/I$9)</f>
        <v>5.2356185490440493E-2</v>
      </c>
      <c r="C67" s="3">
        <f t="shared" ref="C67" si="29">STDEV(E67/E$9,I67/I$9)/SQRT(D67)</f>
        <v>7.5711200067057668E-3</v>
      </c>
      <c r="D67">
        <f t="shared" si="27"/>
        <v>2</v>
      </c>
      <c r="E67">
        <v>8.4805000000000002E-3</v>
      </c>
      <c r="I67">
        <v>9.9749000000000001E-3</v>
      </c>
    </row>
    <row r="68" spans="1:21">
      <c r="A68" t="s">
        <v>58</v>
      </c>
      <c r="B68" t="s">
        <v>30</v>
      </c>
      <c r="C68" t="s">
        <v>30</v>
      </c>
    </row>
    <row r="69" spans="1:21">
      <c r="A69" t="s">
        <v>137</v>
      </c>
      <c r="B69" s="3">
        <f t="shared" ref="B69" si="30">AVERAGE(E69/E$9,I69/I$9)</f>
        <v>6.259811868229713E-2</v>
      </c>
      <c r="C69" s="3">
        <f t="shared" ref="C69" si="31">STDEV(E69/E$9,I69/I$9)/SQRT(D69)</f>
        <v>6.4616590287271472E-3</v>
      </c>
      <c r="D69">
        <f t="shared" ref="D69" si="32">COUNT(E69:AZ69)</f>
        <v>2</v>
      </c>
      <c r="E69">
        <v>1.0630000000000001E-2</v>
      </c>
      <c r="I69">
        <v>1.1495E-2</v>
      </c>
    </row>
    <row r="81" spans="1:32">
      <c r="A81" s="1" t="s">
        <v>32</v>
      </c>
      <c r="E81" s="74">
        <v>43423</v>
      </c>
      <c r="I81" s="74">
        <v>43423</v>
      </c>
      <c r="M81" s="74">
        <v>43462</v>
      </c>
      <c r="AA81" s="13"/>
      <c r="AC81" s="13"/>
      <c r="AE81" s="13"/>
    </row>
    <row r="82" spans="1:32">
      <c r="A82" s="1" t="s">
        <v>33</v>
      </c>
      <c r="E82" s="75" t="s">
        <v>132</v>
      </c>
      <c r="I82" s="75" t="s">
        <v>132</v>
      </c>
      <c r="M82" s="75" t="s">
        <v>132</v>
      </c>
      <c r="AA82" s="14" t="s">
        <v>132</v>
      </c>
      <c r="AC82" s="14" t="s">
        <v>132</v>
      </c>
      <c r="AE82" s="14" t="s">
        <v>132</v>
      </c>
    </row>
    <row r="83" spans="1:32">
      <c r="A83" s="1" t="s">
        <v>34</v>
      </c>
      <c r="E83" s="76" t="s">
        <v>142</v>
      </c>
      <c r="I83" s="76" t="s">
        <v>144</v>
      </c>
      <c r="M83" s="76" t="s">
        <v>145</v>
      </c>
      <c r="AA83" s="28" t="s">
        <v>133</v>
      </c>
      <c r="AC83" s="28" t="s">
        <v>136</v>
      </c>
      <c r="AE83" s="28" t="s">
        <v>215</v>
      </c>
    </row>
    <row r="84" spans="1:32">
      <c r="A84" s="1" t="s">
        <v>35</v>
      </c>
      <c r="E84" s="75" t="s">
        <v>52</v>
      </c>
      <c r="I84" s="75" t="s">
        <v>52</v>
      </c>
      <c r="M84" s="75" t="s">
        <v>52</v>
      </c>
      <c r="AA84" s="14" t="s">
        <v>52</v>
      </c>
      <c r="AC84" s="14" t="s">
        <v>52</v>
      </c>
      <c r="AE84" s="14" t="s">
        <v>52</v>
      </c>
    </row>
    <row r="85" spans="1:32">
      <c r="A85" s="1" t="s">
        <v>36</v>
      </c>
      <c r="E85" s="67" t="s">
        <v>134</v>
      </c>
      <c r="I85" s="67" t="s">
        <v>134</v>
      </c>
      <c r="M85" s="67" t="s">
        <v>134</v>
      </c>
      <c r="AA85" s="29" t="s">
        <v>134</v>
      </c>
      <c r="AC85" s="29" t="s">
        <v>134</v>
      </c>
      <c r="AE85" s="29" t="s">
        <v>134</v>
      </c>
    </row>
    <row r="86" spans="1:32">
      <c r="A86" s="1" t="s">
        <v>37</v>
      </c>
      <c r="E86" s="44">
        <v>300</v>
      </c>
      <c r="I86" s="44">
        <v>300</v>
      </c>
      <c r="M86" s="44">
        <v>300</v>
      </c>
      <c r="AA86" s="2"/>
      <c r="AC86" s="2"/>
      <c r="AE86" s="2"/>
    </row>
    <row r="87" spans="1:32">
      <c r="A87" s="1" t="s">
        <v>38</v>
      </c>
      <c r="E87" s="44">
        <v>0.1</v>
      </c>
      <c r="I87" s="44">
        <v>0.1</v>
      </c>
      <c r="M87" s="44">
        <v>0.1</v>
      </c>
      <c r="AA87" s="2"/>
      <c r="AC87" s="2"/>
      <c r="AE87" s="2"/>
    </row>
    <row r="88" spans="1:32">
      <c r="A88" s="1" t="s">
        <v>43</v>
      </c>
      <c r="E88">
        <v>0.19645340040453199</v>
      </c>
      <c r="I88">
        <v>0.25011815730766801</v>
      </c>
      <c r="M88">
        <v>0.18698009510862501</v>
      </c>
    </row>
    <row r="89" spans="1:32">
      <c r="A89" s="1" t="s">
        <v>54</v>
      </c>
      <c r="E89">
        <f>E102</f>
        <v>0.19907</v>
      </c>
      <c r="I89">
        <f>I102</f>
        <v>0.25229000000000001</v>
      </c>
      <c r="M89">
        <f>M102</f>
        <v>0.23827999999999999</v>
      </c>
      <c r="AA89">
        <v>0.24701000000000001</v>
      </c>
      <c r="AB89">
        <v>0.24453</v>
      </c>
      <c r="AC89">
        <v>0.31573000000000001</v>
      </c>
      <c r="AD89">
        <v>0.25256000000000001</v>
      </c>
      <c r="AE89">
        <v>0.27304</v>
      </c>
      <c r="AF89">
        <v>0.27282000000000001</v>
      </c>
    </row>
    <row r="90" spans="1:32">
      <c r="A90" s="1" t="s">
        <v>44</v>
      </c>
      <c r="B90" s="22">
        <f>AVERAGE(E90:AZ90)</f>
        <v>114.36538905841589</v>
      </c>
      <c r="C90" s="22">
        <f>STDEV(E90:AZ90)/SQRT(D90)</f>
        <v>12.413613199210557</v>
      </c>
      <c r="D90" s="1">
        <f>COUNT(E90:AZ90)</f>
        <v>3</v>
      </c>
      <c r="E90" s="21">
        <f>E86*E87*(1-E88)/E88</f>
        <v>122.70797012535667</v>
      </c>
      <c r="I90" s="21">
        <f>I86*I87*(1-I88)/I88</f>
        <v>89.943311285063075</v>
      </c>
      <c r="M90" s="21">
        <f>M86*M87*(1-M88)/M88</f>
        <v>130.44488576482792</v>
      </c>
      <c r="AA90" s="21"/>
    </row>
    <row r="91" spans="1:32">
      <c r="A91" s="1" t="s">
        <v>292</v>
      </c>
      <c r="C91" s="43">
        <f>AVERAGE(E91:U91)</f>
        <v>0.90245218594215337</v>
      </c>
      <c r="E91">
        <f>(1-E89)*E88/E89/(1-E88)</f>
        <v>0.9836423697975375</v>
      </c>
      <c r="I91">
        <f>(1-I89)*I88/I89/(1-I88)</f>
        <v>0.9885201690909905</v>
      </c>
      <c r="M91">
        <f>(1-M89)*M88/M89/(1-M88)</f>
        <v>0.73519401893793213</v>
      </c>
    </row>
    <row r="92" spans="1:32">
      <c r="A92" s="1" t="s">
        <v>33</v>
      </c>
      <c r="E92" t="s">
        <v>132</v>
      </c>
      <c r="I92" t="s">
        <v>132</v>
      </c>
      <c r="M92" t="s">
        <v>132</v>
      </c>
      <c r="AA92" t="s">
        <v>132</v>
      </c>
      <c r="AC92" t="s">
        <v>132</v>
      </c>
      <c r="AE92" t="s">
        <v>132</v>
      </c>
    </row>
    <row r="93" spans="1:32">
      <c r="A93" s="1" t="s">
        <v>45</v>
      </c>
      <c r="E93" t="s">
        <v>47</v>
      </c>
      <c r="I93" t="s">
        <v>47</v>
      </c>
      <c r="M93" t="s">
        <v>47</v>
      </c>
      <c r="AA93" t="s">
        <v>47</v>
      </c>
      <c r="AC93" t="s">
        <v>47</v>
      </c>
      <c r="AE93" t="s">
        <v>47</v>
      </c>
    </row>
    <row r="94" spans="1:32" ht="43">
      <c r="A94" s="12" t="s">
        <v>31</v>
      </c>
      <c r="E94" s="19" t="s">
        <v>143</v>
      </c>
      <c r="I94" s="19" t="s">
        <v>143</v>
      </c>
      <c r="M94" s="20" t="s">
        <v>146</v>
      </c>
      <c r="AA94" s="20" t="s">
        <v>214</v>
      </c>
      <c r="AC94" s="20" t="s">
        <v>214</v>
      </c>
      <c r="AE94" s="20" t="s">
        <v>214</v>
      </c>
    </row>
    <row r="96" spans="1:32">
      <c r="A96" s="1" t="s">
        <v>50</v>
      </c>
    </row>
    <row r="97" spans="1:32">
      <c r="B97" s="1" t="s">
        <v>5</v>
      </c>
      <c r="C97" s="1" t="s">
        <v>6</v>
      </c>
      <c r="D97" s="1" t="s">
        <v>55</v>
      </c>
    </row>
    <row r="98" spans="1:32">
      <c r="A98" s="1" t="s">
        <v>0</v>
      </c>
    </row>
    <row r="99" spans="1:32">
      <c r="A99" t="s">
        <v>60</v>
      </c>
      <c r="B99">
        <f>AVERAGE(E99/E$89,I99/I$89,M99/M$89)</f>
        <v>6.0576255888838172E-2</v>
      </c>
      <c r="C99">
        <f>STDEV(E99/E$89,I99/I$89,M99/M$89)/SQRT(D99)</f>
        <v>1.2189604721610212E-2</v>
      </c>
      <c r="D99">
        <f>COUNT(E99:Z99)</f>
        <v>3</v>
      </c>
      <c r="E99">
        <v>1.218E-2</v>
      </c>
      <c r="I99">
        <v>2.0531000000000001E-2</v>
      </c>
      <c r="M99">
        <v>9.3323999999999994E-3</v>
      </c>
    </row>
    <row r="100" spans="1:32">
      <c r="A100" t="s">
        <v>61</v>
      </c>
      <c r="B100">
        <f t="shared" ref="B100:B113" si="33">AVERAGE(E100/E$89,I100/I$89,M100/M$89)</f>
        <v>0.11709725153601643</v>
      </c>
      <c r="C100">
        <f t="shared" ref="C100:C113" si="34">STDEV(E100/E$89,I100/I$89,M100/M$89)/SQRT(D100)</f>
        <v>1.7959478448854937E-2</v>
      </c>
      <c r="D100">
        <f t="shared" ref="D100:D113" si="35">COUNT(E100:Z100)</f>
        <v>3</v>
      </c>
      <c r="E100">
        <v>2.8289000000000002E-2</v>
      </c>
      <c r="I100">
        <v>3.2021000000000001E-2</v>
      </c>
      <c r="M100">
        <v>1.9602000000000001E-2</v>
      </c>
    </row>
    <row r="101" spans="1:32">
      <c r="A101" t="s">
        <v>62</v>
      </c>
      <c r="B101">
        <f t="shared" si="33"/>
        <v>8.6455207064036435E-2</v>
      </c>
      <c r="C101">
        <f t="shared" si="34"/>
        <v>3.7728693243005273E-3</v>
      </c>
      <c r="D101">
        <f t="shared" si="35"/>
        <v>3</v>
      </c>
      <c r="E101">
        <v>1.8513000000000002E-2</v>
      </c>
      <c r="I101">
        <v>2.0164999999999999E-2</v>
      </c>
      <c r="M101">
        <v>2.0597000000000001E-2</v>
      </c>
    </row>
    <row r="102" spans="1:32">
      <c r="A102" t="s">
        <v>63</v>
      </c>
      <c r="B102">
        <f t="shared" si="33"/>
        <v>1</v>
      </c>
      <c r="C102">
        <f t="shared" si="34"/>
        <v>0</v>
      </c>
      <c r="D102">
        <f t="shared" si="35"/>
        <v>3</v>
      </c>
      <c r="E102">
        <v>0.19907</v>
      </c>
      <c r="I102">
        <v>0.25229000000000001</v>
      </c>
      <c r="M102">
        <v>0.23827999999999999</v>
      </c>
    </row>
    <row r="103" spans="1:32">
      <c r="A103" t="s">
        <v>64</v>
      </c>
      <c r="B103">
        <f t="shared" si="33"/>
        <v>7.922112141585955E-3</v>
      </c>
      <c r="C103">
        <f t="shared" si="34"/>
        <v>5.1971734129704255E-3</v>
      </c>
      <c r="D103">
        <f t="shared" si="35"/>
        <v>3</v>
      </c>
      <c r="E103">
        <v>3.5257000000000001E-3</v>
      </c>
      <c r="I103">
        <v>0</v>
      </c>
      <c r="M103">
        <v>1.4429E-3</v>
      </c>
    </row>
    <row r="104" spans="1:32">
      <c r="A104" t="s">
        <v>65</v>
      </c>
      <c r="B104">
        <f t="shared" si="33"/>
        <v>0</v>
      </c>
      <c r="C104">
        <f t="shared" si="34"/>
        <v>0</v>
      </c>
      <c r="D104">
        <f t="shared" si="35"/>
        <v>3</v>
      </c>
      <c r="E104">
        <v>0</v>
      </c>
      <c r="I104">
        <v>0</v>
      </c>
      <c r="M104">
        <v>0</v>
      </c>
    </row>
    <row r="105" spans="1:32">
      <c r="A105" t="s">
        <v>66</v>
      </c>
      <c r="B105">
        <f t="shared" si="33"/>
        <v>0</v>
      </c>
      <c r="C105">
        <f t="shared" si="34"/>
        <v>0</v>
      </c>
      <c r="D105">
        <f t="shared" si="35"/>
        <v>3</v>
      </c>
      <c r="E105">
        <v>0</v>
      </c>
      <c r="I105">
        <v>0</v>
      </c>
      <c r="M105">
        <v>0</v>
      </c>
    </row>
    <row r="106" spans="1:32">
      <c r="A106" t="s">
        <v>67</v>
      </c>
      <c r="B106">
        <f t="shared" si="33"/>
        <v>0</v>
      </c>
      <c r="C106">
        <f t="shared" si="34"/>
        <v>0</v>
      </c>
      <c r="D106">
        <f t="shared" si="35"/>
        <v>3</v>
      </c>
      <c r="E106">
        <v>0</v>
      </c>
      <c r="I106">
        <v>0</v>
      </c>
      <c r="M106">
        <v>0</v>
      </c>
    </row>
    <row r="107" spans="1:32">
      <c r="A107" t="s">
        <v>71</v>
      </c>
      <c r="B107">
        <f t="shared" si="33"/>
        <v>1.1794363629156921E-3</v>
      </c>
      <c r="C107">
        <f t="shared" si="34"/>
        <v>1.1794363629156924E-3</v>
      </c>
      <c r="D107">
        <f t="shared" si="35"/>
        <v>3</v>
      </c>
      <c r="E107">
        <v>0</v>
      </c>
      <c r="I107">
        <v>8.9267999999999997E-4</v>
      </c>
      <c r="M107">
        <v>0</v>
      </c>
    </row>
    <row r="108" spans="1:32">
      <c r="A108" t="s">
        <v>72</v>
      </c>
      <c r="B108">
        <f t="shared" si="33"/>
        <v>9.9266968832186224E-4</v>
      </c>
      <c r="C108">
        <f t="shared" si="34"/>
        <v>9.9266968832186246E-4</v>
      </c>
      <c r="D108">
        <f t="shared" si="35"/>
        <v>3</v>
      </c>
      <c r="E108">
        <v>0</v>
      </c>
      <c r="I108">
        <v>0</v>
      </c>
      <c r="M108">
        <v>7.0960000000000001E-4</v>
      </c>
    </row>
    <row r="109" spans="1:32">
      <c r="A109" t="s">
        <v>69</v>
      </c>
      <c r="B109">
        <f t="shared" si="33"/>
        <v>3.7189104955664486E-2</v>
      </c>
      <c r="C109">
        <f t="shared" si="34"/>
        <v>1.1584114084849308E-2</v>
      </c>
      <c r="D109">
        <f t="shared" si="35"/>
        <v>3</v>
      </c>
      <c r="E109">
        <v>1.1683000000000001E-2</v>
      </c>
      <c r="I109">
        <v>8.5571999999999992E-3</v>
      </c>
      <c r="M109">
        <v>4.5180999999999997E-3</v>
      </c>
    </row>
    <row r="110" spans="1:32" s="44" customFormat="1">
      <c r="A110" s="44" t="s">
        <v>68</v>
      </c>
      <c r="B110" s="44" t="s">
        <v>30</v>
      </c>
      <c r="C110" s="44" t="s">
        <v>30</v>
      </c>
      <c r="D110" s="44">
        <f t="shared" si="35"/>
        <v>0</v>
      </c>
    </row>
    <row r="111" spans="1:32">
      <c r="A111" t="s">
        <v>70</v>
      </c>
      <c r="B111">
        <f>AVERAGE(AA111/AA89,AB111/AB89,AC111/AC89,AD111/AD89,AE111/AE89,AF111/AF89)</f>
        <v>1.0336215295317214E-2</v>
      </c>
      <c r="C111">
        <f>STDEV(AA111/AA89,AB111/AB89,AC111/AC89,AD111/AD89,AE111/AE89,AF111/AF89)/SQRT(D111)</f>
        <v>3.2126080188667862E-3</v>
      </c>
      <c r="D111">
        <v>3</v>
      </c>
      <c r="AA111">
        <v>3.2609000000000002E-3</v>
      </c>
      <c r="AB111">
        <v>2.1665E-3</v>
      </c>
      <c r="AC111">
        <v>3.7832E-3</v>
      </c>
      <c r="AD111">
        <v>4.7045999999999998E-3</v>
      </c>
      <c r="AE111">
        <v>1.8492999999999999E-3</v>
      </c>
      <c r="AF111">
        <v>7.0193999999999996E-4</v>
      </c>
    </row>
    <row r="112" spans="1:32">
      <c r="A112" t="s">
        <v>23</v>
      </c>
      <c r="B112">
        <f t="shared" si="33"/>
        <v>0</v>
      </c>
      <c r="C112">
        <f t="shared" si="34"/>
        <v>0</v>
      </c>
      <c r="D112">
        <f t="shared" si="35"/>
        <v>3</v>
      </c>
      <c r="E112">
        <v>0</v>
      </c>
      <c r="I112">
        <v>0</v>
      </c>
      <c r="M112">
        <v>0</v>
      </c>
    </row>
    <row r="113" spans="1:13">
      <c r="A113" t="s">
        <v>24</v>
      </c>
      <c r="B113">
        <f t="shared" si="33"/>
        <v>0</v>
      </c>
      <c r="C113">
        <f t="shared" si="34"/>
        <v>0</v>
      </c>
      <c r="D113">
        <f t="shared" si="35"/>
        <v>3</v>
      </c>
      <c r="E113">
        <v>0</v>
      </c>
      <c r="I113">
        <v>0</v>
      </c>
      <c r="M113">
        <v>0</v>
      </c>
    </row>
    <row r="116" spans="1:13">
      <c r="A116" s="1" t="s">
        <v>16</v>
      </c>
    </row>
    <row r="117" spans="1:13">
      <c r="A117" t="s">
        <v>7</v>
      </c>
      <c r="B117">
        <f>AVERAGE(E117/E$89,I117/I$89,M117/M$89)</f>
        <v>6.8898033817815493E-2</v>
      </c>
      <c r="C117">
        <f>STDEV(E117/E$89,I117/I$89,M117/M$89)/SQRT(D117)</f>
        <v>1.3833318266184625E-2</v>
      </c>
      <c r="D117">
        <f>COUNT(E117:Z117)</f>
        <v>3</v>
      </c>
      <c r="E117">
        <v>1.8796E-2</v>
      </c>
      <c r="I117">
        <v>1.6497000000000001E-2</v>
      </c>
      <c r="M117">
        <v>1.1172E-2</v>
      </c>
    </row>
    <row r="118" spans="1:13">
      <c r="A118" t="s">
        <v>8</v>
      </c>
      <c r="B118">
        <f t="shared" ref="B118:B119" si="36">AVERAGE(E118/E$89,I118/I$89,M118/M$89)</f>
        <v>7.4100900929603017E-2</v>
      </c>
      <c r="C118">
        <f t="shared" ref="C118:C119" si="37">STDEV(E118/E$89,I118/I$89,M118/M$89)/SQRT(D118)</f>
        <v>4.2893262743908802E-3</v>
      </c>
      <c r="D118">
        <f t="shared" ref="D118:D119" si="38">COUNT(E118:Z118)</f>
        <v>3</v>
      </c>
      <c r="E118">
        <v>1.6459000000000001E-2</v>
      </c>
      <c r="I118">
        <v>1.7604000000000002E-2</v>
      </c>
      <c r="M118">
        <v>1.6643000000000002E-2</v>
      </c>
    </row>
    <row r="119" spans="1:13">
      <c r="A119" t="s">
        <v>9</v>
      </c>
      <c r="B119">
        <f t="shared" si="36"/>
        <v>8.4779571715918489E-2</v>
      </c>
      <c r="C119">
        <f t="shared" si="37"/>
        <v>2.3080120893599693E-2</v>
      </c>
      <c r="D119">
        <f t="shared" si="38"/>
        <v>3</v>
      </c>
      <c r="E119">
        <v>8.0079000000000001E-3</v>
      </c>
      <c r="I119">
        <v>2.4371E-2</v>
      </c>
      <c r="M119">
        <v>2.8001000000000002E-2</v>
      </c>
    </row>
    <row r="120" spans="1:13">
      <c r="A120" t="s">
        <v>10</v>
      </c>
      <c r="B120">
        <f t="shared" ref="B120:B121" si="39">AVERAGE(E120/E$89,I120/I$89,M120/M$89)</f>
        <v>0.11478467425009088</v>
      </c>
      <c r="C120">
        <f t="shared" ref="C120:C121" si="40">STDEV(E120/E$89,I120/I$89,M120/M$89)/SQRT(D120)</f>
        <v>1.1251076178209751E-2</v>
      </c>
      <c r="D120">
        <f t="shared" ref="D120:D122" si="41">COUNT(E120:Z120)</f>
        <v>3</v>
      </c>
      <c r="E120">
        <v>2.7264E-2</v>
      </c>
      <c r="I120">
        <v>2.7001000000000001E-2</v>
      </c>
      <c r="M120">
        <v>2.3917000000000001E-2</v>
      </c>
    </row>
    <row r="121" spans="1:13">
      <c r="A121" t="s">
        <v>11</v>
      </c>
      <c r="B121">
        <f t="shared" si="39"/>
        <v>6.5724851859348288E-2</v>
      </c>
      <c r="C121">
        <f t="shared" si="40"/>
        <v>8.769485762989972E-3</v>
      </c>
      <c r="D121">
        <f t="shared" si="41"/>
        <v>3</v>
      </c>
      <c r="E121">
        <v>1.6386000000000001E-2</v>
      </c>
      <c r="I121">
        <v>1.5734000000000001E-2</v>
      </c>
      <c r="M121">
        <v>1.2508999999999999E-2</v>
      </c>
    </row>
    <row r="122" spans="1:13">
      <c r="A122" t="s">
        <v>49</v>
      </c>
      <c r="B122" t="s">
        <v>30</v>
      </c>
      <c r="C122" t="s">
        <v>30</v>
      </c>
      <c r="D122">
        <f t="shared" si="41"/>
        <v>0</v>
      </c>
    </row>
    <row r="123" spans="1:13">
      <c r="A123" t="s">
        <v>12</v>
      </c>
      <c r="B123">
        <f>AVERAGE(E123/E$89,I123/I$89,M123/M$89)</f>
        <v>0.19179787177918836</v>
      </c>
      <c r="C123">
        <f>STDEV(E123/E$89,I123/I$89,M123/M$89)/SQRT(D123)</f>
        <v>2.666180017363682E-2</v>
      </c>
      <c r="D123">
        <f>COUNT(E123:Z123)</f>
        <v>3</v>
      </c>
      <c r="E123">
        <v>4.8656999999999999E-2</v>
      </c>
      <c r="I123">
        <v>3.9869000000000002E-2</v>
      </c>
      <c r="M123">
        <v>4.1209000000000003E-2</v>
      </c>
    </row>
    <row r="124" spans="1:13">
      <c r="A124" t="s">
        <v>13</v>
      </c>
      <c r="B124">
        <f t="shared" ref="B124:B127" si="42">AVERAGE(E124/E$89,I124/I$89,M124/M$89)</f>
        <v>8.8984529863915626E-2</v>
      </c>
      <c r="C124">
        <f t="shared" ref="C124:C127" si="43">STDEV(E124/E$89,I124/I$89,M124/M$89)/SQRT(D124)</f>
        <v>2.1047194899353298E-2</v>
      </c>
      <c r="D124">
        <f t="shared" ref="D124:D127" si="44">COUNT(E124:Z124)</f>
        <v>3</v>
      </c>
      <c r="E124">
        <v>2.3768000000000001E-2</v>
      </c>
      <c r="I124">
        <v>2.4972999999999999E-2</v>
      </c>
      <c r="M124">
        <v>1.1573999999999999E-2</v>
      </c>
    </row>
    <row r="125" spans="1:13">
      <c r="A125" t="s">
        <v>14</v>
      </c>
      <c r="B125">
        <f t="shared" si="42"/>
        <v>5.8199664592838818E-2</v>
      </c>
      <c r="C125">
        <f t="shared" si="43"/>
        <v>2.4351531124904139E-3</v>
      </c>
      <c r="D125">
        <f t="shared" si="44"/>
        <v>3</v>
      </c>
      <c r="E125">
        <v>1.1251000000000001E-2</v>
      </c>
      <c r="I125">
        <v>1.5893999999999998E-2</v>
      </c>
      <c r="M125">
        <v>1.3125E-2</v>
      </c>
    </row>
    <row r="126" spans="1:13">
      <c r="A126" t="s">
        <v>56</v>
      </c>
      <c r="B126">
        <f t="shared" si="42"/>
        <v>8.8750296250845503E-2</v>
      </c>
      <c r="C126">
        <f t="shared" si="43"/>
        <v>1.4927736770589993E-2</v>
      </c>
      <c r="D126">
        <f t="shared" si="44"/>
        <v>3</v>
      </c>
      <c r="E126">
        <v>2.2228999999999999E-2</v>
      </c>
      <c r="I126">
        <v>2.3682000000000002E-2</v>
      </c>
      <c r="M126">
        <v>1.4468E-2</v>
      </c>
    </row>
    <row r="127" spans="1:13">
      <c r="A127" t="s">
        <v>57</v>
      </c>
      <c r="B127">
        <f t="shared" si="42"/>
        <v>6.5538221695944573E-2</v>
      </c>
      <c r="C127">
        <f t="shared" si="43"/>
        <v>6.388913905116189E-3</v>
      </c>
      <c r="D127">
        <f t="shared" si="44"/>
        <v>3</v>
      </c>
      <c r="E127">
        <v>1.5495999999999999E-2</v>
      </c>
      <c r="I127">
        <v>1.5736E-2</v>
      </c>
      <c r="M127">
        <v>1.3439E-2</v>
      </c>
    </row>
    <row r="128" spans="1:13">
      <c r="A128" t="s">
        <v>15</v>
      </c>
      <c r="B128">
        <f>AVERAGE(E128/E$89,I128/I$89,M128/M$89)</f>
        <v>6.9632881637993541E-2</v>
      </c>
      <c r="C128">
        <f>STDEV(E128/E$89,I128/I$89,M128/M$89)/SQRT(D128)</f>
        <v>1.2419930858193144E-2</v>
      </c>
      <c r="D128">
        <f>COUNT(E128:Z128)</f>
        <v>3</v>
      </c>
      <c r="E128">
        <v>1.4664E-2</v>
      </c>
      <c r="I128">
        <v>1.1704000000000001E-2</v>
      </c>
      <c r="M128">
        <v>2.1170000000000001E-2</v>
      </c>
    </row>
    <row r="129" spans="1:13">
      <c r="A129" t="s">
        <v>22</v>
      </c>
      <c r="B129">
        <f t="shared" ref="B129:B130" si="45">AVERAGE(E129/E$89,I129/I$89,M129/M$89)</f>
        <v>8.2519784686469241E-2</v>
      </c>
      <c r="C129">
        <f t="shared" ref="C129:C130" si="46">STDEV(E129/E$89,I129/I$89,M129/M$89)/SQRT(D129)</f>
        <v>3.0802810820270096E-3</v>
      </c>
      <c r="D129">
        <f t="shared" ref="D129:D131" si="47">COUNT(E129:Z129)</f>
        <v>3</v>
      </c>
      <c r="E129">
        <v>1.7402000000000001E-2</v>
      </c>
      <c r="I129">
        <v>2.1017999999999998E-2</v>
      </c>
      <c r="M129">
        <v>1.8308000000000001E-2</v>
      </c>
    </row>
    <row r="130" spans="1:13">
      <c r="A130" t="s">
        <v>59</v>
      </c>
      <c r="B130">
        <f t="shared" si="45"/>
        <v>7.1862211610417823E-2</v>
      </c>
      <c r="C130">
        <f t="shared" si="46"/>
        <v>3.8078011567996709E-3</v>
      </c>
      <c r="D130">
        <f t="shared" si="47"/>
        <v>3</v>
      </c>
      <c r="E130">
        <v>1.5814999999999999E-2</v>
      </c>
      <c r="I130">
        <v>1.7017999999999998E-2</v>
      </c>
      <c r="M130">
        <v>1.6367E-2</v>
      </c>
    </row>
    <row r="131" spans="1:13">
      <c r="A131" t="s">
        <v>58</v>
      </c>
      <c r="B131" t="s">
        <v>30</v>
      </c>
      <c r="C131" t="s">
        <v>30</v>
      </c>
      <c r="D131">
        <f t="shared" si="47"/>
        <v>0</v>
      </c>
    </row>
    <row r="132" spans="1:13">
      <c r="A132" t="s">
        <v>137</v>
      </c>
      <c r="B132">
        <f t="shared" ref="B132" si="48">AVERAGE(E132/E$89,I132/I$89,M132/M$89)</f>
        <v>6.283647392830076E-2</v>
      </c>
      <c r="C132">
        <f t="shared" ref="C132" si="49">STDEV(E132/E$89,I132/I$89,M132/M$89)/SQRT(D132)</f>
        <v>6.7459151704625103E-3</v>
      </c>
      <c r="D132">
        <f t="shared" ref="D132" si="50">COUNT(E132:Z132)</f>
        <v>3</v>
      </c>
      <c r="E132">
        <v>1.5179E-2</v>
      </c>
      <c r="I132">
        <v>1.3842999999999999E-2</v>
      </c>
      <c r="M132">
        <v>1.3675E-2</v>
      </c>
    </row>
    <row r="133" spans="1:13">
      <c r="A133" s="1" t="s">
        <v>17</v>
      </c>
    </row>
    <row r="134" spans="1:13">
      <c r="A134" t="s">
        <v>7</v>
      </c>
      <c r="B134">
        <f>AVERAGE(E134/E$89,I134/I$89,M134/M$89)</f>
        <v>7.0926878596826837E-2</v>
      </c>
      <c r="C134">
        <f>STDEV(E134/E$89,I134/I$89,M134/M$89)/SQRT(D134)</f>
        <v>1.3264775296598598E-2</v>
      </c>
      <c r="D134">
        <f>COUNT(E134:Z134)</f>
        <v>3</v>
      </c>
      <c r="E134">
        <v>1.8941E-2</v>
      </c>
      <c r="I134">
        <v>1.7204000000000001E-2</v>
      </c>
      <c r="M134">
        <v>1.1781E-2</v>
      </c>
    </row>
    <row r="135" spans="1:13">
      <c r="A135" t="s">
        <v>8</v>
      </c>
      <c r="B135">
        <f t="shared" ref="B135:B138" si="51">AVERAGE(E135/E$89,I135/I$89,M135/M$89)</f>
        <v>7.5059555198604286E-2</v>
      </c>
      <c r="C135">
        <f t="shared" ref="C135:C138" si="52">STDEV(E135/E$89,I135/I$89,M135/M$89)/SQRT(D135)</f>
        <v>6.4261304168438957E-3</v>
      </c>
      <c r="D135">
        <f t="shared" ref="D135:D139" si="53">COUNT(E135:Z135)</f>
        <v>3</v>
      </c>
      <c r="E135">
        <v>1.7499000000000001E-2</v>
      </c>
      <c r="I135">
        <v>1.7416000000000001E-2</v>
      </c>
      <c r="M135">
        <v>1.6261000000000001E-2</v>
      </c>
    </row>
    <row r="136" spans="1:13">
      <c r="A136" t="s">
        <v>9</v>
      </c>
      <c r="B136">
        <f t="shared" si="51"/>
        <v>0.1031066359418213</v>
      </c>
      <c r="C136">
        <f t="shared" si="52"/>
        <v>5.5721852033924144E-3</v>
      </c>
      <c r="D136">
        <f t="shared" si="53"/>
        <v>3</v>
      </c>
      <c r="E136">
        <v>1.8846000000000002E-2</v>
      </c>
      <c r="I136">
        <v>2.5486000000000002E-2</v>
      </c>
      <c r="M136">
        <v>2.7075999999999999E-2</v>
      </c>
    </row>
    <row r="137" spans="1:13">
      <c r="A137" t="s">
        <v>10</v>
      </c>
      <c r="B137">
        <f t="shared" si="51"/>
        <v>0.12386226007884564</v>
      </c>
      <c r="C137">
        <f t="shared" si="52"/>
        <v>1.4193274763428963E-2</v>
      </c>
      <c r="D137">
        <f t="shared" si="53"/>
        <v>3</v>
      </c>
      <c r="E137">
        <v>3.0299E-2</v>
      </c>
      <c r="I137">
        <v>2.7321000000000002E-2</v>
      </c>
      <c r="M137">
        <v>2.6471000000000001E-2</v>
      </c>
    </row>
    <row r="138" spans="1:13">
      <c r="A138" t="s">
        <v>11</v>
      </c>
      <c r="B138">
        <f t="shared" si="51"/>
        <v>6.4054207264987228E-2</v>
      </c>
      <c r="C138">
        <f t="shared" si="52"/>
        <v>8.4212935584143719E-3</v>
      </c>
      <c r="D138">
        <f t="shared" si="53"/>
        <v>3</v>
      </c>
      <c r="E138">
        <v>1.585E-2</v>
      </c>
      <c r="I138">
        <v>1.5602E-2</v>
      </c>
      <c r="M138">
        <v>1.2081E-2</v>
      </c>
    </row>
    <row r="139" spans="1:13">
      <c r="A139" t="s">
        <v>49</v>
      </c>
      <c r="B139" t="s">
        <v>30</v>
      </c>
      <c r="C139" t="s">
        <v>30</v>
      </c>
      <c r="D139">
        <f t="shared" si="53"/>
        <v>0</v>
      </c>
    </row>
    <row r="140" spans="1:13">
      <c r="A140" t="s">
        <v>12</v>
      </c>
      <c r="B140">
        <f>AVERAGE(E140/E$89,I140/I$89,M140/M$89)</f>
        <v>0.19260262167235709</v>
      </c>
      <c r="C140">
        <f>STDEV(E140/E$89,I140/I$89,M140/M$89)/SQRT(D140)</f>
        <v>2.7632551045859485E-2</v>
      </c>
      <c r="D140">
        <f>COUNT(E140:Z140)</f>
        <v>3</v>
      </c>
      <c r="E140">
        <v>4.9194000000000002E-2</v>
      </c>
      <c r="I140">
        <v>3.9733999999999998E-2</v>
      </c>
      <c r="M140">
        <v>4.1269E-2</v>
      </c>
    </row>
    <row r="141" spans="1:13">
      <c r="A141" t="s">
        <v>13</v>
      </c>
      <c r="B141">
        <f t="shared" ref="B141:B144" si="54">AVERAGE(E141/E$89,I141/I$89,M141/M$89)</f>
        <v>8.3467668597889733E-2</v>
      </c>
      <c r="C141">
        <f t="shared" ref="C141:C144" si="55">STDEV(E141/E$89,I141/I$89,M141/M$89)/SQRT(D141)</f>
        <v>8.8885045101260891E-3</v>
      </c>
      <c r="D141">
        <f t="shared" ref="D141:D144" si="56">COUNT(E141:Z141)</f>
        <v>3</v>
      </c>
      <c r="E141">
        <v>1.9796000000000001E-2</v>
      </c>
      <c r="I141">
        <v>2.0747000000000002E-2</v>
      </c>
      <c r="M141">
        <v>1.6376000000000002E-2</v>
      </c>
    </row>
    <row r="142" spans="1:13">
      <c r="A142" t="s">
        <v>14</v>
      </c>
      <c r="B142">
        <f t="shared" si="54"/>
        <v>6.0978842794095399E-2</v>
      </c>
      <c r="C142">
        <f t="shared" si="55"/>
        <v>3.0947433425246936E-3</v>
      </c>
      <c r="D142">
        <f t="shared" si="56"/>
        <v>3</v>
      </c>
      <c r="E142">
        <v>1.218E-2</v>
      </c>
      <c r="I142">
        <v>1.6709999999999999E-2</v>
      </c>
      <c r="M142">
        <v>1.3228999999999999E-2</v>
      </c>
    </row>
    <row r="143" spans="1:13">
      <c r="A143" t="s">
        <v>56</v>
      </c>
      <c r="B143">
        <f t="shared" si="54"/>
        <v>0.10375538561070911</v>
      </c>
      <c r="C143">
        <f t="shared" si="55"/>
        <v>1.7174836428451974E-2</v>
      </c>
      <c r="D143">
        <f t="shared" si="56"/>
        <v>3</v>
      </c>
      <c r="E143">
        <v>2.6460999999999998E-2</v>
      </c>
      <c r="I143">
        <v>2.6460999999999998E-2</v>
      </c>
      <c r="M143">
        <v>1.7503999999999999E-2</v>
      </c>
    </row>
    <row r="144" spans="1:13">
      <c r="A144" t="s">
        <v>57</v>
      </c>
      <c r="B144">
        <f t="shared" si="54"/>
        <v>7.6158394778542873E-2</v>
      </c>
      <c r="C144">
        <f t="shared" si="55"/>
        <v>8.6281259455719336E-3</v>
      </c>
      <c r="D144">
        <f t="shared" si="56"/>
        <v>3</v>
      </c>
      <c r="E144">
        <v>1.8356000000000001E-2</v>
      </c>
      <c r="I144">
        <v>1.8574E-2</v>
      </c>
      <c r="M144">
        <v>1.4926999999999999E-2</v>
      </c>
    </row>
    <row r="145" spans="1:13">
      <c r="A145" t="s">
        <v>15</v>
      </c>
      <c r="B145">
        <f>AVERAGE(E145/E$89,I145/I$89,M145/M$89)</f>
        <v>6.9547847689650291E-2</v>
      </c>
      <c r="C145">
        <f>STDEV(E145/E$89,I145/I$89,M145/M$89)/SQRT(D145)</f>
        <v>1.2824679049046864E-2</v>
      </c>
      <c r="D145">
        <f>COUNT(E145:Z145)</f>
        <v>3</v>
      </c>
      <c r="E145">
        <v>1.4519000000000001E-2</v>
      </c>
      <c r="I145">
        <v>1.1564E-2</v>
      </c>
      <c r="M145">
        <v>2.1415E-2</v>
      </c>
    </row>
    <row r="146" spans="1:13">
      <c r="A146" t="s">
        <v>22</v>
      </c>
      <c r="B146">
        <f t="shared" ref="B146:B147" si="57">AVERAGE(E146/E$89,I146/I$89,M146/M$89)</f>
        <v>8.8345855364312276E-2</v>
      </c>
      <c r="C146">
        <f t="shared" ref="C146:C147" si="58">STDEV(E146/E$89,I146/I$89,M146/M$89)/SQRT(D146)</f>
        <v>5.9694577105594499E-3</v>
      </c>
      <c r="D146">
        <f t="shared" ref="D146:D148" si="59">COUNT(E146:Z146)</f>
        <v>3</v>
      </c>
      <c r="E146">
        <v>1.9847E-2</v>
      </c>
      <c r="I146">
        <v>2.1663999999999999E-2</v>
      </c>
      <c r="M146">
        <v>1.8936000000000001E-2</v>
      </c>
    </row>
    <row r="147" spans="1:13">
      <c r="A147" t="s">
        <v>59</v>
      </c>
      <c r="B147">
        <f t="shared" si="57"/>
        <v>7.2015055569491712E-2</v>
      </c>
      <c r="C147">
        <f t="shared" si="58"/>
        <v>3.6628716799961664E-3</v>
      </c>
      <c r="D147">
        <f t="shared" si="59"/>
        <v>3</v>
      </c>
      <c r="E147">
        <v>1.5793999999999999E-2</v>
      </c>
      <c r="I147">
        <v>1.7281000000000001E-2</v>
      </c>
      <c r="M147">
        <v>1.6253E-2</v>
      </c>
    </row>
    <row r="148" spans="1:13">
      <c r="A148" t="s">
        <v>58</v>
      </c>
      <c r="B148" t="s">
        <v>30</v>
      </c>
      <c r="C148" t="s">
        <v>30</v>
      </c>
      <c r="D148">
        <f t="shared" si="59"/>
        <v>0</v>
      </c>
    </row>
    <row r="149" spans="1:13">
      <c r="A149" t="s">
        <v>137</v>
      </c>
      <c r="B149">
        <f t="shared" ref="B149" si="60">AVERAGE(E149/E$89,I149/I$89,M149/M$89)</f>
        <v>6.7734173402420633E-2</v>
      </c>
      <c r="C149">
        <f t="shared" ref="C149" si="61">STDEV(E149/E$89,I149/I$89,M149/M$89)/SQRT(D149)</f>
        <v>4.0305840788561311E-3</v>
      </c>
      <c r="D149">
        <f t="shared" ref="D149" si="62">COUNT(E149:Z149)</f>
        <v>3</v>
      </c>
      <c r="E149">
        <v>1.4845000000000001E-2</v>
      </c>
      <c r="I149">
        <v>1.7159000000000001E-2</v>
      </c>
      <c r="M149">
        <v>1.4444E-2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E149"/>
  <sheetViews>
    <sheetView topLeftCell="A9" zoomScale="111" workbookViewId="0">
      <pane xSplit="1" topLeftCell="I1" activePane="topRight" state="frozen"/>
      <selection pane="topRight" activeCell="S21" sqref="S21"/>
    </sheetView>
  </sheetViews>
  <sheetFormatPr baseColWidth="10" defaultRowHeight="16"/>
  <cols>
    <col min="1" max="1" width="17.6640625" bestFit="1" customWidth="1"/>
    <col min="5" max="5" width="27.83203125" customWidth="1"/>
    <col min="9" max="9" width="27.1640625" customWidth="1"/>
    <col min="13" max="13" width="20.6640625" bestFit="1" customWidth="1"/>
    <col min="17" max="17" width="20.6640625" bestFit="1" customWidth="1"/>
    <col min="21" max="21" width="20.6640625" bestFit="1" customWidth="1"/>
    <col min="35" max="35" width="10.83203125" customWidth="1"/>
  </cols>
  <sheetData>
    <row r="1" spans="1:31">
      <c r="A1" s="1" t="s">
        <v>32</v>
      </c>
      <c r="E1" s="74">
        <v>43406</v>
      </c>
      <c r="I1" s="74">
        <v>43406</v>
      </c>
      <c r="M1" s="74">
        <v>43406</v>
      </c>
      <c r="Q1" s="13">
        <v>43427</v>
      </c>
      <c r="U1" s="13">
        <v>43427</v>
      </c>
      <c r="AC1" s="2"/>
      <c r="AD1" s="2"/>
      <c r="AE1" s="2"/>
    </row>
    <row r="2" spans="1:31">
      <c r="A2" s="1" t="s">
        <v>33</v>
      </c>
      <c r="E2" s="75" t="s">
        <v>113</v>
      </c>
      <c r="I2" s="75" t="s">
        <v>113</v>
      </c>
      <c r="M2" s="75" t="s">
        <v>113</v>
      </c>
      <c r="Q2" s="14" t="s">
        <v>140</v>
      </c>
      <c r="U2" s="14" t="s">
        <v>140</v>
      </c>
      <c r="AC2" s="2" t="s">
        <v>113</v>
      </c>
      <c r="AD2" s="2" t="s">
        <v>113</v>
      </c>
      <c r="AE2" s="2" t="s">
        <v>113</v>
      </c>
    </row>
    <row r="3" spans="1:31">
      <c r="A3" s="1" t="s">
        <v>34</v>
      </c>
      <c r="E3" s="76" t="s">
        <v>122</v>
      </c>
      <c r="I3" s="76" t="s">
        <v>124</v>
      </c>
      <c r="M3" s="76" t="s">
        <v>125</v>
      </c>
      <c r="Q3" s="28" t="s">
        <v>40</v>
      </c>
      <c r="U3" s="28" t="s">
        <v>92</v>
      </c>
      <c r="AC3" s="2"/>
      <c r="AD3" s="2"/>
      <c r="AE3" s="2"/>
    </row>
    <row r="4" spans="1:31">
      <c r="A4" s="1" t="s">
        <v>35</v>
      </c>
      <c r="E4" s="75" t="s">
        <v>41</v>
      </c>
      <c r="I4" s="75" t="s">
        <v>41</v>
      </c>
      <c r="M4" s="75" t="s">
        <v>41</v>
      </c>
      <c r="Q4" s="14" t="s">
        <v>41</v>
      </c>
      <c r="U4" s="14" t="s">
        <v>41</v>
      </c>
      <c r="AC4" s="14" t="s">
        <v>41</v>
      </c>
      <c r="AD4" s="14" t="s">
        <v>41</v>
      </c>
      <c r="AE4" s="14" t="s">
        <v>41</v>
      </c>
    </row>
    <row r="5" spans="1:31">
      <c r="A5" s="1" t="s">
        <v>36</v>
      </c>
      <c r="E5" s="67" t="s">
        <v>123</v>
      </c>
      <c r="I5" s="67" t="s">
        <v>123</v>
      </c>
      <c r="M5" s="67" t="s">
        <v>123</v>
      </c>
      <c r="Q5" s="29" t="s">
        <v>123</v>
      </c>
      <c r="U5" s="29" t="s">
        <v>123</v>
      </c>
      <c r="AC5" s="29" t="s">
        <v>123</v>
      </c>
      <c r="AD5" s="29" t="s">
        <v>123</v>
      </c>
      <c r="AE5" s="29" t="s">
        <v>123</v>
      </c>
    </row>
    <row r="6" spans="1:31">
      <c r="A6" s="1" t="s">
        <v>37</v>
      </c>
      <c r="E6" s="44">
        <v>40</v>
      </c>
      <c r="I6" s="44">
        <v>40</v>
      </c>
      <c r="M6" s="44">
        <v>40</v>
      </c>
      <c r="Q6" s="2">
        <v>40</v>
      </c>
      <c r="U6" s="2">
        <v>80</v>
      </c>
      <c r="AC6" s="2"/>
      <c r="AD6" s="2"/>
      <c r="AE6" s="2"/>
    </row>
    <row r="7" spans="1:31">
      <c r="A7" s="1" t="s">
        <v>38</v>
      </c>
      <c r="E7" s="44">
        <v>0.1</v>
      </c>
      <c r="I7" s="44">
        <v>0.1</v>
      </c>
      <c r="M7" s="44">
        <v>0.1</v>
      </c>
      <c r="Q7" s="2">
        <v>0.1</v>
      </c>
      <c r="U7" s="2">
        <v>0.1</v>
      </c>
      <c r="AC7" s="2"/>
      <c r="AD7" s="2"/>
      <c r="AE7" s="2"/>
    </row>
    <row r="8" spans="1:31">
      <c r="A8" s="1" t="s">
        <v>43</v>
      </c>
      <c r="E8">
        <v>7.21513961988271E-2</v>
      </c>
      <c r="I8">
        <v>0.11160951616792</v>
      </c>
      <c r="M8">
        <v>6.6755767261666404E-2</v>
      </c>
      <c r="Q8" s="27">
        <v>6.9992677000000003E-2</v>
      </c>
      <c r="R8" s="27"/>
      <c r="U8" s="27">
        <v>0.22501429100000001</v>
      </c>
    </row>
    <row r="9" spans="1:31">
      <c r="A9" s="1" t="s">
        <v>53</v>
      </c>
      <c r="E9">
        <f>E23</f>
        <v>7.3687000000000002E-2</v>
      </c>
      <c r="I9">
        <f>I23</f>
        <v>0.11441999999999999</v>
      </c>
      <c r="M9">
        <f>M23</f>
        <v>6.9314000000000001E-2</v>
      </c>
      <c r="Q9">
        <f>Q23</f>
        <v>7.1282999999999999E-2</v>
      </c>
      <c r="U9">
        <f>U23</f>
        <v>0.22594</v>
      </c>
      <c r="AC9" s="33">
        <v>0.57168284000000003</v>
      </c>
      <c r="AD9" s="33">
        <v>0.61492896900000005</v>
      </c>
      <c r="AE9" s="33">
        <v>0.56593805900000005</v>
      </c>
    </row>
    <row r="10" spans="1:31">
      <c r="A10" s="1" t="s">
        <v>44</v>
      </c>
      <c r="B10" s="22">
        <f>AVERAGE(E10:AZ10)</f>
        <v>43.980054019522058</v>
      </c>
      <c r="C10" s="22">
        <f>STDEV(E10:AZ10)/SQRT(D10)</f>
        <v>5.9139675363150719</v>
      </c>
      <c r="D10" s="1">
        <f>COUNT(E10:AZ10)</f>
        <v>5</v>
      </c>
      <c r="E10" s="21">
        <f>E6*E7*(1-E8)/E8</f>
        <v>51.438982621725401</v>
      </c>
      <c r="I10" s="21">
        <f>I6*I7*(1-I8)/I8</f>
        <v>31.839237883460356</v>
      </c>
      <c r="M10" s="21">
        <f>M6*M7*(1-M8)/M8</f>
        <v>55.919916496816981</v>
      </c>
      <c r="Q10" s="21">
        <f>Q6*Q7*(1-Q8)/Q8</f>
        <v>53.148835727486173</v>
      </c>
      <c r="U10" s="21">
        <f>U6*U7*(1-U8)/U8</f>
        <v>27.553297368121385</v>
      </c>
    </row>
    <row r="11" spans="1:31">
      <c r="A11" s="1"/>
    </row>
    <row r="12" spans="1:31">
      <c r="A12" s="1" t="s">
        <v>33</v>
      </c>
      <c r="E12" t="s">
        <v>113</v>
      </c>
      <c r="I12" t="s">
        <v>113</v>
      </c>
      <c r="M12" t="s">
        <v>113</v>
      </c>
      <c r="Q12" t="s">
        <v>140</v>
      </c>
      <c r="U12" t="s">
        <v>140</v>
      </c>
    </row>
    <row r="13" spans="1:31">
      <c r="A13" s="1" t="s">
        <v>45</v>
      </c>
      <c r="E13" t="s">
        <v>47</v>
      </c>
      <c r="I13" t="s">
        <v>47</v>
      </c>
      <c r="M13" t="s">
        <v>47</v>
      </c>
      <c r="Q13" t="s">
        <v>106</v>
      </c>
      <c r="U13" t="s">
        <v>106</v>
      </c>
    </row>
    <row r="14" spans="1:31" s="61" customFormat="1" ht="43">
      <c r="A14" s="60" t="s">
        <v>31</v>
      </c>
      <c r="E14" s="68" t="s">
        <v>121</v>
      </c>
      <c r="I14" s="68" t="s">
        <v>121</v>
      </c>
      <c r="M14" s="68" t="s">
        <v>121</v>
      </c>
      <c r="Q14" s="64" t="s">
        <v>205</v>
      </c>
      <c r="U14" s="64" t="s">
        <v>205</v>
      </c>
    </row>
    <row r="15" spans="1:31" ht="21">
      <c r="Q15" s="72" t="s">
        <v>297</v>
      </c>
      <c r="R15" s="71"/>
      <c r="S15" s="71"/>
      <c r="T15" s="71"/>
      <c r="U15" s="71"/>
    </row>
    <row r="16" spans="1:31">
      <c r="A16" s="1" t="s">
        <v>50</v>
      </c>
    </row>
    <row r="17" spans="1:31">
      <c r="B17" s="1" t="s">
        <v>5</v>
      </c>
      <c r="C17" s="1" t="s">
        <v>6</v>
      </c>
      <c r="D17" s="1" t="s">
        <v>55</v>
      </c>
    </row>
    <row r="18" spans="1:31">
      <c r="A18" s="1" t="s">
        <v>0</v>
      </c>
    </row>
    <row r="19" spans="1:31">
      <c r="A19" t="s">
        <v>60</v>
      </c>
      <c r="B19" s="3">
        <f>AVERAGE(E19/E$9,I19/I$9,M19/M$9,Q19/Q$9,U19/U$9)</f>
        <v>2.7422258394168238E-2</v>
      </c>
      <c r="C19" s="3">
        <f>STDEV(E19/E$9,I19/I$9,M19/M$9,Q19/Q$9,U19/U$9)/SQRT(D19)</f>
        <v>5.4043152795315618E-3</v>
      </c>
      <c r="D19">
        <f>COUNT(E19:AZ19)</f>
        <v>5</v>
      </c>
      <c r="E19">
        <v>2.1900999999999999E-3</v>
      </c>
      <c r="I19">
        <v>2.4653000000000001E-3</v>
      </c>
      <c r="M19">
        <v>2.4267999999999998E-3</v>
      </c>
      <c r="Q19">
        <v>2.9145E-3</v>
      </c>
      <c r="U19">
        <v>2.2471000000000001E-3</v>
      </c>
    </row>
    <row r="20" spans="1:31">
      <c r="A20" t="s">
        <v>61</v>
      </c>
      <c r="B20" s="3">
        <f t="shared" ref="B20:B27" si="0">AVERAGE(E20/E$9,I20/I$9,M20/M$9,Q20/Q$9,U20/U$9)</f>
        <v>2.4499840142166412E-2</v>
      </c>
      <c r="C20" s="3">
        <f t="shared" ref="C20:C27" si="1">STDEV(E20/E$9,I20/I$9,M20/M$9,Q20/Q$9,U20/U$9)/SQRT(D20)</f>
        <v>5.7172150000844926E-3</v>
      </c>
      <c r="D20">
        <f t="shared" ref="D20:D31" si="2">COUNT(E20:AZ20)</f>
        <v>5</v>
      </c>
      <c r="E20">
        <v>1.7455999999999999E-3</v>
      </c>
      <c r="I20">
        <v>1.7539999999999999E-3</v>
      </c>
      <c r="M20">
        <v>2.3892000000000002E-3</v>
      </c>
      <c r="Q20">
        <v>2.8390999999999998E-3</v>
      </c>
      <c r="U20">
        <v>2.0747000000000001E-3</v>
      </c>
    </row>
    <row r="21" spans="1:31">
      <c r="A21" t="s">
        <v>62</v>
      </c>
      <c r="B21" s="3">
        <f t="shared" si="0"/>
        <v>3.9662529918358939E-2</v>
      </c>
      <c r="C21" s="3">
        <f t="shared" si="1"/>
        <v>5.867948250059654E-3</v>
      </c>
      <c r="D21">
        <f t="shared" si="2"/>
        <v>5</v>
      </c>
      <c r="E21">
        <v>3.4286E-3</v>
      </c>
      <c r="I21">
        <v>4.4083999999999998E-3</v>
      </c>
      <c r="M21">
        <v>3.4970999999999999E-3</v>
      </c>
      <c r="Q21">
        <v>3.2303000000000002E-3</v>
      </c>
      <c r="U21">
        <v>3.9506999999999997E-3</v>
      </c>
    </row>
    <row r="22" spans="1:31">
      <c r="A22" t="s">
        <v>63</v>
      </c>
      <c r="B22" s="3">
        <f t="shared" si="0"/>
        <v>7.9163286015847766E-4</v>
      </c>
      <c r="C22" s="3">
        <f t="shared" si="1"/>
        <v>5.1638826821717113E-4</v>
      </c>
      <c r="D22">
        <f t="shared" si="2"/>
        <v>5</v>
      </c>
      <c r="E22" s="15">
        <v>7.9147000000000006E-5</v>
      </c>
      <c r="I22">
        <v>3.0906E-4</v>
      </c>
      <c r="M22">
        <v>0</v>
      </c>
      <c r="Q22" s="15">
        <v>7.1956000000000002E-6</v>
      </c>
      <c r="R22" s="15"/>
      <c r="U22" s="15">
        <v>1.8532000000000001E-5</v>
      </c>
    </row>
    <row r="23" spans="1:31">
      <c r="A23" t="s">
        <v>64</v>
      </c>
      <c r="B23" s="3">
        <f t="shared" si="0"/>
        <v>1</v>
      </c>
      <c r="C23" s="3">
        <f t="shared" si="1"/>
        <v>0</v>
      </c>
      <c r="D23">
        <f t="shared" si="2"/>
        <v>5</v>
      </c>
      <c r="E23">
        <v>7.3687000000000002E-2</v>
      </c>
      <c r="I23">
        <v>0.11441999999999999</v>
      </c>
      <c r="M23">
        <v>6.9314000000000001E-2</v>
      </c>
      <c r="Q23">
        <v>7.1282999999999999E-2</v>
      </c>
      <c r="U23">
        <v>0.22594</v>
      </c>
    </row>
    <row r="24" spans="1:31">
      <c r="A24" t="s">
        <v>65</v>
      </c>
      <c r="B24" s="3">
        <f t="shared" si="0"/>
        <v>0</v>
      </c>
      <c r="C24" s="3">
        <f t="shared" si="1"/>
        <v>0</v>
      </c>
      <c r="D24">
        <f t="shared" si="2"/>
        <v>5</v>
      </c>
      <c r="E24">
        <v>0</v>
      </c>
      <c r="I24">
        <v>0</v>
      </c>
      <c r="M24">
        <v>0</v>
      </c>
      <c r="Q24">
        <v>0</v>
      </c>
      <c r="U24">
        <v>0</v>
      </c>
    </row>
    <row r="25" spans="1:31">
      <c r="A25" t="s">
        <v>66</v>
      </c>
      <c r="B25" s="3">
        <f t="shared" si="0"/>
        <v>0</v>
      </c>
      <c r="C25" s="3">
        <f t="shared" si="1"/>
        <v>0</v>
      </c>
      <c r="D25">
        <f t="shared" si="2"/>
        <v>5</v>
      </c>
      <c r="E25">
        <v>0</v>
      </c>
      <c r="I25">
        <v>0</v>
      </c>
      <c r="M25">
        <v>0</v>
      </c>
      <c r="Q25">
        <v>0</v>
      </c>
      <c r="U25">
        <v>0</v>
      </c>
    </row>
    <row r="26" spans="1:31">
      <c r="A26" t="s">
        <v>67</v>
      </c>
      <c r="B26" s="3">
        <f t="shared" si="0"/>
        <v>0</v>
      </c>
      <c r="C26" s="3">
        <f t="shared" si="1"/>
        <v>0</v>
      </c>
      <c r="D26">
        <f t="shared" si="2"/>
        <v>5</v>
      </c>
      <c r="E26">
        <v>0</v>
      </c>
      <c r="I26">
        <v>0</v>
      </c>
      <c r="M26">
        <v>0</v>
      </c>
      <c r="Q26">
        <v>0</v>
      </c>
      <c r="U26">
        <v>0</v>
      </c>
    </row>
    <row r="27" spans="1:31">
      <c r="A27" t="s">
        <v>71</v>
      </c>
      <c r="B27" s="3">
        <f t="shared" si="0"/>
        <v>3.1040210715311444E-2</v>
      </c>
      <c r="C27" s="3">
        <f t="shared" si="1"/>
        <v>2.9615916446800318E-2</v>
      </c>
      <c r="D27">
        <f t="shared" si="2"/>
        <v>5</v>
      </c>
      <c r="E27">
        <v>0</v>
      </c>
      <c r="I27">
        <v>1.7101000000000002E-2</v>
      </c>
      <c r="M27">
        <v>3.1185000000000002E-4</v>
      </c>
      <c r="Q27">
        <v>0</v>
      </c>
      <c r="U27">
        <v>2.8102999999999998E-4</v>
      </c>
    </row>
    <row r="28" spans="1:31">
      <c r="A28" t="s">
        <v>72</v>
      </c>
      <c r="B28" s="3">
        <f t="shared" ref="B28" si="3">AVERAGE(E28/E$9,I28/I$9,M28/M$9)</f>
        <v>0</v>
      </c>
      <c r="C28" s="3">
        <f t="shared" ref="C28" si="4">STDEV(E28/E$9,I28/I$9,M28/M$9)/SQRT(D28)</f>
        <v>0</v>
      </c>
      <c r="D28">
        <f t="shared" si="2"/>
        <v>3</v>
      </c>
      <c r="E28">
        <v>0</v>
      </c>
      <c r="I28">
        <v>0</v>
      </c>
      <c r="M28">
        <v>0</v>
      </c>
    </row>
    <row r="29" spans="1:31">
      <c r="A29" t="s">
        <v>69</v>
      </c>
      <c r="B29" s="3">
        <f t="shared" ref="B29" si="5">AVERAGE(E29/E$9,I29/I$9,M29/M$9,Q29/Q$9,U29/U$9)</f>
        <v>5.2381990892445038E-2</v>
      </c>
      <c r="C29" s="3">
        <f t="shared" ref="C29" si="6">STDEV(E29/E$9,I29/I$9,M29/M$9,Q29/Q$9,U29/U$9)/SQRT(D29)</f>
        <v>1.1072960700301039E-2</v>
      </c>
      <c r="D29">
        <f t="shared" si="2"/>
        <v>5</v>
      </c>
      <c r="E29">
        <v>5.5681999999999997E-3</v>
      </c>
      <c r="I29">
        <v>6.9979999999999999E-3</v>
      </c>
      <c r="M29">
        <v>2.1239000000000002E-3</v>
      </c>
      <c r="Q29">
        <v>5.1958999999999998E-3</v>
      </c>
      <c r="U29">
        <v>4.8918E-3</v>
      </c>
    </row>
    <row r="30" spans="1:31">
      <c r="A30" t="s">
        <v>68</v>
      </c>
      <c r="B30" s="3">
        <f>AVERAGE(AC30/AC9,AD30/AD9,AE30/AE9)</f>
        <v>6.9471312342573519E-2</v>
      </c>
      <c r="C30" s="3">
        <f>STDEV(AC30/AC9,AD30/AD9,AE30/AE9)/SQRT(D30)</f>
        <v>8.3023139294385057E-3</v>
      </c>
      <c r="D30">
        <f t="shared" si="2"/>
        <v>3</v>
      </c>
      <c r="AC30">
        <v>4.2387317100501323E-2</v>
      </c>
      <c r="AD30">
        <v>3.2797768426287913E-2</v>
      </c>
      <c r="AE30">
        <v>4.5803211732616401E-2</v>
      </c>
    </row>
    <row r="31" spans="1:31" s="44" customFormat="1">
      <c r="A31" s="44" t="s">
        <v>70</v>
      </c>
      <c r="B31" s="46" t="s">
        <v>30</v>
      </c>
      <c r="C31" s="46" t="s">
        <v>30</v>
      </c>
      <c r="D31" s="44">
        <f t="shared" si="2"/>
        <v>0</v>
      </c>
    </row>
    <row r="32" spans="1:31">
      <c r="A32" t="s">
        <v>23</v>
      </c>
      <c r="B32" s="3">
        <f t="shared" ref="B32:B33" si="7">AVERAGE(E32/E$9,I32/I$9,M32/M$9,Q32/Q$9,U32/U$9)</f>
        <v>0</v>
      </c>
      <c r="C32" s="3">
        <f t="shared" ref="C32:C33" si="8">STDEV(E32/E$9,I32/I$9,M32/M$9,Q32/Q$9,U32/U$9)/SQRT(D32)</f>
        <v>0</v>
      </c>
      <c r="D32">
        <f t="shared" ref="D32:D33" si="9">COUNT(E32:AZ32)</f>
        <v>5</v>
      </c>
      <c r="E32">
        <v>0</v>
      </c>
      <c r="I32">
        <v>0</v>
      </c>
      <c r="M32">
        <v>0</v>
      </c>
      <c r="Q32">
        <v>0</v>
      </c>
      <c r="U32">
        <v>0</v>
      </c>
    </row>
    <row r="33" spans="1:21">
      <c r="A33" t="s">
        <v>24</v>
      </c>
      <c r="B33" s="3">
        <f t="shared" si="7"/>
        <v>0</v>
      </c>
      <c r="C33" s="3">
        <f t="shared" si="8"/>
        <v>0</v>
      </c>
      <c r="D33">
        <f t="shared" si="9"/>
        <v>5</v>
      </c>
      <c r="E33">
        <v>0</v>
      </c>
      <c r="I33">
        <v>0</v>
      </c>
      <c r="M33">
        <v>0</v>
      </c>
      <c r="Q33">
        <v>0</v>
      </c>
      <c r="U33">
        <v>0</v>
      </c>
    </row>
    <row r="36" spans="1:21">
      <c r="A36" s="1" t="s">
        <v>16</v>
      </c>
    </row>
    <row r="37" spans="1:21">
      <c r="A37" t="s">
        <v>7</v>
      </c>
      <c r="B37" s="3">
        <f t="shared" ref="B37" si="10">AVERAGE(E37/E$9,I37/I$9,M37/M$9,Q37/Q$9,U37/U$9)</f>
        <v>3.5200094771371121E-2</v>
      </c>
      <c r="C37" s="3">
        <f t="shared" ref="C37" si="11">STDEV(E37/E$9,I37/I$9,M37/M$9,Q37/Q$9,U37/U$9)/SQRT(D37)</f>
        <v>9.7730625148335932E-3</v>
      </c>
      <c r="D37">
        <f t="shared" ref="D37:D38" si="12">COUNT(E37:AZ37)</f>
        <v>5</v>
      </c>
      <c r="E37">
        <v>3.8252999999999998E-3</v>
      </c>
      <c r="I37">
        <v>1.5654E-3</v>
      </c>
      <c r="M37">
        <v>4.0613000000000003E-3</v>
      </c>
      <c r="Q37">
        <v>2.9134999999999999E-3</v>
      </c>
      <c r="U37">
        <v>2.4721000000000001E-3</v>
      </c>
    </row>
    <row r="38" spans="1:21">
      <c r="A38" t="s">
        <v>8</v>
      </c>
      <c r="B38" s="3">
        <f t="shared" ref="B38:B41" si="13">AVERAGE(E38/E$9,I38/I$9,M38/M$9,Q38/Q$9,U38/U$9)</f>
        <v>3.401268928679034E-2</v>
      </c>
      <c r="C38" s="3">
        <f t="shared" ref="C38:C41" si="14">STDEV(E38/E$9,I38/I$9,M38/M$9,Q38/Q$9,U38/U$9)/SQRT(D38)</f>
        <v>6.7361287862712504E-3</v>
      </c>
      <c r="D38">
        <f t="shared" si="12"/>
        <v>5</v>
      </c>
      <c r="E38">
        <v>3.1177000000000002E-3</v>
      </c>
      <c r="I38">
        <v>4.1821000000000002E-3</v>
      </c>
      <c r="M38">
        <v>3.3652E-3</v>
      </c>
      <c r="Q38">
        <v>2.3917999999999999E-3</v>
      </c>
      <c r="U38">
        <v>2.0558999999999998E-3</v>
      </c>
    </row>
    <row r="39" spans="1:21">
      <c r="A39" t="s">
        <v>9</v>
      </c>
      <c r="B39" s="3">
        <f t="shared" si="13"/>
        <v>0.10300485396978272</v>
      </c>
      <c r="C39" s="3">
        <f t="shared" si="14"/>
        <v>1.9964898847116511E-2</v>
      </c>
      <c r="D39">
        <f t="shared" ref="D39:D52" si="15">COUNT(E39:AZ39)</f>
        <v>5</v>
      </c>
      <c r="E39">
        <v>1.1847999999999999E-2</v>
      </c>
      <c r="I39">
        <v>1.082E-2</v>
      </c>
      <c r="M39">
        <v>9.1611000000000001E-3</v>
      </c>
      <c r="Q39">
        <v>5.8092999999999999E-3</v>
      </c>
      <c r="U39">
        <v>1.0395E-2</v>
      </c>
    </row>
    <row r="40" spans="1:21">
      <c r="A40" t="s">
        <v>10</v>
      </c>
      <c r="B40" s="3">
        <f t="shared" si="13"/>
        <v>3.1647731859999972E-2</v>
      </c>
      <c r="C40" s="3">
        <f t="shared" si="14"/>
        <v>4.9018151211485715E-3</v>
      </c>
      <c r="D40">
        <f t="shared" si="15"/>
        <v>5</v>
      </c>
      <c r="E40">
        <v>3.0580999999999998E-3</v>
      </c>
      <c r="I40">
        <v>3.2039999999999998E-3</v>
      </c>
      <c r="M40">
        <v>2.9799000000000002E-3</v>
      </c>
      <c r="Q40">
        <v>2.1018E-3</v>
      </c>
      <c r="U40">
        <v>3.6735000000000001E-3</v>
      </c>
    </row>
    <row r="41" spans="1:21">
      <c r="A41" t="s">
        <v>11</v>
      </c>
      <c r="B41" s="3">
        <f t="shared" si="13"/>
        <v>9.7091255816971062E-2</v>
      </c>
      <c r="C41" s="3">
        <f t="shared" si="14"/>
        <v>1.5586973718097497E-2</v>
      </c>
      <c r="D41">
        <f t="shared" si="15"/>
        <v>5</v>
      </c>
      <c r="E41">
        <v>9.3396E-3</v>
      </c>
      <c r="I41">
        <v>1.1115E-2</v>
      </c>
      <c r="M41">
        <v>8.9844E-3</v>
      </c>
      <c r="Q41">
        <v>6.2848000000000001E-3</v>
      </c>
      <c r="U41">
        <v>9.8919999999999998E-3</v>
      </c>
    </row>
    <row r="42" spans="1:21">
      <c r="A42" t="s">
        <v>49</v>
      </c>
      <c r="B42" t="s">
        <v>30</v>
      </c>
      <c r="C42" t="s">
        <v>30</v>
      </c>
      <c r="D42">
        <f t="shared" si="15"/>
        <v>0</v>
      </c>
    </row>
    <row r="43" spans="1:21">
      <c r="A43" t="s">
        <v>12</v>
      </c>
      <c r="B43" s="3">
        <f t="shared" ref="B43:B44" si="16">AVERAGE(E43/E$9,I43/I$9,M43/M$9,Q43/Q$9,U43/U$9)</f>
        <v>6.9228945965307889E-2</v>
      </c>
      <c r="C43" s="3">
        <f t="shared" ref="C43:C44" si="17">STDEV(E43/E$9,I43/I$9,M43/M$9,Q43/Q$9,U43/U$9)/SQRT(D43)</f>
        <v>9.6104777784531727E-3</v>
      </c>
      <c r="D43">
        <f t="shared" ref="D43:D46" si="18">COUNT(E43:AZ43)</f>
        <v>5</v>
      </c>
      <c r="E43">
        <v>6.6874999999999999E-3</v>
      </c>
      <c r="I43">
        <v>8.3303000000000006E-3</v>
      </c>
      <c r="M43">
        <v>5.6328999999999997E-3</v>
      </c>
      <c r="Q43">
        <v>4.7786E-3</v>
      </c>
      <c r="U43">
        <v>7.7454999999999998E-3</v>
      </c>
    </row>
    <row r="44" spans="1:21">
      <c r="A44" t="s">
        <v>13</v>
      </c>
      <c r="B44" s="3">
        <f t="shared" si="16"/>
        <v>5.285093171452717E-2</v>
      </c>
      <c r="C44" s="3">
        <f t="shared" si="17"/>
        <v>1.1553570563454253E-2</v>
      </c>
      <c r="D44">
        <f t="shared" si="18"/>
        <v>5</v>
      </c>
      <c r="E44">
        <v>5.1269000000000002E-3</v>
      </c>
      <c r="I44">
        <v>5.6782999999999998E-3</v>
      </c>
      <c r="M44">
        <v>5.5487000000000002E-3</v>
      </c>
      <c r="Q44">
        <v>3.7523999999999999E-3</v>
      </c>
      <c r="U44">
        <v>2.7923000000000002E-3</v>
      </c>
    </row>
    <row r="45" spans="1:21">
      <c r="A45" t="s">
        <v>14</v>
      </c>
      <c r="B45" s="3">
        <f>AVERAGE(E45/E$9,I45/I$9,M45/M$9,U45/U$9)</f>
        <v>5.4504815456017187E-2</v>
      </c>
      <c r="C45" s="3">
        <f>STDEV(E45/E$9,I45/I$9,M45/M$9,U45/U$9)/SQRT(D45)</f>
        <v>1.4123313936304359E-2</v>
      </c>
      <c r="D45">
        <f t="shared" si="18"/>
        <v>4</v>
      </c>
      <c r="E45">
        <v>5.6407999999999996E-3</v>
      </c>
      <c r="I45">
        <v>5.8677E-3</v>
      </c>
      <c r="M45">
        <v>5.1583000000000002E-3</v>
      </c>
      <c r="U45">
        <v>3.5623999999999999E-3</v>
      </c>
    </row>
    <row r="46" spans="1:21">
      <c r="A46" t="s">
        <v>56</v>
      </c>
      <c r="B46" s="3">
        <f t="shared" ref="B46" si="19">AVERAGE(E46/E$9,I46/I$9,M46/M$9,Q46/Q$9,U46/U$9)</f>
        <v>2.553307831415073E-2</v>
      </c>
      <c r="C46" s="3">
        <f t="shared" ref="C46" si="20">STDEV(E46/E$9,I46/I$9,M46/M$9,Q46/Q$9,U46/U$9)/SQRT(D46)</f>
        <v>1.1463788164812222E-2</v>
      </c>
      <c r="D46">
        <f t="shared" si="18"/>
        <v>5</v>
      </c>
      <c r="E46">
        <v>3.5382999999999999E-3</v>
      </c>
      <c r="I46">
        <v>1.0621999999999999E-3</v>
      </c>
      <c r="M46">
        <v>4.0044E-3</v>
      </c>
      <c r="Q46">
        <v>8.9760999999999997E-4</v>
      </c>
      <c r="U46">
        <v>0</v>
      </c>
    </row>
    <row r="47" spans="1:21">
      <c r="A47" t="s">
        <v>57</v>
      </c>
      <c r="B47" t="s">
        <v>30</v>
      </c>
      <c r="C47" t="s">
        <v>30</v>
      </c>
      <c r="D47">
        <f t="shared" si="15"/>
        <v>0</v>
      </c>
    </row>
    <row r="48" spans="1:21">
      <c r="A48" t="s">
        <v>15</v>
      </c>
      <c r="B48" s="3">
        <f t="shared" ref="B48" si="21">AVERAGE(E48/E$9,I48/I$9,M48/M$9,Q48/Q$9,U48/U$9)</f>
        <v>0.1166095217999058</v>
      </c>
      <c r="C48" s="3">
        <f t="shared" ref="C48" si="22">STDEV(E48/E$9,I48/I$9,M48/M$9,Q48/Q$9,U48/U$9)/SQRT(D48)</f>
        <v>2.3457388260594594E-2</v>
      </c>
      <c r="D48">
        <f t="shared" si="15"/>
        <v>5</v>
      </c>
      <c r="E48">
        <v>9.3150999999999998E-3</v>
      </c>
      <c r="I48">
        <v>1.3353E-2</v>
      </c>
      <c r="M48">
        <v>1.2541E-2</v>
      </c>
      <c r="Q48">
        <v>8.8619000000000007E-3</v>
      </c>
      <c r="U48">
        <v>7.8358999999999998E-3</v>
      </c>
    </row>
    <row r="49" spans="1:21" s="44" customFormat="1">
      <c r="A49" s="44" t="s">
        <v>22</v>
      </c>
      <c r="B49" s="46">
        <f>AVERAGE(Q49/Q$9,U49/U$9)</f>
        <v>1.524256533114922E-2</v>
      </c>
      <c r="C49" s="46">
        <f>STDEV(Q49/Q$9,U49/U$9)/SQRT(D49)</f>
        <v>8.7182668448254185E-3</v>
      </c>
      <c r="D49" s="44">
        <f t="shared" si="15"/>
        <v>2</v>
      </c>
      <c r="Q49" s="44">
        <v>1.7080000000000001E-3</v>
      </c>
      <c r="U49" s="44">
        <v>1.4741000000000001E-3</v>
      </c>
    </row>
    <row r="50" spans="1:21">
      <c r="A50" t="s">
        <v>59</v>
      </c>
      <c r="B50" s="3">
        <f>AVERAGE(Q50/Q$9,U50/U$9)</f>
        <v>6.6788831935403636E-2</v>
      </c>
      <c r="C50" s="3">
        <f>STDEV(Q50/Q$9,U50/U$9)/SQRT(D50)</f>
        <v>2.3016591517593579E-2</v>
      </c>
      <c r="D50">
        <f t="shared" si="15"/>
        <v>2</v>
      </c>
      <c r="Q50">
        <v>6.4016000000000003E-3</v>
      </c>
      <c r="U50">
        <v>9.8899000000000001E-3</v>
      </c>
    </row>
    <row r="51" spans="1:21">
      <c r="A51" t="s">
        <v>58</v>
      </c>
      <c r="B51" t="s">
        <v>30</v>
      </c>
      <c r="C51" t="s">
        <v>30</v>
      </c>
      <c r="D51">
        <f t="shared" si="15"/>
        <v>0</v>
      </c>
    </row>
    <row r="52" spans="1:21">
      <c r="A52" t="s">
        <v>151</v>
      </c>
      <c r="B52" s="3">
        <f>AVERAGE(Q52/Q$9,U52/U$9)</f>
        <v>4.919434950103091E-2</v>
      </c>
      <c r="C52" s="3">
        <f>STDEV(Q52/Q$9,U52/U$9)/SQRT(D52)</f>
        <v>2.2821418634429165E-2</v>
      </c>
      <c r="D52">
        <f t="shared" si="15"/>
        <v>2</v>
      </c>
      <c r="Q52">
        <v>5.1335E-3</v>
      </c>
      <c r="U52">
        <v>5.9586999999999999E-3</v>
      </c>
    </row>
    <row r="53" spans="1:21">
      <c r="A53" s="1" t="s">
        <v>17</v>
      </c>
    </row>
    <row r="54" spans="1:21">
      <c r="A54" t="s">
        <v>7</v>
      </c>
      <c r="B54" s="3">
        <f t="shared" ref="B54:B58" si="23">AVERAGE(E54/E$9,I54/I$9,M54/M$9,Q54/Q$9,U54/U$9)</f>
        <v>2.925288457951767E-2</v>
      </c>
      <c r="C54" s="3">
        <f t="shared" ref="C54:C58" si="24">STDEV(E54/E$9,I54/I$9,M54/M$9,Q54/Q$9,U54/U$9)/SQRT(D54)</f>
        <v>9.1729750408769406E-3</v>
      </c>
      <c r="D54">
        <f t="shared" ref="D54:D69" si="25">COUNT(E54:AZ54)</f>
        <v>5</v>
      </c>
      <c r="E54">
        <v>2.9299999999999999E-3</v>
      </c>
      <c r="I54">
        <v>9.5735999999999998E-4</v>
      </c>
      <c r="M54">
        <v>3.6316999999999999E-3</v>
      </c>
      <c r="Q54">
        <v>2.7786999999999998E-3</v>
      </c>
      <c r="U54">
        <v>1.5269999999999999E-3</v>
      </c>
    </row>
    <row r="55" spans="1:21">
      <c r="A55" t="s">
        <v>8</v>
      </c>
      <c r="B55" s="3">
        <f t="shared" si="23"/>
        <v>3.4108578616941235E-2</v>
      </c>
      <c r="C55" s="3">
        <f t="shared" si="24"/>
        <v>5.8965597028538125E-3</v>
      </c>
      <c r="D55">
        <f t="shared" si="25"/>
        <v>5</v>
      </c>
      <c r="E55">
        <v>2.9169999999999999E-3</v>
      </c>
      <c r="I55">
        <v>3.7915000000000002E-3</v>
      </c>
      <c r="M55">
        <v>3.2133999999999999E-3</v>
      </c>
      <c r="Q55">
        <v>2.8088000000000002E-3</v>
      </c>
      <c r="U55">
        <v>2.7239999999999999E-3</v>
      </c>
    </row>
    <row r="56" spans="1:21">
      <c r="A56" t="s">
        <v>9</v>
      </c>
      <c r="B56" s="3">
        <f t="shared" si="23"/>
        <v>0.1148421969343489</v>
      </c>
      <c r="C56" s="3">
        <f t="shared" si="24"/>
        <v>1.8677893357868014E-2</v>
      </c>
      <c r="D56">
        <f t="shared" si="25"/>
        <v>5</v>
      </c>
      <c r="E56">
        <v>1.2318000000000001E-2</v>
      </c>
      <c r="I56">
        <v>1.261E-2</v>
      </c>
      <c r="M56">
        <v>9.8606000000000006E-3</v>
      </c>
      <c r="Q56">
        <v>6.7901000000000003E-3</v>
      </c>
      <c r="U56">
        <v>1.3403E-2</v>
      </c>
    </row>
    <row r="57" spans="1:21">
      <c r="A57" t="s">
        <v>10</v>
      </c>
      <c r="B57" s="3">
        <f t="shared" si="23"/>
        <v>3.0750012057946512E-2</v>
      </c>
      <c r="C57" s="3">
        <f t="shared" si="24"/>
        <v>5.162821168893072E-3</v>
      </c>
      <c r="D57">
        <f t="shared" si="25"/>
        <v>5</v>
      </c>
      <c r="E57">
        <v>2.7691999999999999E-3</v>
      </c>
      <c r="I57">
        <v>3.5964999999999999E-3</v>
      </c>
      <c r="M57">
        <v>3.0144999999999998E-3</v>
      </c>
      <c r="Q57">
        <v>2.0189000000000001E-3</v>
      </c>
      <c r="U57">
        <v>2.9201000000000001E-3</v>
      </c>
    </row>
    <row r="58" spans="1:21">
      <c r="A58" t="s">
        <v>11</v>
      </c>
      <c r="B58" s="3">
        <f t="shared" si="23"/>
        <v>0.10565625127473691</v>
      </c>
      <c r="C58" s="3">
        <f t="shared" si="24"/>
        <v>1.6784387265593365E-2</v>
      </c>
      <c r="D58">
        <f t="shared" si="25"/>
        <v>5</v>
      </c>
      <c r="E58">
        <v>9.6763000000000005E-3</v>
      </c>
      <c r="I58">
        <v>1.2593999999999999E-2</v>
      </c>
      <c r="M58">
        <v>9.6103000000000004E-3</v>
      </c>
      <c r="Q58">
        <v>7.4688999999999997E-3</v>
      </c>
      <c r="U58">
        <v>9.8215999999999998E-3</v>
      </c>
    </row>
    <row r="59" spans="1:21">
      <c r="A59" t="s">
        <v>49</v>
      </c>
      <c r="B59" t="s">
        <v>30</v>
      </c>
      <c r="C59" t="s">
        <v>30</v>
      </c>
      <c r="D59">
        <f t="shared" si="25"/>
        <v>0</v>
      </c>
    </row>
    <row r="60" spans="1:21">
      <c r="A60" t="s">
        <v>12</v>
      </c>
      <c r="B60" s="3">
        <f t="shared" ref="B60:B61" si="26">AVERAGE(E60/E$9,I60/I$9,M60/M$9,Q60/Q$9,U60/U$9)</f>
        <v>7.3174307104928615E-2</v>
      </c>
      <c r="C60" s="3">
        <f t="shared" ref="C60:C61" si="27">STDEV(E60/E$9,I60/I$9,M60/M$9,Q60/Q$9,U60/U$9)/SQRT(D60)</f>
        <v>9.6953992507156674E-3</v>
      </c>
      <c r="D60">
        <f t="shared" si="25"/>
        <v>5</v>
      </c>
      <c r="E60">
        <v>6.4231000000000002E-3</v>
      </c>
      <c r="I60">
        <v>8.4504000000000003E-3</v>
      </c>
      <c r="M60">
        <v>6.1787999999999999E-3</v>
      </c>
      <c r="Q60">
        <v>5.6851999999999996E-3</v>
      </c>
      <c r="U60">
        <v>8.1230999999999994E-3</v>
      </c>
    </row>
    <row r="61" spans="1:21">
      <c r="A61" t="s">
        <v>13</v>
      </c>
      <c r="B61" s="3">
        <f t="shared" si="26"/>
        <v>3.8208646593337593E-2</v>
      </c>
      <c r="C61" s="3">
        <f t="shared" si="27"/>
        <v>1.3038879572174707E-2</v>
      </c>
      <c r="D61">
        <f t="shared" si="25"/>
        <v>5</v>
      </c>
      <c r="E61">
        <v>4.1288999999999996E-3</v>
      </c>
      <c r="I61">
        <v>6.4244999999999997E-3</v>
      </c>
      <c r="M61">
        <v>4.4987999999999998E-3</v>
      </c>
      <c r="Q61">
        <v>0</v>
      </c>
      <c r="U61">
        <v>3.1535000000000001E-3</v>
      </c>
    </row>
    <row r="62" spans="1:21">
      <c r="A62" t="s">
        <v>14</v>
      </c>
      <c r="B62" s="3">
        <f>AVERAGE(E62/E$9,I62/I$9,M62/M$9,U62/U$9)</f>
        <v>5.3643365153192075E-2</v>
      </c>
      <c r="C62" s="3">
        <f>STDEV(E62/E$9,I62/I$9,M62/M$9,U62/U$9)/SQRT(D62)</f>
        <v>1.2440406367404608E-2</v>
      </c>
      <c r="D62">
        <f t="shared" si="25"/>
        <v>4</v>
      </c>
      <c r="E62">
        <v>5.5782000000000002E-3</v>
      </c>
      <c r="I62">
        <v>6.1059E-3</v>
      </c>
      <c r="M62">
        <v>4.6135000000000004E-3</v>
      </c>
      <c r="U62">
        <v>4.2813E-3</v>
      </c>
    </row>
    <row r="63" spans="1:21">
      <c r="A63" t="s">
        <v>56</v>
      </c>
      <c r="B63" s="3">
        <f t="shared" ref="B63" si="28">AVERAGE(E63/E$9,I63/I$9,M63/M$9,Q63/Q$9,U63/U$9)</f>
        <v>3.1078687807294003E-2</v>
      </c>
      <c r="C63" s="3">
        <f t="shared" ref="C63" si="29">STDEV(E63/E$9,I63/I$9,M63/M$9,Q63/Q$9,U63/U$9)/SQRT(D63)</f>
        <v>1.2520023233443946E-2</v>
      </c>
      <c r="D63">
        <f t="shared" si="25"/>
        <v>5</v>
      </c>
      <c r="E63">
        <v>2.6091999999999999E-3</v>
      </c>
      <c r="I63">
        <v>5.5101999999999998E-3</v>
      </c>
      <c r="M63">
        <v>4.5760000000000002E-3</v>
      </c>
      <c r="Q63">
        <v>4.0970999999999998E-4</v>
      </c>
      <c r="U63" s="15">
        <v>1.3665E-5</v>
      </c>
    </row>
    <row r="64" spans="1:21">
      <c r="A64" t="s">
        <v>57</v>
      </c>
      <c r="B64" t="s">
        <v>30</v>
      </c>
      <c r="C64" t="s">
        <v>30</v>
      </c>
      <c r="D64">
        <f t="shared" si="25"/>
        <v>0</v>
      </c>
    </row>
    <row r="65" spans="1:21">
      <c r="A65" t="s">
        <v>15</v>
      </c>
      <c r="B65" s="3">
        <f t="shared" ref="B65" si="30">AVERAGE(E65/E$9,I65/I$9,M65/M$9,Q65/Q$9,U65/U$9)</f>
        <v>0.13410659864612876</v>
      </c>
      <c r="C65" s="3">
        <f t="shared" ref="C65" si="31">STDEV(E65/E$9,I65/I$9,M65/M$9,Q65/Q$9,U65/U$9)/SQRT(D65)</f>
        <v>2.4721206140604565E-2</v>
      </c>
      <c r="D65">
        <f t="shared" si="25"/>
        <v>5</v>
      </c>
      <c r="E65">
        <v>1.0351000000000001E-2</v>
      </c>
      <c r="I65">
        <v>1.4860999999999999E-2</v>
      </c>
      <c r="M65">
        <v>1.4933999999999999E-2</v>
      </c>
      <c r="Q65">
        <v>8.8725999999999996E-3</v>
      </c>
      <c r="U65">
        <v>1.3613999999999999E-2</v>
      </c>
    </row>
    <row r="66" spans="1:21" s="44" customFormat="1">
      <c r="A66" s="44" t="s">
        <v>22</v>
      </c>
      <c r="B66" s="46">
        <f>AVERAGE(Q66/Q$9,U66/U$9)</f>
        <v>1.23743874849199E-2</v>
      </c>
      <c r="C66" s="46">
        <f>STDEV(Q66/Q$9,U66/U$9)/SQRT(D66)</f>
        <v>6.6511866351367729E-3</v>
      </c>
      <c r="D66" s="44">
        <f t="shared" si="25"/>
        <v>2</v>
      </c>
      <c r="Q66" s="44">
        <v>1.3561999999999999E-3</v>
      </c>
      <c r="U66" s="44">
        <v>1.2930999999999999E-3</v>
      </c>
    </row>
    <row r="67" spans="1:21">
      <c r="A67" t="s">
        <v>59</v>
      </c>
      <c r="B67" s="3">
        <f>AVERAGE(Q67/Q$9,U67/U$9)</f>
        <v>8.1715323423187963E-2</v>
      </c>
      <c r="C67" s="3">
        <f>STDEV(Q67/Q$9,U67/U$9)/SQRT(D67)</f>
        <v>2.2181818952974667E-2</v>
      </c>
      <c r="D67">
        <f t="shared" si="25"/>
        <v>2</v>
      </c>
      <c r="Q67">
        <v>7.4060999999999997E-3</v>
      </c>
      <c r="U67">
        <v>1.3450999999999999E-2</v>
      </c>
    </row>
    <row r="68" spans="1:21">
      <c r="A68" t="s">
        <v>58</v>
      </c>
      <c r="B68" t="s">
        <v>30</v>
      </c>
      <c r="C68" t="s">
        <v>30</v>
      </c>
      <c r="D68">
        <f t="shared" si="25"/>
        <v>0</v>
      </c>
    </row>
    <row r="69" spans="1:21">
      <c r="A69" t="s">
        <v>151</v>
      </c>
      <c r="B69" s="3">
        <f>AVERAGE(Q69/Q$9,U69/U$9)</f>
        <v>3.3281560601775784E-2</v>
      </c>
      <c r="C69" s="3">
        <f>STDEV(Q69/Q$9,U69/U$9)/SQRT(D69)</f>
        <v>1.1476656644973085E-2</v>
      </c>
      <c r="D69">
        <f t="shared" si="25"/>
        <v>2</v>
      </c>
      <c r="Q69">
        <v>3.1905000000000002E-3</v>
      </c>
      <c r="U69">
        <v>4.9265999999999997E-3</v>
      </c>
    </row>
    <row r="81" spans="1:14">
      <c r="A81" s="1" t="s">
        <v>32</v>
      </c>
      <c r="E81" s="74">
        <v>43152</v>
      </c>
      <c r="I81" s="74">
        <v>43152</v>
      </c>
      <c r="M81" s="74">
        <v>43152</v>
      </c>
    </row>
    <row r="82" spans="1:14">
      <c r="A82" s="1" t="s">
        <v>33</v>
      </c>
      <c r="E82" s="75" t="s">
        <v>113</v>
      </c>
      <c r="I82" s="75" t="s">
        <v>113</v>
      </c>
      <c r="M82" s="75" t="s">
        <v>113</v>
      </c>
    </row>
    <row r="83" spans="1:14">
      <c r="A83" s="1" t="s">
        <v>34</v>
      </c>
      <c r="E83" s="76" t="s">
        <v>126</v>
      </c>
      <c r="I83" s="76" t="s">
        <v>128</v>
      </c>
      <c r="M83" s="76" t="s">
        <v>129</v>
      </c>
    </row>
    <row r="84" spans="1:14">
      <c r="A84" s="1" t="s">
        <v>35</v>
      </c>
      <c r="E84" s="75" t="s">
        <v>52</v>
      </c>
      <c r="I84" s="75" t="s">
        <v>52</v>
      </c>
      <c r="M84" s="75" t="s">
        <v>52</v>
      </c>
    </row>
    <row r="85" spans="1:14">
      <c r="A85" s="1" t="s">
        <v>36</v>
      </c>
      <c r="E85" s="67" t="s">
        <v>123</v>
      </c>
      <c r="I85" s="67" t="s">
        <v>123</v>
      </c>
      <c r="M85" s="67" t="s">
        <v>123</v>
      </c>
    </row>
    <row r="86" spans="1:14">
      <c r="A86" s="1" t="s">
        <v>37</v>
      </c>
      <c r="E86" s="44">
        <v>60</v>
      </c>
      <c r="I86" s="44">
        <v>60</v>
      </c>
      <c r="M86" s="44">
        <v>60</v>
      </c>
    </row>
    <row r="87" spans="1:14">
      <c r="A87" s="1" t="s">
        <v>38</v>
      </c>
      <c r="E87" s="44">
        <v>0.1</v>
      </c>
      <c r="I87" s="44">
        <v>0.1</v>
      </c>
      <c r="M87" s="44">
        <v>0.1</v>
      </c>
    </row>
    <row r="88" spans="1:14">
      <c r="A88" s="1" t="s">
        <v>43</v>
      </c>
      <c r="E88">
        <v>0.247369900175573</v>
      </c>
      <c r="I88">
        <v>0.28598673630492299</v>
      </c>
      <c r="M88" s="31">
        <v>0.32204604933786302</v>
      </c>
    </row>
    <row r="89" spans="1:14">
      <c r="A89" s="1" t="s">
        <v>54</v>
      </c>
      <c r="E89">
        <f>E103</f>
        <v>0.24784999999999999</v>
      </c>
      <c r="I89">
        <f>I103</f>
        <v>0.28689999999999999</v>
      </c>
      <c r="M89" s="31">
        <f>M103</f>
        <v>0.32402999999999998</v>
      </c>
    </row>
    <row r="90" spans="1:14">
      <c r="A90" s="1" t="s">
        <v>44</v>
      </c>
      <c r="B90" s="22">
        <f>AVERAGE(E90:AZ90)</f>
        <v>15.288681346637787</v>
      </c>
      <c r="C90" s="22">
        <f>STDEV(E90:AZ90)/SQRT(D90)</f>
        <v>1.6309147080159472</v>
      </c>
      <c r="D90" s="1">
        <f>COUNT(E90:AZ90)</f>
        <v>3</v>
      </c>
      <c r="E90" s="21">
        <f>E86*E87*(1-E88)/E88</f>
        <v>18.255174116743575</v>
      </c>
      <c r="I90" s="21">
        <f>I86*I87*(1-I88)/I88</f>
        <v>14.979993958890169</v>
      </c>
      <c r="M90" s="32">
        <f>M86*M87*(1-M88)/M88</f>
        <v>12.630875964279619</v>
      </c>
    </row>
    <row r="91" spans="1:14">
      <c r="A91" s="1"/>
      <c r="M91" s="31"/>
    </row>
    <row r="92" spans="1:14">
      <c r="A92" s="1" t="s">
        <v>33</v>
      </c>
      <c r="E92" t="s">
        <v>113</v>
      </c>
      <c r="F92" t="s">
        <v>39</v>
      </c>
      <c r="I92" t="s">
        <v>113</v>
      </c>
      <c r="J92" t="s">
        <v>39</v>
      </c>
      <c r="M92" s="31" t="s">
        <v>113</v>
      </c>
      <c r="N92" t="s">
        <v>39</v>
      </c>
    </row>
    <row r="93" spans="1:14">
      <c r="A93" s="1" t="s">
        <v>45</v>
      </c>
      <c r="E93" t="s">
        <v>47</v>
      </c>
      <c r="F93" t="s">
        <v>85</v>
      </c>
      <c r="I93" t="s">
        <v>47</v>
      </c>
      <c r="J93" t="s">
        <v>85</v>
      </c>
      <c r="M93" s="31" t="s">
        <v>47</v>
      </c>
      <c r="N93" t="s">
        <v>85</v>
      </c>
    </row>
    <row r="94" spans="1:14" ht="113">
      <c r="A94" s="12" t="s">
        <v>31</v>
      </c>
      <c r="E94" s="70" t="s">
        <v>127</v>
      </c>
      <c r="F94" s="10" t="s">
        <v>287</v>
      </c>
      <c r="I94" s="70" t="s">
        <v>127</v>
      </c>
      <c r="J94" s="10" t="s">
        <v>287</v>
      </c>
      <c r="M94" s="70" t="s">
        <v>127</v>
      </c>
      <c r="N94" s="10" t="s">
        <v>287</v>
      </c>
    </row>
    <row r="95" spans="1:14">
      <c r="M95" s="31"/>
    </row>
    <row r="96" spans="1:14">
      <c r="A96" s="1" t="s">
        <v>50</v>
      </c>
      <c r="M96" s="17" t="s">
        <v>130</v>
      </c>
    </row>
    <row r="97" spans="1:14">
      <c r="B97" s="1" t="s">
        <v>5</v>
      </c>
      <c r="C97" s="1" t="s">
        <v>6</v>
      </c>
      <c r="D97" s="1" t="s">
        <v>55</v>
      </c>
      <c r="M97" s="17"/>
    </row>
    <row r="98" spans="1:14">
      <c r="A98" s="1" t="s">
        <v>0</v>
      </c>
      <c r="M98" s="17"/>
    </row>
    <row r="99" spans="1:14">
      <c r="A99" t="s">
        <v>60</v>
      </c>
      <c r="B99">
        <f>AVERAGE(E99/E$89,I99/I$89)</f>
        <v>3.1831371755972051E-3</v>
      </c>
      <c r="C99">
        <f>STDEV(E99/E$89,I99/I$89)/SQRT(D99)</f>
        <v>2.3054045200013242E-4</v>
      </c>
      <c r="D99">
        <f>COUNT(E99:I99)</f>
        <v>2</v>
      </c>
      <c r="E99">
        <v>8.4608000000000003E-4</v>
      </c>
      <c r="I99">
        <v>8.4710000000000004E-4</v>
      </c>
      <c r="M99" s="17">
        <v>1.2271000000000001E-3</v>
      </c>
    </row>
    <row r="100" spans="1:14">
      <c r="A100" t="s">
        <v>61</v>
      </c>
      <c r="B100">
        <f t="shared" ref="B100:B109" si="32">AVERAGE(E100/E$89,I100/I$89)</f>
        <v>4.9152530514604059E-3</v>
      </c>
      <c r="C100">
        <f t="shared" ref="C100:C109" si="33">STDEV(E100/E$89,I100/I$89)/SQRT(D100)</f>
        <v>4.6013907123042784E-4</v>
      </c>
      <c r="D100">
        <f t="shared" ref="D100:D109" si="34">COUNT(E100:I100)</f>
        <v>2</v>
      </c>
      <c r="E100">
        <v>1.1042000000000001E-3</v>
      </c>
      <c r="I100">
        <v>1.5422000000000001E-3</v>
      </c>
      <c r="M100" s="17">
        <v>2.1194E-3</v>
      </c>
    </row>
    <row r="101" spans="1:14">
      <c r="A101" t="s">
        <v>62</v>
      </c>
      <c r="B101">
        <f t="shared" si="32"/>
        <v>1.1963776100817678E-2</v>
      </c>
      <c r="C101">
        <f t="shared" si="33"/>
        <v>2.3634494013451135E-4</v>
      </c>
      <c r="D101">
        <f t="shared" si="34"/>
        <v>2</v>
      </c>
      <c r="E101">
        <v>3.0238000000000001E-3</v>
      </c>
      <c r="I101">
        <v>3.3646000000000001E-3</v>
      </c>
      <c r="M101" s="17">
        <v>5.5389000000000002E-3</v>
      </c>
    </row>
    <row r="102" spans="1:14">
      <c r="A102" t="s">
        <v>63</v>
      </c>
      <c r="B102">
        <f t="shared" si="32"/>
        <v>3.3673825783579149E-3</v>
      </c>
      <c r="C102">
        <f t="shared" si="33"/>
        <v>8.6513131086986169E-6</v>
      </c>
      <c r="D102">
        <f t="shared" si="34"/>
        <v>2</v>
      </c>
      <c r="E102">
        <v>8.3675000000000004E-4</v>
      </c>
      <c r="I102">
        <v>9.6361999999999999E-4</v>
      </c>
      <c r="M102" s="17">
        <v>2.3414999999999998E-3</v>
      </c>
    </row>
    <row r="103" spans="1:14">
      <c r="A103" t="s">
        <v>64</v>
      </c>
      <c r="B103">
        <f t="shared" si="32"/>
        <v>1</v>
      </c>
      <c r="C103">
        <f t="shared" si="33"/>
        <v>0</v>
      </c>
      <c r="D103">
        <f t="shared" si="34"/>
        <v>2</v>
      </c>
      <c r="E103">
        <v>0.24784999999999999</v>
      </c>
      <c r="I103">
        <v>0.28689999999999999</v>
      </c>
      <c r="M103" s="17">
        <v>0.32402999999999998</v>
      </c>
    </row>
    <row r="104" spans="1:14">
      <c r="A104" t="s">
        <v>65</v>
      </c>
      <c r="B104">
        <f t="shared" si="32"/>
        <v>4.4829920234898483E-5</v>
      </c>
      <c r="C104">
        <f t="shared" si="33"/>
        <v>1.4427660803790953E-5</v>
      </c>
      <c r="D104">
        <f t="shared" si="34"/>
        <v>2</v>
      </c>
      <c r="E104" s="15">
        <v>7.5352000000000003E-6</v>
      </c>
      <c r="F104" s="15"/>
      <c r="G104" s="15"/>
      <c r="I104" s="15">
        <v>1.7000999999999999E-5</v>
      </c>
      <c r="J104" s="15"/>
      <c r="M104" s="30">
        <v>4.4601999999999997E-5</v>
      </c>
    </row>
    <row r="105" spans="1:14">
      <c r="A105" t="s">
        <v>66</v>
      </c>
      <c r="B105">
        <f t="shared" si="32"/>
        <v>0</v>
      </c>
      <c r="C105">
        <f t="shared" si="33"/>
        <v>0</v>
      </c>
      <c r="D105">
        <f t="shared" si="34"/>
        <v>2</v>
      </c>
      <c r="E105">
        <v>0</v>
      </c>
      <c r="I105">
        <v>0</v>
      </c>
      <c r="M105" s="17">
        <v>0</v>
      </c>
    </row>
    <row r="106" spans="1:14">
      <c r="A106" t="s">
        <v>67</v>
      </c>
      <c r="B106">
        <f t="shared" si="32"/>
        <v>0</v>
      </c>
      <c r="C106">
        <f t="shared" si="33"/>
        <v>0</v>
      </c>
      <c r="D106">
        <f t="shared" si="34"/>
        <v>2</v>
      </c>
      <c r="E106">
        <v>0</v>
      </c>
      <c r="I106">
        <v>0</v>
      </c>
      <c r="M106" s="17">
        <v>0</v>
      </c>
    </row>
    <row r="107" spans="1:14">
      <c r="A107" t="s">
        <v>71</v>
      </c>
      <c r="B107">
        <f t="shared" si="32"/>
        <v>0</v>
      </c>
      <c r="C107">
        <f t="shared" si="33"/>
        <v>0</v>
      </c>
      <c r="D107">
        <f t="shared" si="34"/>
        <v>2</v>
      </c>
      <c r="E107">
        <v>0</v>
      </c>
      <c r="I107">
        <v>0</v>
      </c>
      <c r="M107" s="17">
        <v>0</v>
      </c>
    </row>
    <row r="108" spans="1:14">
      <c r="A108" t="s">
        <v>72</v>
      </c>
      <c r="B108">
        <f t="shared" si="32"/>
        <v>5.1730568142209824E-4</v>
      </c>
      <c r="C108">
        <f t="shared" si="33"/>
        <v>5.1730568142209824E-4</v>
      </c>
      <c r="D108">
        <f t="shared" si="34"/>
        <v>2</v>
      </c>
      <c r="E108">
        <v>0</v>
      </c>
      <c r="I108">
        <v>2.9682999999999999E-4</v>
      </c>
      <c r="M108" s="17">
        <v>7.0941999999999999E-4</v>
      </c>
    </row>
    <row r="109" spans="1:14">
      <c r="A109" t="s">
        <v>69</v>
      </c>
      <c r="B109">
        <f t="shared" si="32"/>
        <v>1.6461450313054769E-2</v>
      </c>
      <c r="C109">
        <f t="shared" si="33"/>
        <v>1.1148797820897218E-2</v>
      </c>
      <c r="D109">
        <f t="shared" si="34"/>
        <v>2</v>
      </c>
      <c r="E109">
        <v>6.8431999999999998E-3</v>
      </c>
      <c r="I109">
        <v>1.5242000000000001E-3</v>
      </c>
      <c r="M109" s="17">
        <v>8.0458000000000005E-3</v>
      </c>
    </row>
    <row r="110" spans="1:14" s="44" customFormat="1">
      <c r="A110" s="44" t="s">
        <v>68</v>
      </c>
      <c r="B110" s="44" t="s">
        <v>30</v>
      </c>
      <c r="C110" s="44" t="s">
        <v>30</v>
      </c>
      <c r="D110" s="44">
        <f t="shared" ref="D110:D113" si="35">COUNT(E110:I110)</f>
        <v>0</v>
      </c>
      <c r="M110" s="45"/>
    </row>
    <row r="111" spans="1:14">
      <c r="A111" t="s">
        <v>70</v>
      </c>
      <c r="B111">
        <f>AVERAGE(F111/E89,J111/I89,N111/M89)</f>
        <v>0</v>
      </c>
      <c r="C111">
        <f>STDEV(F111/E89,J111/I89,N111/M89)/SQRT(D111)</f>
        <v>0</v>
      </c>
      <c r="D111">
        <f>COUNT(E111:Z111)</f>
        <v>3</v>
      </c>
      <c r="F111">
        <v>0</v>
      </c>
      <c r="J111">
        <v>0</v>
      </c>
      <c r="M111" s="17"/>
      <c r="N111">
        <v>0</v>
      </c>
    </row>
    <row r="112" spans="1:14">
      <c r="A112" t="s">
        <v>23</v>
      </c>
      <c r="B112">
        <f t="shared" ref="B112:B113" si="36">AVERAGE(E112/E$89,I112/I$89)</f>
        <v>0</v>
      </c>
      <c r="C112">
        <f t="shared" ref="C112:C113" si="37">STDEV(E112/E$89,I112/I$89)/SQRT(D112)</f>
        <v>0</v>
      </c>
      <c r="D112">
        <f t="shared" si="35"/>
        <v>2</v>
      </c>
      <c r="E112">
        <v>0</v>
      </c>
      <c r="I112">
        <v>0</v>
      </c>
      <c r="M112" s="17">
        <v>0</v>
      </c>
    </row>
    <row r="113" spans="1:13">
      <c r="A113" t="s">
        <v>24</v>
      </c>
      <c r="B113">
        <f t="shared" si="36"/>
        <v>0</v>
      </c>
      <c r="C113">
        <f t="shared" si="37"/>
        <v>0</v>
      </c>
      <c r="D113">
        <f t="shared" si="35"/>
        <v>2</v>
      </c>
      <c r="E113">
        <v>0</v>
      </c>
      <c r="I113">
        <v>0</v>
      </c>
      <c r="M113" s="17">
        <v>0</v>
      </c>
    </row>
    <row r="114" spans="1:13">
      <c r="M114" s="17"/>
    </row>
    <row r="115" spans="1:13">
      <c r="M115" s="17"/>
    </row>
    <row r="116" spans="1:13">
      <c r="A116" s="1" t="s">
        <v>16</v>
      </c>
      <c r="M116" s="17"/>
    </row>
    <row r="117" spans="1:13">
      <c r="A117" t="s">
        <v>7</v>
      </c>
      <c r="B117">
        <f>AVERAGE(E117/E$89,I117/I$89)</f>
        <v>7.4332894471401418E-3</v>
      </c>
      <c r="C117">
        <f>STDEV(E117/E$89,I117/I$89)/SQRT(D117)</f>
        <v>7.4907892082435223E-4</v>
      </c>
      <c r="D117">
        <f>COUNT(E117:I117)</f>
        <v>2</v>
      </c>
      <c r="E117">
        <v>2.0279999999999999E-3</v>
      </c>
      <c r="I117">
        <v>1.9177E-3</v>
      </c>
      <c r="M117" s="17">
        <v>2.8167999999999999E-3</v>
      </c>
    </row>
    <row r="118" spans="1:13">
      <c r="A118" t="s">
        <v>8</v>
      </c>
      <c r="B118">
        <f t="shared" ref="B118:B119" si="38">AVERAGE(E118/E$89,I118/I$89)</f>
        <v>1.0766319170238748E-2</v>
      </c>
      <c r="C118">
        <f t="shared" ref="C118:C119" si="39">STDEV(E118/E$89,I118/I$89)/SQRT(D118)</f>
        <v>2.8806447192105187E-3</v>
      </c>
      <c r="D118">
        <f t="shared" ref="D118:D119" si="40">COUNT(E118:I118)</f>
        <v>2</v>
      </c>
      <c r="E118">
        <v>3.3823999999999998E-3</v>
      </c>
      <c r="I118">
        <v>2.2623999999999999E-3</v>
      </c>
      <c r="M118" s="17">
        <v>1.9081999999999998E-2</v>
      </c>
    </row>
    <row r="119" spans="1:13">
      <c r="A119" t="s">
        <v>9</v>
      </c>
      <c r="B119">
        <f t="shared" si="38"/>
        <v>4.8415331417988358E-2</v>
      </c>
      <c r="C119">
        <f t="shared" si="39"/>
        <v>1.1193302836601122E-2</v>
      </c>
      <c r="D119">
        <f t="shared" si="40"/>
        <v>2</v>
      </c>
      <c r="E119">
        <v>1.4774000000000001E-2</v>
      </c>
      <c r="I119">
        <v>1.0678999999999999E-2</v>
      </c>
      <c r="M119" s="17">
        <v>1.8728000000000002E-2</v>
      </c>
    </row>
    <row r="120" spans="1:13">
      <c r="A120" t="s">
        <v>10</v>
      </c>
      <c r="B120">
        <f t="shared" ref="B120:B121" si="41">AVERAGE(E120/E$89,I120/I$89)</f>
        <v>8.1338012660008875E-3</v>
      </c>
      <c r="C120">
        <f t="shared" ref="C120:C121" si="42">STDEV(E120/E$89,I120/I$89)/SQRT(D120)</f>
        <v>9.8597362201653833E-5</v>
      </c>
      <c r="D120">
        <f t="shared" ref="D120:D131" si="43">COUNT(E120:I120)</f>
        <v>2</v>
      </c>
      <c r="E120">
        <v>2.0403999999999999E-3</v>
      </c>
      <c r="I120">
        <v>2.3053000000000001E-3</v>
      </c>
      <c r="M120" s="17">
        <v>3.2959999999999999E-3</v>
      </c>
    </row>
    <row r="121" spans="1:13">
      <c r="A121" t="s">
        <v>11</v>
      </c>
      <c r="B121">
        <f t="shared" si="41"/>
        <v>3.4254470179338761E-2</v>
      </c>
      <c r="C121">
        <f t="shared" si="42"/>
        <v>2.1300365787810731E-3</v>
      </c>
      <c r="D121">
        <f t="shared" si="43"/>
        <v>2</v>
      </c>
      <c r="E121">
        <v>9.0179000000000006E-3</v>
      </c>
      <c r="I121">
        <v>9.2165000000000007E-3</v>
      </c>
      <c r="M121" s="17">
        <v>1.6146000000000001E-2</v>
      </c>
    </row>
    <row r="122" spans="1:13">
      <c r="A122" t="s">
        <v>49</v>
      </c>
      <c r="B122" t="s">
        <v>30</v>
      </c>
      <c r="C122" t="s">
        <v>30</v>
      </c>
      <c r="D122">
        <f t="shared" si="43"/>
        <v>0</v>
      </c>
      <c r="M122" s="17"/>
    </row>
    <row r="123" spans="1:13">
      <c r="A123" t="s">
        <v>12</v>
      </c>
      <c r="B123">
        <f t="shared" ref="B123" si="44">AVERAGE(E123/E$89,I123/I$89)</f>
        <v>1.9710377176798195E-2</v>
      </c>
      <c r="C123">
        <f t="shared" ref="C123" si="45">STDEV(E123/E$89,I123/I$89)/SQRT(D123)</f>
        <v>2.4308372674221018E-3</v>
      </c>
      <c r="D123">
        <f t="shared" si="43"/>
        <v>2</v>
      </c>
      <c r="E123">
        <v>5.4876999999999999E-3</v>
      </c>
      <c r="I123">
        <v>4.9575000000000001E-3</v>
      </c>
      <c r="M123" s="17">
        <v>1.1068E-2</v>
      </c>
    </row>
    <row r="124" spans="1:13">
      <c r="A124" t="s">
        <v>13</v>
      </c>
      <c r="B124">
        <f>AVERAGE(E124/E$89)</f>
        <v>1.6717369376639098E-2</v>
      </c>
      <c r="C124" t="e">
        <f>STDEV(E124/E$89)/SQRT(D124)</f>
        <v>#DIV/0!</v>
      </c>
      <c r="D124">
        <f t="shared" si="43"/>
        <v>1</v>
      </c>
      <c r="E124">
        <v>4.1434000000000002E-3</v>
      </c>
      <c r="I124" s="17" t="s">
        <v>30</v>
      </c>
      <c r="M124" s="17">
        <v>5.9766999999999997E-3</v>
      </c>
    </row>
    <row r="125" spans="1:13">
      <c r="A125" t="s">
        <v>14</v>
      </c>
      <c r="B125">
        <f t="shared" ref="B125" si="46">AVERAGE(E125/E$89,I125/I$89)</f>
        <v>1.9511983047235153E-2</v>
      </c>
      <c r="C125">
        <f t="shared" ref="C125" si="47">STDEV(E125/E$89,I125/I$89)/SQRT(D125)</f>
        <v>1.5245309733418093E-3</v>
      </c>
      <c r="D125">
        <f t="shared" ref="D125" si="48">COUNT(E125:I125)</f>
        <v>2</v>
      </c>
      <c r="E125">
        <v>5.2138999999999996E-3</v>
      </c>
      <c r="I125">
        <v>5.1606000000000004E-3</v>
      </c>
      <c r="M125" s="17">
        <v>1.6837000000000001E-2</v>
      </c>
    </row>
    <row r="126" spans="1:13">
      <c r="A126" t="s">
        <v>56</v>
      </c>
      <c r="B126" s="3">
        <f>AVERAGE(I126/I$9)</f>
        <v>2.3642719804230033E-2</v>
      </c>
      <c r="C126" s="3" t="e">
        <f>STDEV(I126/I$9)/SQRT(D126)</f>
        <v>#DIV/0!</v>
      </c>
      <c r="D126">
        <f t="shared" si="43"/>
        <v>1</v>
      </c>
      <c r="E126" s="17" t="s">
        <v>30</v>
      </c>
      <c r="I126">
        <v>2.7052000000000001E-3</v>
      </c>
      <c r="M126" s="17">
        <v>3.4297000000000001E-2</v>
      </c>
    </row>
    <row r="127" spans="1:13">
      <c r="A127" t="s">
        <v>57</v>
      </c>
      <c r="B127" t="s">
        <v>30</v>
      </c>
      <c r="C127" t="s">
        <v>30</v>
      </c>
      <c r="D127">
        <f t="shared" si="43"/>
        <v>0</v>
      </c>
      <c r="M127" s="17"/>
    </row>
    <row r="128" spans="1:13">
      <c r="A128" t="s">
        <v>15</v>
      </c>
      <c r="B128">
        <f t="shared" ref="B128" si="49">AVERAGE(E128/E$89,I128/I$89)</f>
        <v>3.0064585339812946E-2</v>
      </c>
      <c r="C128">
        <f t="shared" ref="C128" si="50">STDEV(E128/E$89,I128/I$89)/SQRT(D128)</f>
        <v>4.233982342252831E-3</v>
      </c>
      <c r="D128">
        <f t="shared" ref="D128" si="51">COUNT(E128:I128)</f>
        <v>2</v>
      </c>
      <c r="E128">
        <v>8.5009000000000005E-3</v>
      </c>
      <c r="I128">
        <v>7.4108000000000004E-3</v>
      </c>
      <c r="M128" s="17">
        <v>8.3879999999999996E-3</v>
      </c>
    </row>
    <row r="129" spans="1:13">
      <c r="A129" t="s">
        <v>22</v>
      </c>
      <c r="B129">
        <f t="shared" ref="B129" si="52">AVERAGE(E129/E$89,I129/I$89)</f>
        <v>1.0218739226360293E-2</v>
      </c>
      <c r="C129">
        <f t="shared" ref="C129" si="53">STDEV(E129/E$89,I129/I$89)/SQRT(D129)</f>
        <v>1.6945147579043845E-3</v>
      </c>
      <c r="D129">
        <f t="shared" ref="D129" si="54">COUNT(E129:I129)</f>
        <v>2</v>
      </c>
      <c r="E129">
        <v>2.9526999999999999E-3</v>
      </c>
      <c r="I129">
        <v>2.4456E-3</v>
      </c>
      <c r="M129" s="17">
        <v>8.0943999999999999E-3</v>
      </c>
    </row>
    <row r="130" spans="1:13">
      <c r="A130" t="s">
        <v>59</v>
      </c>
      <c r="B130" t="s">
        <v>30</v>
      </c>
      <c r="C130" t="s">
        <v>30</v>
      </c>
      <c r="D130">
        <f t="shared" si="43"/>
        <v>0</v>
      </c>
      <c r="M130" s="17"/>
    </row>
    <row r="131" spans="1:13">
      <c r="A131" t="s">
        <v>58</v>
      </c>
      <c r="B131" t="s">
        <v>30</v>
      </c>
      <c r="C131" t="s">
        <v>30</v>
      </c>
      <c r="D131">
        <f t="shared" si="43"/>
        <v>0</v>
      </c>
      <c r="M131" s="17"/>
    </row>
    <row r="132" spans="1:13">
      <c r="A132" t="s">
        <v>120</v>
      </c>
      <c r="M132" s="17"/>
    </row>
    <row r="133" spans="1:13">
      <c r="A133" s="1" t="s">
        <v>17</v>
      </c>
      <c r="M133" s="17"/>
    </row>
    <row r="134" spans="1:13">
      <c r="A134" t="s">
        <v>7</v>
      </c>
      <c r="B134">
        <f>AVERAGE(E134/E$89,I134/I$89)</f>
        <v>1.4320859074341183E-3</v>
      </c>
      <c r="C134">
        <f>STDEV(E134/E$89,I134/I$89)/SQRT(D134)</f>
        <v>8.8551574914076401E-5</v>
      </c>
      <c r="D134">
        <f>COUNT(E134:I134)</f>
        <v>2</v>
      </c>
      <c r="E134">
        <v>3.7689E-4</v>
      </c>
      <c r="I134">
        <v>3.8546000000000001E-4</v>
      </c>
      <c r="M134" s="17">
        <v>1.4430999999999999E-3</v>
      </c>
    </row>
    <row r="135" spans="1:13">
      <c r="A135" t="s">
        <v>8</v>
      </c>
      <c r="B135">
        <f t="shared" ref="B135:B138" si="55">AVERAGE(E135/E$89,I135/I$89)</f>
        <v>9.3217937771281258E-3</v>
      </c>
      <c r="C135">
        <f t="shared" ref="C135:C138" si="56">STDEV(E135/E$89,I135/I$89)/SQRT(D135)</f>
        <v>1.8906330939632593E-3</v>
      </c>
      <c r="D135">
        <f t="shared" ref="D135:D148" si="57">COUNT(E135:I135)</f>
        <v>2</v>
      </c>
      <c r="E135">
        <v>2.7789999999999998E-3</v>
      </c>
      <c r="I135">
        <v>2.1320000000000002E-3</v>
      </c>
      <c r="M135" s="17">
        <v>1.8515E-2</v>
      </c>
    </row>
    <row r="136" spans="1:13">
      <c r="A136" t="s">
        <v>9</v>
      </c>
      <c r="B136">
        <f t="shared" si="55"/>
        <v>5.5202404323047856E-2</v>
      </c>
      <c r="C136">
        <f t="shared" si="56"/>
        <v>1.0639838969266043E-2</v>
      </c>
      <c r="D136">
        <f t="shared" si="57"/>
        <v>2</v>
      </c>
      <c r="E136">
        <v>1.6319E-2</v>
      </c>
      <c r="I136">
        <v>1.2784999999999999E-2</v>
      </c>
      <c r="M136" s="17">
        <v>1.8187999999999999E-2</v>
      </c>
    </row>
    <row r="137" spans="1:13">
      <c r="A137" t="s">
        <v>10</v>
      </c>
      <c r="B137">
        <f t="shared" si="55"/>
        <v>8.5463452052236197E-3</v>
      </c>
      <c r="C137">
        <f t="shared" si="56"/>
        <v>6.0071955168580164E-4</v>
      </c>
      <c r="D137">
        <f t="shared" si="57"/>
        <v>2</v>
      </c>
      <c r="E137">
        <v>2.2671000000000002E-3</v>
      </c>
      <c r="I137">
        <v>2.2796000000000001E-3</v>
      </c>
      <c r="M137" s="17">
        <v>3.0701000000000001E-3</v>
      </c>
    </row>
    <row r="138" spans="1:13">
      <c r="A138" t="s">
        <v>11</v>
      </c>
      <c r="B138">
        <f t="shared" si="55"/>
        <v>3.100664505264621E-2</v>
      </c>
      <c r="C138">
        <f t="shared" si="56"/>
        <v>1.7772968476967473E-3</v>
      </c>
      <c r="D138">
        <f t="shared" si="57"/>
        <v>2</v>
      </c>
      <c r="E138">
        <v>8.1255000000000008E-3</v>
      </c>
      <c r="I138">
        <v>8.3859E-3</v>
      </c>
      <c r="M138" s="17">
        <v>1.7996999999999999E-2</v>
      </c>
    </row>
    <row r="139" spans="1:13">
      <c r="A139" t="s">
        <v>49</v>
      </c>
      <c r="B139" t="s">
        <v>30</v>
      </c>
      <c r="C139" t="s">
        <v>30</v>
      </c>
      <c r="D139">
        <f t="shared" si="57"/>
        <v>0</v>
      </c>
      <c r="M139" s="17"/>
    </row>
    <row r="140" spans="1:13">
      <c r="A140" t="s">
        <v>12</v>
      </c>
      <c r="B140">
        <f t="shared" ref="B140" si="58">AVERAGE(E140/E$89,I140/I$89)</f>
        <v>1.9650115355951035E-2</v>
      </c>
      <c r="C140">
        <f t="shared" ref="C140" si="59">STDEV(E140/E$89,I140/I$89)/SQRT(D140)</f>
        <v>1.7951136131835221E-3</v>
      </c>
      <c r="D140">
        <f t="shared" si="57"/>
        <v>2</v>
      </c>
      <c r="E140">
        <v>5.3152E-3</v>
      </c>
      <c r="I140">
        <v>5.1225999999999997E-3</v>
      </c>
      <c r="M140" s="17">
        <v>1.1609E-2</v>
      </c>
    </row>
    <row r="141" spans="1:13">
      <c r="A141" t="s">
        <v>13</v>
      </c>
      <c r="B141">
        <f>AVERAGE(E141/E$89)</f>
        <v>1.1151502925156346E-2</v>
      </c>
      <c r="C141" t="e">
        <f>STDEV(E141/E$89)/SQRT(D141)</f>
        <v>#DIV/0!</v>
      </c>
      <c r="D141">
        <f t="shared" si="57"/>
        <v>1</v>
      </c>
      <c r="E141">
        <v>2.7639000000000001E-3</v>
      </c>
      <c r="I141" s="17" t="s">
        <v>30</v>
      </c>
      <c r="M141" s="17">
        <v>5.1986999999999997E-3</v>
      </c>
    </row>
    <row r="142" spans="1:13">
      <c r="A142" t="s">
        <v>14</v>
      </c>
      <c r="B142">
        <f t="shared" ref="B142" si="60">AVERAGE(E142/E$89,I142/I$89)</f>
        <v>2.0313827990076805E-2</v>
      </c>
      <c r="C142">
        <f t="shared" ref="C142" si="61">STDEV(E142/E$89,I142/I$89)/SQRT(D142)</f>
        <v>2.988976125315566E-3</v>
      </c>
      <c r="D142">
        <f t="shared" si="57"/>
        <v>2</v>
      </c>
      <c r="E142">
        <v>5.7755999999999997E-3</v>
      </c>
      <c r="I142">
        <v>4.9705000000000001E-3</v>
      </c>
      <c r="M142" s="17">
        <v>1.5610000000000001E-2</v>
      </c>
    </row>
    <row r="143" spans="1:13">
      <c r="A143" t="s">
        <v>56</v>
      </c>
      <c r="B143">
        <f t="shared" ref="B143" si="62">AVERAGE(E143/E$89,I143/I$89)</f>
        <v>3.9153014987800628E-3</v>
      </c>
      <c r="C143">
        <f t="shared" ref="C143" si="63">STDEV(E143/E$89,I143/I$89)/SQRT(D143)</f>
        <v>3.9153014987800619E-3</v>
      </c>
      <c r="D143">
        <f t="shared" ref="D143" si="64">COUNT(E143:I143)</f>
        <v>2</v>
      </c>
      <c r="E143">
        <v>0</v>
      </c>
      <c r="I143">
        <v>2.2466000000000001E-3</v>
      </c>
      <c r="M143" s="17">
        <v>3.3249000000000001E-2</v>
      </c>
    </row>
    <row r="144" spans="1:13">
      <c r="A144" t="s">
        <v>57</v>
      </c>
      <c r="B144" t="s">
        <v>30</v>
      </c>
      <c r="C144" t="s">
        <v>30</v>
      </c>
      <c r="D144">
        <f t="shared" si="57"/>
        <v>0</v>
      </c>
      <c r="M144" s="17"/>
    </row>
    <row r="145" spans="1:13">
      <c r="A145" t="s">
        <v>15</v>
      </c>
      <c r="B145">
        <f t="shared" ref="B145:B146" si="65">AVERAGE(E145/E$89,I145/I$89)</f>
        <v>2.5661772772507911E-2</v>
      </c>
      <c r="C145">
        <f t="shared" ref="C145:C146" si="66">STDEV(E145/E$89,I145/I$89)/SQRT(D145)</f>
        <v>3.9137769551499356E-3</v>
      </c>
      <c r="D145">
        <f t="shared" si="57"/>
        <v>2</v>
      </c>
      <c r="E145">
        <v>7.3302999999999997E-3</v>
      </c>
      <c r="I145">
        <v>6.2395000000000003E-3</v>
      </c>
      <c r="M145" s="17">
        <v>5.5852000000000002E-3</v>
      </c>
    </row>
    <row r="146" spans="1:13">
      <c r="A146" t="s">
        <v>22</v>
      </c>
      <c r="B146">
        <f t="shared" si="65"/>
        <v>7.0471811851705079E-3</v>
      </c>
      <c r="C146">
        <f t="shared" si="66"/>
        <v>2.7862071113774357E-4</v>
      </c>
      <c r="D146">
        <f t="shared" si="57"/>
        <v>2</v>
      </c>
      <c r="E146">
        <v>1.8157E-3</v>
      </c>
      <c r="I146">
        <v>1.9419000000000001E-3</v>
      </c>
      <c r="M146" s="17">
        <v>8.5188999999999994E-3</v>
      </c>
    </row>
    <row r="147" spans="1:13">
      <c r="A147" t="s">
        <v>59</v>
      </c>
      <c r="B147" t="s">
        <v>30</v>
      </c>
      <c r="C147" t="s">
        <v>30</v>
      </c>
      <c r="D147">
        <f t="shared" si="57"/>
        <v>0</v>
      </c>
    </row>
    <row r="148" spans="1:13">
      <c r="A148" t="s">
        <v>58</v>
      </c>
      <c r="B148" t="s">
        <v>30</v>
      </c>
      <c r="C148" t="s">
        <v>30</v>
      </c>
      <c r="D148">
        <f t="shared" si="57"/>
        <v>0</v>
      </c>
    </row>
    <row r="149" spans="1:13">
      <c r="A149" t="s">
        <v>120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G148"/>
  <sheetViews>
    <sheetView topLeftCell="A61" workbookViewId="0">
      <selection activeCell="U3" sqref="U3"/>
    </sheetView>
  </sheetViews>
  <sheetFormatPr baseColWidth="10" defaultRowHeight="16"/>
  <cols>
    <col min="1" max="1" width="17.6640625" bestFit="1" customWidth="1"/>
    <col min="5" max="5" width="18.83203125" bestFit="1" customWidth="1"/>
    <col min="9" max="9" width="21.5" bestFit="1" customWidth="1"/>
    <col min="13" max="13" width="21.5" bestFit="1" customWidth="1"/>
    <col min="17" max="17" width="21.5" bestFit="1" customWidth="1"/>
    <col min="18" max="18" width="9.33203125" customWidth="1"/>
    <col min="19" max="21" width="21.5" bestFit="1" customWidth="1"/>
    <col min="22" max="22" width="15.6640625" customWidth="1"/>
    <col min="25" max="25" width="21.5" bestFit="1" customWidth="1"/>
    <col min="26" max="26" width="17" customWidth="1"/>
    <col min="27" max="27" width="10.83203125" customWidth="1"/>
    <col min="29" max="29" width="21.5" bestFit="1" customWidth="1"/>
    <col min="33" max="33" width="21.5" bestFit="1" customWidth="1"/>
  </cols>
  <sheetData>
    <row r="1" spans="1:29">
      <c r="A1" s="1" t="s">
        <v>32</v>
      </c>
      <c r="E1" s="74">
        <v>42977</v>
      </c>
      <c r="I1" s="74">
        <v>42977</v>
      </c>
      <c r="M1" s="74">
        <v>43645</v>
      </c>
      <c r="Q1" s="8"/>
      <c r="R1" s="8"/>
      <c r="S1" s="13"/>
      <c r="T1" s="13"/>
      <c r="U1" s="2"/>
      <c r="V1" s="2"/>
      <c r="W1" s="2"/>
      <c r="X1" s="2"/>
      <c r="Y1" s="13"/>
      <c r="AC1" s="13"/>
    </row>
    <row r="2" spans="1:29">
      <c r="A2" s="1" t="s">
        <v>33</v>
      </c>
      <c r="E2" s="75" t="s">
        <v>39</v>
      </c>
      <c r="I2" s="75" t="s">
        <v>39</v>
      </c>
      <c r="M2" s="75" t="s">
        <v>39</v>
      </c>
      <c r="Q2" s="9"/>
      <c r="R2" s="9"/>
      <c r="S2" s="14" t="s">
        <v>113</v>
      </c>
      <c r="T2" s="14" t="s">
        <v>113</v>
      </c>
      <c r="U2" s="2" t="s">
        <v>113</v>
      </c>
      <c r="V2" s="2" t="s">
        <v>113</v>
      </c>
      <c r="W2" s="2" t="s">
        <v>113</v>
      </c>
      <c r="X2" s="2" t="s">
        <v>113</v>
      </c>
      <c r="Y2" s="14" t="s">
        <v>218</v>
      </c>
      <c r="AC2" s="14" t="s">
        <v>218</v>
      </c>
    </row>
    <row r="3" spans="1:29">
      <c r="A3" s="1" t="s">
        <v>34</v>
      </c>
      <c r="E3" s="79" t="s">
        <v>40</v>
      </c>
      <c r="I3" s="79" t="s">
        <v>75</v>
      </c>
      <c r="M3" s="79" t="s">
        <v>40</v>
      </c>
      <c r="Q3" s="25"/>
      <c r="R3" s="25"/>
      <c r="S3" s="16" t="s">
        <v>40</v>
      </c>
      <c r="T3" s="16" t="s">
        <v>40</v>
      </c>
      <c r="U3" s="2"/>
      <c r="V3" s="2"/>
      <c r="W3" s="2"/>
      <c r="X3" s="2"/>
      <c r="Y3" s="16" t="s">
        <v>273</v>
      </c>
      <c r="AC3" s="16" t="s">
        <v>274</v>
      </c>
    </row>
    <row r="4" spans="1:29">
      <c r="A4" s="1" t="s">
        <v>35</v>
      </c>
      <c r="E4" s="75" t="s">
        <v>41</v>
      </c>
      <c r="I4" s="75" t="s">
        <v>41</v>
      </c>
      <c r="M4" s="75" t="s">
        <v>41</v>
      </c>
      <c r="Q4" s="9"/>
      <c r="R4" s="9"/>
      <c r="S4" s="14" t="s">
        <v>41</v>
      </c>
      <c r="T4" s="14" t="s">
        <v>41</v>
      </c>
      <c r="U4" s="14" t="s">
        <v>41</v>
      </c>
      <c r="V4" s="14" t="s">
        <v>41</v>
      </c>
      <c r="W4" s="14" t="s">
        <v>41</v>
      </c>
      <c r="X4" s="14" t="s">
        <v>41</v>
      </c>
      <c r="Y4" s="14" t="s">
        <v>41</v>
      </c>
      <c r="AC4" s="14" t="s">
        <v>41</v>
      </c>
    </row>
    <row r="5" spans="1:29">
      <c r="A5" s="1" t="s">
        <v>36</v>
      </c>
      <c r="E5" s="75" t="s">
        <v>107</v>
      </c>
      <c r="I5" s="75" t="s">
        <v>107</v>
      </c>
      <c r="M5" s="75" t="s">
        <v>107</v>
      </c>
      <c r="Q5" s="9"/>
      <c r="R5" s="9"/>
      <c r="S5" s="14" t="s">
        <v>107</v>
      </c>
      <c r="T5" s="14" t="s">
        <v>107</v>
      </c>
      <c r="U5" s="14" t="s">
        <v>107</v>
      </c>
      <c r="V5" s="14" t="s">
        <v>107</v>
      </c>
      <c r="W5" s="14" t="s">
        <v>107</v>
      </c>
      <c r="X5" s="14" t="s">
        <v>107</v>
      </c>
      <c r="Y5" s="14" t="s">
        <v>107</v>
      </c>
      <c r="AC5" s="14" t="s">
        <v>107</v>
      </c>
    </row>
    <row r="6" spans="1:29">
      <c r="A6" s="1" t="s">
        <v>37</v>
      </c>
      <c r="E6" s="44">
        <v>4</v>
      </c>
      <c r="I6" s="44">
        <v>4</v>
      </c>
      <c r="M6" s="45">
        <v>10</v>
      </c>
      <c r="Q6" s="17"/>
      <c r="R6" s="17"/>
      <c r="S6" s="34"/>
      <c r="T6" s="34"/>
      <c r="U6" s="2"/>
      <c r="V6" s="2"/>
      <c r="W6" s="2"/>
      <c r="X6" s="2"/>
      <c r="Y6" s="2"/>
      <c r="AC6" s="2"/>
    </row>
    <row r="7" spans="1:29">
      <c r="A7" s="1" t="s">
        <v>38</v>
      </c>
      <c r="E7" s="44">
        <v>0.4</v>
      </c>
      <c r="I7" s="44">
        <v>0.4</v>
      </c>
      <c r="M7" s="44">
        <v>0.4</v>
      </c>
      <c r="S7" s="2"/>
      <c r="T7" s="2"/>
      <c r="U7" s="2"/>
      <c r="V7" s="2"/>
      <c r="W7" s="2"/>
      <c r="X7" s="2"/>
      <c r="Y7" s="2"/>
      <c r="AC7" s="2"/>
    </row>
    <row r="8" spans="1:29">
      <c r="A8" s="1" t="s">
        <v>43</v>
      </c>
      <c r="E8">
        <f>E24</f>
        <v>6.0051E-2</v>
      </c>
      <c r="I8">
        <f>I24</f>
        <v>6.5976000000000007E-2</v>
      </c>
      <c r="M8">
        <f>M24</f>
        <v>5.6919999999999998E-2</v>
      </c>
      <c r="S8">
        <f>S24</f>
        <v>0.16088</v>
      </c>
      <c r="T8">
        <f>T24</f>
        <v>0.25413000000000002</v>
      </c>
    </row>
    <row r="9" spans="1:29">
      <c r="A9" s="1" t="s">
        <v>53</v>
      </c>
      <c r="E9">
        <f>E8</f>
        <v>6.0051E-2</v>
      </c>
      <c r="I9">
        <f>I8</f>
        <v>6.5976000000000007E-2</v>
      </c>
      <c r="M9">
        <f>M8</f>
        <v>5.6919999999999998E-2</v>
      </c>
      <c r="S9">
        <f>S8</f>
        <v>0.16088</v>
      </c>
      <c r="T9">
        <f>T8</f>
        <v>0.25413000000000002</v>
      </c>
      <c r="U9">
        <v>0.1603547743704436</v>
      </c>
      <c r="V9">
        <v>0.1657725174244746</v>
      </c>
      <c r="W9">
        <v>0.24892753117822669</v>
      </c>
      <c r="X9">
        <v>0.25509004293562521</v>
      </c>
      <c r="Y9">
        <f>7.08052814136861/100</f>
        <v>7.0805281413686097E-2</v>
      </c>
      <c r="AC9">
        <f>8.38898984228224/100</f>
        <v>8.3889898422822406E-2</v>
      </c>
    </row>
    <row r="10" spans="1:29">
      <c r="A10" s="1" t="s">
        <v>44</v>
      </c>
      <c r="B10" s="22">
        <f>AVERAGE(E10,I10,M10,Q10)</f>
        <v>23.847631063250656</v>
      </c>
      <c r="C10" s="22">
        <f>STDEV(E10,I10,M10,Q10)/SQRT(D10)</f>
        <v>1.1963881870532553</v>
      </c>
      <c r="D10">
        <f>COUNT(E10:AZ10)</f>
        <v>2</v>
      </c>
      <c r="E10" s="21">
        <f>E6*E7*(1-E8)/E8</f>
        <v>25.044019250303911</v>
      </c>
      <c r="I10" s="21">
        <f>I6*I7*(1-I8)/I8</f>
        <v>22.651242876197401</v>
      </c>
      <c r="M10" s="21"/>
      <c r="Q10" s="21"/>
      <c r="R10" s="21"/>
      <c r="S10" s="21"/>
      <c r="T10" s="21"/>
      <c r="U10" s="21"/>
      <c r="Y10" s="21"/>
      <c r="AC10" s="21"/>
    </row>
    <row r="11" spans="1:29">
      <c r="A11" s="1"/>
    </row>
    <row r="12" spans="1:29">
      <c r="A12" s="1" t="s">
        <v>33</v>
      </c>
      <c r="E12" t="s">
        <v>39</v>
      </c>
      <c r="I12" t="s">
        <v>39</v>
      </c>
      <c r="M12" t="s">
        <v>39</v>
      </c>
      <c r="S12" t="s">
        <v>140</v>
      </c>
      <c r="T12" t="s">
        <v>140</v>
      </c>
      <c r="Y12" t="s">
        <v>218</v>
      </c>
      <c r="AC12" t="s">
        <v>218</v>
      </c>
    </row>
    <row r="13" spans="1:29">
      <c r="A13" s="1" t="s">
        <v>45</v>
      </c>
      <c r="E13" t="s">
        <v>47</v>
      </c>
      <c r="I13" t="s">
        <v>47</v>
      </c>
      <c r="M13" t="s">
        <v>47</v>
      </c>
      <c r="S13" t="s">
        <v>106</v>
      </c>
      <c r="T13" t="s">
        <v>106</v>
      </c>
      <c r="Y13" t="s">
        <v>47</v>
      </c>
      <c r="AC13" t="s">
        <v>47</v>
      </c>
    </row>
    <row r="14" spans="1:29" ht="102">
      <c r="A14" s="12" t="s">
        <v>31</v>
      </c>
      <c r="E14" s="11" t="s">
        <v>108</v>
      </c>
      <c r="I14" s="11" t="s">
        <v>108</v>
      </c>
      <c r="M14" s="11" t="s">
        <v>131</v>
      </c>
      <c r="Q14" s="11"/>
      <c r="R14" s="11"/>
      <c r="S14" s="11" t="s">
        <v>289</v>
      </c>
      <c r="T14" s="11" t="s">
        <v>289</v>
      </c>
      <c r="U14" s="11"/>
      <c r="Y14" s="11" t="s">
        <v>269</v>
      </c>
      <c r="AC14" s="11" t="s">
        <v>269</v>
      </c>
    </row>
    <row r="16" spans="1:29">
      <c r="A16" s="1" t="s">
        <v>50</v>
      </c>
      <c r="M16" t="s">
        <v>141</v>
      </c>
    </row>
    <row r="17" spans="1:24">
      <c r="B17" s="1" t="s">
        <v>5</v>
      </c>
      <c r="C17" s="1" t="s">
        <v>6</v>
      </c>
      <c r="D17" s="1" t="s">
        <v>55</v>
      </c>
    </row>
    <row r="18" spans="1:24">
      <c r="A18" s="1" t="s">
        <v>0</v>
      </c>
    </row>
    <row r="19" spans="1:24">
      <c r="A19" t="s">
        <v>60</v>
      </c>
      <c r="B19" s="3">
        <f>AVERAGE(E19/E$9,I19/I$9,M19/M$9,S19/S$9,T19/T$9)</f>
        <v>3.4488788518427703E-2</v>
      </c>
      <c r="C19" s="3">
        <f>STDEV(E19/E$9,I19/I$9,M19/M$9,S19/S$9,T19/T$9)/SQRT(D19)</f>
        <v>7.9642209846792541E-3</v>
      </c>
      <c r="D19">
        <f>COUNT(E19:AZ19)</f>
        <v>5</v>
      </c>
      <c r="E19">
        <v>1.0319999999999999E-3</v>
      </c>
      <c r="I19">
        <v>8.654E-4</v>
      </c>
      <c r="M19">
        <v>2.8627000000000001E-3</v>
      </c>
      <c r="S19">
        <v>7.5071000000000001E-3</v>
      </c>
      <c r="T19">
        <v>1.1483E-2</v>
      </c>
    </row>
    <row r="20" spans="1:24">
      <c r="A20" t="s">
        <v>61</v>
      </c>
      <c r="B20" s="3">
        <f t="shared" ref="B20:B29" si="0">AVERAGE(E20/E$9,I20/I$9,M20/M$9,S20/S$9,T20/T$9)</f>
        <v>2.8673069106954087E-2</v>
      </c>
      <c r="C20" s="3">
        <f t="shared" ref="C20:C29" si="1">STDEV(E20/E$9,I20/I$9,M20/M$9,S20/S$9,T20/T$9)/SQRT(D20)</f>
        <v>4.6820574795154082E-3</v>
      </c>
      <c r="D20">
        <f>COUNT(E20:AZ20)</f>
        <v>5</v>
      </c>
      <c r="E20">
        <v>7.9056000000000005E-4</v>
      </c>
      <c r="I20">
        <v>1.6038999999999999E-3</v>
      </c>
      <c r="M20">
        <v>2.3265E-3</v>
      </c>
      <c r="S20">
        <v>5.3203E-3</v>
      </c>
      <c r="T20">
        <v>8.1186999999999995E-3</v>
      </c>
    </row>
    <row r="21" spans="1:24">
      <c r="A21" t="s">
        <v>62</v>
      </c>
      <c r="B21" s="3">
        <f t="shared" si="0"/>
        <v>6.21586726782027E-2</v>
      </c>
      <c r="C21" s="3">
        <f t="shared" si="1"/>
        <v>7.2655165795043834E-3</v>
      </c>
      <c r="D21">
        <f t="shared" ref="D21:D33" si="2">COUNT(E21:AZ21)</f>
        <v>5</v>
      </c>
      <c r="E21">
        <v>3.016E-3</v>
      </c>
      <c r="I21">
        <v>2.9692999999999998E-3</v>
      </c>
      <c r="M21">
        <v>4.9328999999999996E-3</v>
      </c>
      <c r="S21">
        <v>1.0045E-2</v>
      </c>
      <c r="T21">
        <v>1.6889999999999999E-2</v>
      </c>
    </row>
    <row r="22" spans="1:24">
      <c r="A22" t="s">
        <v>63</v>
      </c>
      <c r="B22" s="3">
        <f t="shared" si="0"/>
        <v>1.130207998339783E-2</v>
      </c>
      <c r="C22" s="3">
        <f t="shared" si="1"/>
        <v>4.6681153603991095E-3</v>
      </c>
      <c r="D22">
        <f t="shared" si="2"/>
        <v>5</v>
      </c>
      <c r="E22">
        <v>1.3744E-3</v>
      </c>
      <c r="I22">
        <v>1.2830000000000001E-3</v>
      </c>
      <c r="M22">
        <v>7.4511E-4</v>
      </c>
      <c r="S22" s="15">
        <v>1.4163000000000001E-6</v>
      </c>
      <c r="T22">
        <v>2.7380999999999998E-4</v>
      </c>
    </row>
    <row r="23" spans="1:24">
      <c r="A23" t="s">
        <v>64</v>
      </c>
      <c r="B23" s="3">
        <f t="shared" si="0"/>
        <v>0.16948041143632023</v>
      </c>
      <c r="C23" s="3">
        <f t="shared" si="1"/>
        <v>2.8635724812562241E-2</v>
      </c>
      <c r="D23">
        <f t="shared" si="2"/>
        <v>5</v>
      </c>
      <c r="E23">
        <v>6.7369999999999999E-3</v>
      </c>
      <c r="I23">
        <v>7.2925999999999998E-3</v>
      </c>
      <c r="M23">
        <v>9.0308000000000003E-3</v>
      </c>
      <c r="S23">
        <v>4.1824E-2</v>
      </c>
      <c r="T23">
        <v>5.2364000000000001E-2</v>
      </c>
    </row>
    <row r="24" spans="1:24">
      <c r="A24" t="s">
        <v>65</v>
      </c>
      <c r="B24" s="3">
        <f t="shared" si="0"/>
        <v>1</v>
      </c>
      <c r="C24" s="3">
        <f t="shared" si="1"/>
        <v>0</v>
      </c>
      <c r="D24">
        <f t="shared" si="2"/>
        <v>5</v>
      </c>
      <c r="E24">
        <v>6.0051E-2</v>
      </c>
      <c r="I24">
        <v>6.5976000000000007E-2</v>
      </c>
      <c r="M24">
        <v>5.6919999999999998E-2</v>
      </c>
      <c r="S24">
        <v>0.16088</v>
      </c>
      <c r="T24">
        <v>0.25413000000000002</v>
      </c>
    </row>
    <row r="25" spans="1:24">
      <c r="A25" t="s">
        <v>66</v>
      </c>
      <c r="B25" s="3">
        <f t="shared" si="0"/>
        <v>2.6361854400502515E-3</v>
      </c>
      <c r="C25" s="3">
        <f t="shared" si="1"/>
        <v>1.8971580364583844E-3</v>
      </c>
      <c r="D25">
        <f t="shared" si="2"/>
        <v>5</v>
      </c>
      <c r="E25">
        <v>6.0948999999999997E-4</v>
      </c>
      <c r="I25">
        <v>0</v>
      </c>
      <c r="M25" s="15">
        <v>3.6962999999999998E-5</v>
      </c>
      <c r="S25">
        <v>2.6874000000000001E-4</v>
      </c>
      <c r="T25">
        <v>1.8082999999999999E-4</v>
      </c>
    </row>
    <row r="26" spans="1:24">
      <c r="A26" t="s">
        <v>67</v>
      </c>
      <c r="B26" s="3">
        <f t="shared" si="0"/>
        <v>1.6269625782080037E-4</v>
      </c>
      <c r="C26" s="3">
        <f t="shared" si="1"/>
        <v>1.6269625782080037E-4</v>
      </c>
      <c r="D26">
        <f t="shared" si="2"/>
        <v>5</v>
      </c>
      <c r="E26">
        <v>0</v>
      </c>
      <c r="I26">
        <v>0</v>
      </c>
      <c r="M26">
        <v>0</v>
      </c>
      <c r="S26">
        <v>0</v>
      </c>
      <c r="T26">
        <v>2.0672999999999999E-4</v>
      </c>
    </row>
    <row r="27" spans="1:24">
      <c r="A27" t="s">
        <v>71</v>
      </c>
      <c r="B27" s="3">
        <f t="shared" si="0"/>
        <v>0</v>
      </c>
      <c r="C27" s="3">
        <f t="shared" si="1"/>
        <v>0</v>
      </c>
      <c r="D27">
        <f t="shared" si="2"/>
        <v>5</v>
      </c>
      <c r="E27">
        <v>0</v>
      </c>
      <c r="I27">
        <v>0</v>
      </c>
      <c r="M27">
        <v>0</v>
      </c>
      <c r="S27">
        <v>0</v>
      </c>
      <c r="T27">
        <v>0</v>
      </c>
    </row>
    <row r="28" spans="1:24">
      <c r="A28" t="s">
        <v>72</v>
      </c>
      <c r="B28" s="3">
        <f t="shared" si="0"/>
        <v>1.469685946404753E-3</v>
      </c>
      <c r="C28" s="3">
        <f t="shared" si="1"/>
        <v>1.469685946404753E-3</v>
      </c>
      <c r="D28">
        <f t="shared" si="2"/>
        <v>5</v>
      </c>
      <c r="E28">
        <v>0</v>
      </c>
      <c r="I28">
        <v>4.8482000000000001E-4</v>
      </c>
      <c r="M28">
        <v>0</v>
      </c>
      <c r="S28">
        <v>0</v>
      </c>
      <c r="T28">
        <v>0</v>
      </c>
    </row>
    <row r="29" spans="1:24">
      <c r="A29" t="s">
        <v>69</v>
      </c>
      <c r="B29" s="3">
        <f t="shared" si="0"/>
        <v>4.6823481539372012E-2</v>
      </c>
      <c r="C29" s="3">
        <f t="shared" si="1"/>
        <v>1.1529898557459161E-2</v>
      </c>
      <c r="D29">
        <f t="shared" si="2"/>
        <v>5</v>
      </c>
      <c r="E29">
        <v>9.8740000000000004E-4</v>
      </c>
      <c r="I29">
        <v>1.8642000000000001E-3</v>
      </c>
      <c r="M29">
        <v>4.6405999999999999E-3</v>
      </c>
      <c r="S29">
        <v>9.7283999999999999E-3</v>
      </c>
      <c r="T29">
        <v>1.2050999999999999E-2</v>
      </c>
    </row>
    <row r="30" spans="1:24">
      <c r="A30" t="s">
        <v>68</v>
      </c>
      <c r="B30" s="3">
        <f>AVERAGE(U30/U$9,V30/V$9,W30/W$9,X30/X$9)</f>
        <v>7.9309273272577571E-2</v>
      </c>
      <c r="C30" s="3">
        <f>STDEV(U30/U$9,V30/V$9,W30/W$9,X30/X$9)/SQRT(D30)</f>
        <v>9.9164978390431317E-3</v>
      </c>
      <c r="D30">
        <f t="shared" si="2"/>
        <v>4</v>
      </c>
      <c r="U30">
        <v>1.708077963644012E-2</v>
      </c>
      <c r="V30">
        <v>1.3494871790669039E-2</v>
      </c>
      <c r="W30">
        <v>1.6521213195346648E-2</v>
      </c>
      <c r="X30">
        <v>1.6056100249238519E-2</v>
      </c>
    </row>
    <row r="31" spans="1:24" s="54" customFormat="1">
      <c r="A31" s="54" t="s">
        <v>70</v>
      </c>
      <c r="B31" s="55">
        <f>AVERAGE(S31/S9,T31/T9)</f>
        <v>3.462597882973281E-4</v>
      </c>
      <c r="C31" s="55">
        <f>STDEV(S31/S9,T31/T9)/SQRT(D31)</f>
        <v>3.462597882973281E-4</v>
      </c>
      <c r="D31" s="54">
        <f t="shared" si="2"/>
        <v>2</v>
      </c>
      <c r="S31" s="54">
        <v>0</v>
      </c>
      <c r="T31" s="54">
        <v>1.7599E-4</v>
      </c>
    </row>
    <row r="32" spans="1:24">
      <c r="A32" t="s">
        <v>23</v>
      </c>
      <c r="B32" s="3">
        <f t="shared" ref="B32:B33" si="3">AVERAGE(E32/E$9,I32/I$9,M32/M$9,S32/S$9,T32/T$9)</f>
        <v>0</v>
      </c>
      <c r="C32" s="3">
        <f t="shared" ref="C32:C33" si="4">STDEV(E32/E$9,I32/I$9,M32/M$9,S32/S$9,T32/T$9)/SQRT(D32)</f>
        <v>0</v>
      </c>
      <c r="D32">
        <f t="shared" si="2"/>
        <v>5</v>
      </c>
      <c r="E32">
        <v>0</v>
      </c>
      <c r="I32">
        <v>0</v>
      </c>
      <c r="M32">
        <v>0</v>
      </c>
      <c r="S32">
        <v>0</v>
      </c>
      <c r="T32">
        <v>0</v>
      </c>
    </row>
    <row r="33" spans="1:29">
      <c r="A33" t="s">
        <v>24</v>
      </c>
      <c r="B33" s="3">
        <f t="shared" si="3"/>
        <v>0</v>
      </c>
      <c r="C33" s="3">
        <f t="shared" si="4"/>
        <v>0</v>
      </c>
      <c r="D33">
        <f t="shared" si="2"/>
        <v>5</v>
      </c>
      <c r="E33">
        <v>0</v>
      </c>
      <c r="I33">
        <v>0</v>
      </c>
      <c r="M33">
        <v>0</v>
      </c>
      <c r="S33">
        <v>0</v>
      </c>
      <c r="T33">
        <v>0</v>
      </c>
    </row>
    <row r="36" spans="1:29">
      <c r="A36" s="1" t="s">
        <v>16</v>
      </c>
    </row>
    <row r="37" spans="1:29">
      <c r="A37" t="s">
        <v>7</v>
      </c>
      <c r="B37" s="3">
        <f>AVERAGE(E37/E$9,I37/I$9,M37/M$9,S37/S$9,T37/T$9,Y37/Y$9,AC37/AC$9)</f>
        <v>2.7903712915805456E-2</v>
      </c>
      <c r="C37" s="3">
        <f>STDEV(E37/E$9,I37/I$9,M37/M$9,S37/S$9,T37/T$9,Y37/Y$9,AC37/AC$9)/SQRT(D37)</f>
        <v>6.6701329712633584E-3</v>
      </c>
      <c r="D37">
        <f>COUNT(E37:AZ37)</f>
        <v>7</v>
      </c>
      <c r="E37">
        <v>1.356E-3</v>
      </c>
      <c r="I37">
        <v>1.8488999999999999E-3</v>
      </c>
      <c r="M37">
        <v>2.1778000000000001E-3</v>
      </c>
      <c r="S37">
        <v>8.3908000000000003E-3</v>
      </c>
      <c r="T37">
        <v>1.0426E-2</v>
      </c>
      <c r="Y37">
        <v>8.8385000000000004E-4</v>
      </c>
      <c r="AC37" s="15">
        <v>6.6769999999999999E-5</v>
      </c>
    </row>
    <row r="38" spans="1:29">
      <c r="A38" t="s">
        <v>8</v>
      </c>
      <c r="B38" s="3">
        <f>AVERAGE(E38/E$9,I38/I$9,M38/M$9,S38/S$9,T38/T$9,Y38/Y$9,AC38/AC$9)</f>
        <v>8.2958898250235794E-2</v>
      </c>
      <c r="C38" s="3">
        <f>STDEV(E38/E$9,I38/I$9,M38/M$9,S38/S$9,T38/T$9,Y38/Y$9,AC38/AC$9)/SQRT(D38)</f>
        <v>6.6700395298253407E-3</v>
      </c>
      <c r="D38">
        <f>COUNT(E38:AZ38)</f>
        <v>7</v>
      </c>
      <c r="E38">
        <v>5.0569999999999999E-3</v>
      </c>
      <c r="I38">
        <v>4.4879999999999998E-3</v>
      </c>
      <c r="M38">
        <v>6.3705999999999997E-3</v>
      </c>
      <c r="S38">
        <v>1.6118E-2</v>
      </c>
      <c r="T38">
        <v>1.6846E-2</v>
      </c>
      <c r="Y38">
        <v>4.8002000000000001E-3</v>
      </c>
      <c r="AC38">
        <v>6.9027999999999997E-3</v>
      </c>
    </row>
    <row r="39" spans="1:29">
      <c r="A39" t="s">
        <v>9</v>
      </c>
      <c r="B39" s="3">
        <f>AVERAGE(E39/E$9,I39/I$9,M39/M$9,S39/S$9,T39/T$9,Y39/Y$9,AC39/AC$9)</f>
        <v>8.9435212285775653E-2</v>
      </c>
      <c r="C39" s="3">
        <f>STDEV(E39/E$9,I39/I$9,M39/M$9,S39/S$9,T39/T$9,Y39/Y$9,AC39/AC$9)/SQRT(D39)</f>
        <v>1.2731395464900042E-2</v>
      </c>
      <c r="D39">
        <f t="shared" ref="D39:D42" si="5">COUNT(E39:AZ39)</f>
        <v>7</v>
      </c>
      <c r="E39">
        <v>5.0339E-3</v>
      </c>
      <c r="I39">
        <v>4.3568000000000001E-3</v>
      </c>
      <c r="M39">
        <v>6.9227000000000004E-3</v>
      </c>
      <c r="S39">
        <v>2.0485E-2</v>
      </c>
      <c r="T39">
        <v>3.0429999999999999E-2</v>
      </c>
      <c r="Y39">
        <v>4.6588000000000003E-3</v>
      </c>
      <c r="AC39">
        <v>3.4975000000000002E-3</v>
      </c>
    </row>
    <row r="40" spans="1:29">
      <c r="A40" t="s">
        <v>10</v>
      </c>
      <c r="B40" s="3">
        <f>AVERAGE(E40/E$9,I40/I$9,M40/M$9,S40/S$9,T40/T$9,Y40/Y$9,AC40/AC$9)</f>
        <v>5.5267836486573255E-2</v>
      </c>
      <c r="C40" s="3">
        <f>STDEV(E40/E$9,I40/I$9,M40/M$9,S40/S$9,T40/T$9,Y40/Y$9,AC40/AC$9)/SQRT(D40)</f>
        <v>8.3621515528883236E-3</v>
      </c>
      <c r="D40">
        <f t="shared" si="5"/>
        <v>7</v>
      </c>
      <c r="E40">
        <v>2.5736000000000001E-3</v>
      </c>
      <c r="I40">
        <v>2.7166999999999998E-3</v>
      </c>
      <c r="M40">
        <v>3.9773999999999999E-3</v>
      </c>
      <c r="S40">
        <v>1.3051E-2</v>
      </c>
      <c r="T40">
        <v>2.0955999999999999E-2</v>
      </c>
      <c r="Y40">
        <v>2.9954000000000001E-3</v>
      </c>
      <c r="AC40">
        <v>2.2713E-3</v>
      </c>
    </row>
    <row r="41" spans="1:29">
      <c r="A41" t="s">
        <v>11</v>
      </c>
      <c r="B41" s="3">
        <f>AVERAGE(E41/E$9,I41/I$9,M41/M$9,S41/S$9,T41/T$9,Y41/Y$9,AC41/AC$9)</f>
        <v>0.11292042529379358</v>
      </c>
      <c r="C41" s="3">
        <f>STDEV(E41/E$9,I41/I$9,M41/M$9,S41/S$9,T41/T$9,Y41/Y$9,AC41/AC$9)/SQRT(D41)</f>
        <v>1.0520007548053868E-2</v>
      </c>
      <c r="D41">
        <f t="shared" si="5"/>
        <v>7</v>
      </c>
      <c r="E41">
        <v>6.5532999999999998E-3</v>
      </c>
      <c r="I41">
        <v>6.0064999999999997E-3</v>
      </c>
      <c r="M41">
        <v>7.4155000000000002E-3</v>
      </c>
      <c r="S41">
        <v>2.5054E-2</v>
      </c>
      <c r="T41">
        <v>3.2238000000000003E-2</v>
      </c>
      <c r="Y41">
        <v>7.5608999999999997E-3</v>
      </c>
      <c r="AC41">
        <v>5.9245000000000001E-3</v>
      </c>
    </row>
    <row r="42" spans="1:29">
      <c r="A42" t="s">
        <v>49</v>
      </c>
      <c r="B42" t="s">
        <v>30</v>
      </c>
      <c r="C42" t="s">
        <v>30</v>
      </c>
      <c r="D42">
        <f t="shared" si="5"/>
        <v>0</v>
      </c>
    </row>
    <row r="43" spans="1:29">
      <c r="A43" t="s">
        <v>12</v>
      </c>
      <c r="B43" s="3">
        <f>AVERAGE(E43/E$9,I43/I$9,M43/M$9,S43/S$9,T43/T$9,Y43/Y$9,AC43/AC$9)</f>
        <v>6.2254174209632258E-2</v>
      </c>
      <c r="C43" s="3">
        <f>STDEV(E43/E$9,I43/I$9,M43/M$9,S43/S$9,T43/T$9,Y43/Y$9,AC43/AC$9)/SQRT(D43)</f>
        <v>6.7996396666106353E-3</v>
      </c>
      <c r="D43">
        <f>COUNT(E43:AZ43)</f>
        <v>7</v>
      </c>
      <c r="E43">
        <v>4.1029999999999999E-3</v>
      </c>
      <c r="I43">
        <v>4.2954000000000004E-3</v>
      </c>
      <c r="M43">
        <v>4.1825999999999999E-3</v>
      </c>
      <c r="S43">
        <v>1.3464E-2</v>
      </c>
      <c r="T43">
        <v>1.6039000000000001E-2</v>
      </c>
      <c r="Y43">
        <v>3.9188000000000001E-3</v>
      </c>
      <c r="AC43">
        <v>2.2412999999999999E-3</v>
      </c>
    </row>
    <row r="44" spans="1:29">
      <c r="A44" t="s">
        <v>13</v>
      </c>
      <c r="B44" s="3">
        <f>AVERAGE(E44/E$9,I44/I$9,M44/M$9,S44/S$9,T44/T$9,Y44/Y$9,AC44/AC$9)</f>
        <v>0.11599291360925466</v>
      </c>
      <c r="C44" s="3">
        <f>STDEV(E44/E$9,I44/I$9,M44/M$9,S44/S$9,T44/T$9,Y44/Y$9,AC44/AC$9)/SQRT(D44)</f>
        <v>1.4678033531923113E-2</v>
      </c>
      <c r="D44">
        <f>COUNT(E44:AZ44)</f>
        <v>7</v>
      </c>
      <c r="E44">
        <v>6.1244999999999997E-3</v>
      </c>
      <c r="I44">
        <v>6.5034000000000003E-3</v>
      </c>
      <c r="M44">
        <v>9.2069999999999999E-3</v>
      </c>
      <c r="S44">
        <v>2.6522E-2</v>
      </c>
      <c r="T44">
        <v>3.4110000000000001E-2</v>
      </c>
      <c r="Y44">
        <v>4.3042000000000002E-3</v>
      </c>
      <c r="AC44">
        <v>7.5307000000000004E-3</v>
      </c>
    </row>
    <row r="45" spans="1:29">
      <c r="A45" t="s">
        <v>14</v>
      </c>
      <c r="B45" s="3">
        <f>AVERAGE(E45/E$9,I45/I$9,M45/M$9,S45/S$9,T45/T$9,Y45/Y$9,AC45/AC$9)</f>
        <v>0.15857087885590274</v>
      </c>
      <c r="C45" s="3">
        <f>STDEV(E45/E$9,I45/I$9,M45/M$9,S45/S$9,T45/T$9,Y45/Y$9,AC45/AC$9)/SQRT(D45)</f>
        <v>1.5951863686353339E-2</v>
      </c>
      <c r="D45">
        <f t="shared" ref="D45:D47" si="6">COUNT(E45:AZ45)</f>
        <v>7</v>
      </c>
      <c r="E45">
        <v>9.2825000000000008E-3</v>
      </c>
      <c r="I45">
        <v>7.7575999999999999E-3</v>
      </c>
      <c r="M45">
        <v>1.21E-2</v>
      </c>
      <c r="S45">
        <v>2.8195000000000001E-2</v>
      </c>
      <c r="T45">
        <v>5.2386000000000002E-2</v>
      </c>
      <c r="Y45">
        <v>1.0092E-2</v>
      </c>
      <c r="AC45">
        <v>8.5007999999999993E-3</v>
      </c>
    </row>
    <row r="46" spans="1:29">
      <c r="A46" t="s">
        <v>56</v>
      </c>
      <c r="B46" s="3">
        <f>AVERAGE(E46/E$9,I46/I$9,M46/M$9,S46/S$9,Y46/Y$9,AC46/AC$9)</f>
        <v>3.8554865012641389E-2</v>
      </c>
      <c r="C46" s="3">
        <f>STDEV(E46/E$9,I46/I$9,M46/M$9,S46/S$9,Y46/Y$9,AC46/AC$9)/SQRT(D46)</f>
        <v>8.3418703483277585E-3</v>
      </c>
      <c r="D46">
        <f t="shared" si="6"/>
        <v>6</v>
      </c>
      <c r="E46">
        <v>1.4131E-3</v>
      </c>
      <c r="I46">
        <v>2.4891000000000002E-3</v>
      </c>
      <c r="M46">
        <v>4.3914000000000002E-3</v>
      </c>
      <c r="S46">
        <v>3.1941999999999999E-3</v>
      </c>
      <c r="Y46">
        <v>2.4012E-3</v>
      </c>
      <c r="AC46">
        <v>3.2845000000000001E-3</v>
      </c>
    </row>
    <row r="47" spans="1:29">
      <c r="A47" t="s">
        <v>57</v>
      </c>
      <c r="B47" s="3">
        <f>AVERAGE(Y47/Y$9,AC47/AC$9)</f>
        <v>2.800403673362634E-2</v>
      </c>
      <c r="C47" s="3">
        <f>STDEV(Y47/Y$9,AC47/AC$9)/SQRT(D47)</f>
        <v>2.1773276693253137E-3</v>
      </c>
      <c r="D47">
        <f t="shared" si="6"/>
        <v>2</v>
      </c>
      <c r="Y47">
        <v>2.137E-3</v>
      </c>
      <c r="AC47">
        <v>2.1665999999999999E-3</v>
      </c>
    </row>
    <row r="48" spans="1:29">
      <c r="A48" t="s">
        <v>15</v>
      </c>
      <c r="B48" s="3">
        <f>AVERAGE(E48/E$9,I48/I$9,M48/M$9,S48/S$9,T48/T$9,Y48/Y$9,AC48/AC$9)</f>
        <v>8.9379683159317463E-2</v>
      </c>
      <c r="C48" s="3">
        <f>STDEV(E48/E$9,I48/I$9,M48/M$9,S48/S$9,T48/T$9,Y48/Y$9,AC48/AC$9)/SQRT(D48)</f>
        <v>1.4454396711500173E-2</v>
      </c>
      <c r="D48">
        <f t="shared" ref="D48:D51" si="7">COUNT(E48:AZ48)</f>
        <v>7</v>
      </c>
      <c r="E48">
        <v>4.0873999999999997E-3</v>
      </c>
      <c r="I48">
        <v>4.6965000000000002E-3</v>
      </c>
      <c r="M48">
        <v>5.9849999999999999E-3</v>
      </c>
      <c r="S48">
        <v>2.2884000000000002E-2</v>
      </c>
      <c r="T48">
        <v>3.0658000000000001E-2</v>
      </c>
      <c r="Y48">
        <v>6.5104999999999998E-3</v>
      </c>
      <c r="AC48">
        <v>2.2171000000000001E-3</v>
      </c>
    </row>
    <row r="49" spans="1:29">
      <c r="A49" t="s">
        <v>22</v>
      </c>
      <c r="B49" s="3">
        <f>AVERAGE(M49/M$9,S49/S$9,T49/T$9,Y49/Y$9,AC49/AC$9)</f>
        <v>9.6615321186758377E-2</v>
      </c>
      <c r="C49" s="3">
        <f>STDEV(M49/M$9,S49/S$9,T49/T$9,Y49/Y$9,AC49/AC$9)/SQRT(D49)</f>
        <v>1.9113019804079815E-2</v>
      </c>
      <c r="D49">
        <f t="shared" si="7"/>
        <v>5</v>
      </c>
      <c r="M49">
        <v>7.1300000000000001E-3</v>
      </c>
      <c r="S49">
        <v>1.5678000000000001E-2</v>
      </c>
      <c r="T49">
        <v>3.7685999999999997E-2</v>
      </c>
      <c r="Y49">
        <v>5.1095000000000003E-3</v>
      </c>
      <c r="AC49">
        <v>3.3476000000000001E-3</v>
      </c>
    </row>
    <row r="50" spans="1:29">
      <c r="A50" t="s">
        <v>59</v>
      </c>
      <c r="B50" t="s">
        <v>30</v>
      </c>
      <c r="C50" t="s">
        <v>30</v>
      </c>
      <c r="D50">
        <f t="shared" si="7"/>
        <v>0</v>
      </c>
    </row>
    <row r="51" spans="1:29">
      <c r="A51" t="s">
        <v>58</v>
      </c>
      <c r="B51" t="s">
        <v>30</v>
      </c>
      <c r="C51" t="s">
        <v>30</v>
      </c>
      <c r="D51">
        <f t="shared" si="7"/>
        <v>0</v>
      </c>
    </row>
    <row r="53" spans="1:29">
      <c r="A53" s="1" t="s">
        <v>17</v>
      </c>
    </row>
    <row r="54" spans="1:29">
      <c r="A54" t="s">
        <v>7</v>
      </c>
      <c r="B54" s="3">
        <f>AVERAGE(E54/E$9,I54/I$9,M54/M$9,S54/S$9,T54/T$9,Y54/Y$9,AC54/AC$9)</f>
        <v>2.8099848123238898E-2</v>
      </c>
      <c r="C54" s="3">
        <f>STDEV(E54/E$9,I54/I$9,M54/M$9,S54/S$9,T54/T$9,Y54/Y$9,AC54/AC$9)/SQRT(D54)</f>
        <v>7.3255184788274365E-3</v>
      </c>
      <c r="D54">
        <f>COUNT(E54:AZ54)</f>
        <v>7</v>
      </c>
      <c r="E54">
        <v>1.5196999999999999E-3</v>
      </c>
      <c r="I54">
        <v>9.8817000000000002E-4</v>
      </c>
      <c r="M54">
        <v>2.7157000000000001E-3</v>
      </c>
      <c r="S54">
        <v>8.4671999999999994E-3</v>
      </c>
      <c r="T54">
        <v>1.0640999999999999E-2</v>
      </c>
      <c r="Y54">
        <v>7.0229000000000005E-4</v>
      </c>
      <c r="AC54">
        <v>3.5922999999999999E-4</v>
      </c>
    </row>
    <row r="55" spans="1:29">
      <c r="A55" t="s">
        <v>8</v>
      </c>
      <c r="B55" s="3">
        <f>AVERAGE(E55/E$9,I55/I$9,M55/M$9,S55/S$9,T55/T$9,Y55/Y$9,AC55/AC$9)</f>
        <v>8.634846166111719E-2</v>
      </c>
      <c r="C55" s="3">
        <f>STDEV(E55/E$9,I55/I$9,M55/M$9,S55/S$9,T55/T$9,Y55/Y$9,AC55/AC$9)/SQRT(D55)</f>
        <v>7.7076899986884334E-3</v>
      </c>
      <c r="D55">
        <f>COUNT(E55:AZ55)</f>
        <v>7</v>
      </c>
      <c r="E55">
        <v>3.8514999999999999E-3</v>
      </c>
      <c r="I55">
        <v>4.5947999999999996E-3</v>
      </c>
      <c r="M55">
        <v>4.9443000000000004E-3</v>
      </c>
      <c r="S55">
        <v>2.0448000000000001E-2</v>
      </c>
      <c r="T55">
        <v>2.2241E-2</v>
      </c>
      <c r="Y55">
        <v>5.6207999999999996E-3</v>
      </c>
      <c r="AC55">
        <v>7.5326000000000004E-3</v>
      </c>
    </row>
    <row r="56" spans="1:29">
      <c r="A56" t="s">
        <v>9</v>
      </c>
      <c r="B56" s="3">
        <f>AVERAGE(E56/E$9,I56/I$9,M56/M$9,S56/S$9,T56/T$9,Y56/Y$9,AC56/AC$9)</f>
        <v>9.4538685868331238E-2</v>
      </c>
      <c r="C56" s="3">
        <f>STDEV(E56/E$9,I56/I$9,M56/M$9,S56/S$9,T56/T$9,Y56/Y$9,AC56/AC$9)/SQRT(D56)</f>
        <v>1.4933863131358804E-2</v>
      </c>
      <c r="D56">
        <f t="shared" ref="D56:D59" si="8">COUNT(E56:AZ56)</f>
        <v>7</v>
      </c>
      <c r="E56">
        <v>5.6023999999999996E-3</v>
      </c>
      <c r="I56">
        <v>4.7862E-3</v>
      </c>
      <c r="M56">
        <v>7.1625999999999999E-3</v>
      </c>
      <c r="S56">
        <v>2.2988999999999999E-2</v>
      </c>
      <c r="T56">
        <v>3.2927999999999999E-2</v>
      </c>
      <c r="Y56">
        <v>4.0796000000000001E-3</v>
      </c>
      <c r="AC56">
        <v>3.3565999999999999E-3</v>
      </c>
    </row>
    <row r="57" spans="1:29">
      <c r="A57" t="s">
        <v>10</v>
      </c>
      <c r="B57" s="3">
        <f>AVERAGE(E57/E$9,I57/I$9,M57/M$9,S57/S$9,T57/T$9,Y57/Y$9,AC57/AC$9)</f>
        <v>6.2126560133714155E-2</v>
      </c>
      <c r="C57" s="3">
        <f>STDEV(E57/E$9,I57/I$9,M57/M$9,S57/S$9,T57/T$9,Y57/Y$9,AC57/AC$9)/SQRT(D57)</f>
        <v>1.0292511749882837E-2</v>
      </c>
      <c r="D57">
        <f t="shared" si="8"/>
        <v>7</v>
      </c>
      <c r="E57">
        <v>3.5393999999999998E-3</v>
      </c>
      <c r="I57">
        <v>3.4328000000000002E-3</v>
      </c>
      <c r="M57">
        <v>4.4862000000000001E-3</v>
      </c>
      <c r="S57">
        <v>1.5056999999999999E-2</v>
      </c>
      <c r="T57">
        <v>2.3467999999999999E-2</v>
      </c>
      <c r="Y57">
        <v>1.7902E-3</v>
      </c>
      <c r="AC57">
        <v>2.8419999999999999E-3</v>
      </c>
    </row>
    <row r="58" spans="1:29">
      <c r="A58" t="s">
        <v>11</v>
      </c>
      <c r="B58" s="3">
        <f>AVERAGE(E58/E$9,I58/I$9,M58/M$9,S58/S$9,T58/T$9,Y58/Y$9,AC58/AC$9)</f>
        <v>0.11379975442170252</v>
      </c>
      <c r="C58" s="3">
        <f>STDEV(E58/E$9,I58/I$9,M58/M$9,S58/S$9,T58/T$9,Y58/Y$9,AC58/AC$9)/SQRT(D58)</f>
        <v>1.3383117037906322E-2</v>
      </c>
      <c r="D58">
        <f t="shared" si="8"/>
        <v>7</v>
      </c>
      <c r="E58">
        <v>6.1571999999999998E-3</v>
      </c>
      <c r="I58">
        <v>5.4267999999999999E-3</v>
      </c>
      <c r="M58">
        <v>7.8116000000000001E-3</v>
      </c>
      <c r="S58">
        <v>2.7033999999999999E-2</v>
      </c>
      <c r="T58">
        <v>3.4645000000000002E-2</v>
      </c>
      <c r="Y58">
        <v>7.4013000000000004E-3</v>
      </c>
      <c r="AC58">
        <v>5.5095999999999999E-3</v>
      </c>
    </row>
    <row r="59" spans="1:29">
      <c r="A59" t="s">
        <v>49</v>
      </c>
      <c r="B59" t="s">
        <v>30</v>
      </c>
      <c r="C59" t="s">
        <v>30</v>
      </c>
      <c r="D59">
        <f t="shared" si="8"/>
        <v>0</v>
      </c>
    </row>
    <row r="60" spans="1:29">
      <c r="A60" t="s">
        <v>12</v>
      </c>
      <c r="B60" s="3">
        <f>AVERAGE(E60/E$9,I60/I$9,M60/M$9,S60/S$9,T60/T$9,Y60/Y$9,AC60/AC$9)</f>
        <v>6.728497322517471E-2</v>
      </c>
      <c r="C60" s="3">
        <f>STDEV(E60/E$9,I60/I$9,M60/M$9,S60/S$9,T60/T$9,Y60/Y$9,AC60/AC$9)/SQRT(D60)</f>
        <v>1.0251121974853826E-2</v>
      </c>
      <c r="D60">
        <f>COUNT(E60:AZ60)</f>
        <v>7</v>
      </c>
      <c r="E60">
        <v>4.4410999999999999E-3</v>
      </c>
      <c r="I60">
        <v>4.1581999999999999E-3</v>
      </c>
      <c r="M60">
        <v>5.6369999999999996E-3</v>
      </c>
      <c r="S60">
        <v>1.5720999999999999E-2</v>
      </c>
      <c r="T60">
        <v>1.7245E-2</v>
      </c>
      <c r="Y60">
        <v>3.3140000000000001E-3</v>
      </c>
      <c r="AC60">
        <v>1.8956999999999999E-3</v>
      </c>
    </row>
    <row r="61" spans="1:29">
      <c r="A61" t="s">
        <v>13</v>
      </c>
      <c r="B61" s="3">
        <f>AVERAGE(E61/E$9,I61/I$9,M61/M$9,S61/S$9,T61/T$9,Y61/Y$9,AC61/AC$9)</f>
        <v>0.13531369762591061</v>
      </c>
      <c r="C61" s="3">
        <f>STDEV(E61/E$9,I61/I$9,M61/M$9,S61/S$9,T61/T$9,Y61/Y$9,AC61/AC$9)/SQRT(D61)</f>
        <v>1.3473734922194299E-2</v>
      </c>
      <c r="D61">
        <f>COUNT(E61:AZ61)</f>
        <v>7</v>
      </c>
      <c r="E61">
        <v>7.0099999999999997E-3</v>
      </c>
      <c r="I61">
        <v>5.7492999999999997E-3</v>
      </c>
      <c r="M61">
        <v>1.0694E-2</v>
      </c>
      <c r="S61">
        <v>2.5985000000000001E-2</v>
      </c>
      <c r="T61">
        <v>4.0420999999999999E-2</v>
      </c>
      <c r="Y61">
        <v>9.1912000000000001E-3</v>
      </c>
      <c r="AC61">
        <v>8.8132999999999996E-3</v>
      </c>
    </row>
    <row r="62" spans="1:29">
      <c r="A62" t="s">
        <v>14</v>
      </c>
      <c r="B62" s="3">
        <f>AVERAGE(E62/E$9,I62/I$9,M62/M$9,S62/S$9,T62/T$9,Y62/Y$9,AC62/AC$9)</f>
        <v>0.17317477123862915</v>
      </c>
      <c r="C62" s="3">
        <f>STDEV(E62/E$9,I62/I$9,M62/M$9,S62/S$9,T62/T$9,Y62/Y$9,AC62/AC$9)/SQRT(D62)</f>
        <v>1.81202350648264E-2</v>
      </c>
      <c r="D62">
        <f t="shared" ref="D62:D68" si="9">COUNT(E62:AZ62)</f>
        <v>7</v>
      </c>
      <c r="E62">
        <v>9.3317000000000001E-3</v>
      </c>
      <c r="I62">
        <v>8.7437999999999995E-3</v>
      </c>
      <c r="M62" s="15">
        <v>1.35E-2</v>
      </c>
      <c r="S62">
        <v>3.2708000000000001E-2</v>
      </c>
      <c r="T62">
        <v>5.6316999999999999E-2</v>
      </c>
      <c r="Y62">
        <v>1.0812E-2</v>
      </c>
      <c r="AC62">
        <v>9.1865999999999996E-3</v>
      </c>
    </row>
    <row r="63" spans="1:29">
      <c r="A63" t="s">
        <v>56</v>
      </c>
      <c r="B63" s="3">
        <f>AVERAGE(E63/E$9,I63/I$9,M63/M$9,S63/S$9,Y63/Y$9,AC63/AC$9)</f>
        <v>3.6143767007609913E-2</v>
      </c>
      <c r="C63" s="3">
        <f>STDEV(E63/E$9,I63/I$9,M63/M$9,S63/S$9,Y63/Y$9,AC63/AC$9)/SQRT(D63)</f>
        <v>1.4674663233732409E-2</v>
      </c>
      <c r="D63">
        <f t="shared" si="9"/>
        <v>6</v>
      </c>
      <c r="E63">
        <v>2.3293000000000001E-4</v>
      </c>
      <c r="I63">
        <v>0</v>
      </c>
      <c r="M63" s="15">
        <v>3.2783999999999999E-3</v>
      </c>
      <c r="S63">
        <v>3.7801000000000002E-3</v>
      </c>
      <c r="Y63">
        <v>6.7435999999999998E-3</v>
      </c>
      <c r="AC63">
        <v>3.0745E-3</v>
      </c>
    </row>
    <row r="64" spans="1:29">
      <c r="A64" t="s">
        <v>57</v>
      </c>
      <c r="B64" s="3">
        <f>AVERAGE(Y64/Y$9,AC64/AC$9)</f>
        <v>1.3954299487256119E-2</v>
      </c>
      <c r="C64" s="3">
        <f>STDEV(Y64/Y$9,AC64/AC$9)/SQRT(D64)</f>
        <v>9.8793209794490796E-3</v>
      </c>
      <c r="D64">
        <f t="shared" si="9"/>
        <v>2</v>
      </c>
      <c r="Y64">
        <v>2.8853E-4</v>
      </c>
      <c r="AC64">
        <v>1.9994000000000001E-3</v>
      </c>
    </row>
    <row r="65" spans="1:29">
      <c r="A65" t="s">
        <v>15</v>
      </c>
      <c r="B65" s="3">
        <f>AVERAGE(E65/E$9,I65/I$9,M65/M$9,S65/S$9,T65/T$9,Y65/Y$9,AC65/AC$9)</f>
        <v>9.5689612968896526E-2</v>
      </c>
      <c r="C65" s="3">
        <f>STDEV(E65/E$9,I65/I$9,M65/M$9,S65/S$9,T65/T$9,Y65/Y$9,AC65/AC$9)/SQRT(D65)</f>
        <v>1.5418041453342159E-2</v>
      </c>
      <c r="D65">
        <f t="shared" si="9"/>
        <v>7</v>
      </c>
      <c r="E65">
        <v>4.5664E-3</v>
      </c>
      <c r="I65">
        <v>4.3245000000000002E-3</v>
      </c>
      <c r="M65">
        <v>6.0483999999999998E-3</v>
      </c>
      <c r="S65">
        <v>2.5399999999999999E-2</v>
      </c>
      <c r="T65">
        <v>3.243E-2</v>
      </c>
      <c r="Y65">
        <v>7.1716999999999996E-3</v>
      </c>
      <c r="AC65">
        <v>2.9526000000000001E-3</v>
      </c>
    </row>
    <row r="66" spans="1:29">
      <c r="A66" t="s">
        <v>22</v>
      </c>
      <c r="B66" s="3">
        <f>AVERAGE(M66/M$9,S66/S$9,T66/T$9,Y66/Y$9,AC66/AC$9)</f>
        <v>0.11101001656358442</v>
      </c>
      <c r="C66" s="3">
        <f>STDEV(M66/M$9,S66/S$9,T66/T$9,Y66/Y$9,AC66/AC$9)/SQRT(D66)</f>
        <v>2.3190106017267072E-2</v>
      </c>
      <c r="D66">
        <f t="shared" si="9"/>
        <v>5</v>
      </c>
      <c r="M66">
        <v>7.4127000000000004E-3</v>
      </c>
      <c r="S66">
        <v>2.1471000000000001E-2</v>
      </c>
      <c r="T66">
        <v>4.3631999999999997E-2</v>
      </c>
      <c r="Y66">
        <v>5.7895000000000004E-3</v>
      </c>
      <c r="AC66">
        <v>3.1795999999999999E-3</v>
      </c>
    </row>
    <row r="67" spans="1:29">
      <c r="A67" t="s">
        <v>59</v>
      </c>
      <c r="B67" t="s">
        <v>30</v>
      </c>
      <c r="C67" t="s">
        <v>30</v>
      </c>
      <c r="D67">
        <f t="shared" si="9"/>
        <v>0</v>
      </c>
    </row>
    <row r="68" spans="1:29">
      <c r="A68" t="s">
        <v>58</v>
      </c>
      <c r="B68" t="s">
        <v>30</v>
      </c>
      <c r="C68" t="s">
        <v>30</v>
      </c>
      <c r="D68">
        <f t="shared" si="9"/>
        <v>0</v>
      </c>
    </row>
    <row r="81" spans="1:33">
      <c r="A81" s="1" t="s">
        <v>32</v>
      </c>
      <c r="E81" s="74">
        <v>43434</v>
      </c>
      <c r="I81" s="74">
        <v>43482</v>
      </c>
      <c r="M81" s="74">
        <v>43482</v>
      </c>
      <c r="Q81" s="13">
        <v>43006</v>
      </c>
      <c r="U81" s="13">
        <v>43032</v>
      </c>
      <c r="Y81" s="13">
        <v>43032</v>
      </c>
      <c r="AC81" s="13">
        <v>43174</v>
      </c>
      <c r="AG81" s="13">
        <v>43174</v>
      </c>
    </row>
    <row r="82" spans="1:33">
      <c r="A82" s="1" t="s">
        <v>33</v>
      </c>
      <c r="E82" s="75" t="s">
        <v>39</v>
      </c>
      <c r="I82" s="75" t="s">
        <v>39</v>
      </c>
      <c r="M82" s="75" t="s">
        <v>39</v>
      </c>
      <c r="Q82" s="14" t="s">
        <v>39</v>
      </c>
      <c r="U82" s="14" t="s">
        <v>39</v>
      </c>
      <c r="Y82" s="14" t="s">
        <v>39</v>
      </c>
      <c r="AC82" s="14" t="s">
        <v>39</v>
      </c>
      <c r="AG82" s="14" t="s">
        <v>39</v>
      </c>
    </row>
    <row r="83" spans="1:33">
      <c r="A83" s="1" t="s">
        <v>34</v>
      </c>
      <c r="E83" s="79" t="s">
        <v>73</v>
      </c>
      <c r="I83" s="79" t="s">
        <v>75</v>
      </c>
      <c r="M83" s="79" t="s">
        <v>51</v>
      </c>
      <c r="Q83" s="16" t="s">
        <v>51</v>
      </c>
      <c r="U83" s="16" t="s">
        <v>40</v>
      </c>
      <c r="Y83" s="16" t="s">
        <v>73</v>
      </c>
      <c r="AC83" s="16" t="s">
        <v>40</v>
      </c>
      <c r="AG83" s="16" t="s">
        <v>73</v>
      </c>
    </row>
    <row r="84" spans="1:33">
      <c r="A84" s="1" t="s">
        <v>35</v>
      </c>
      <c r="E84" s="75" t="s">
        <v>52</v>
      </c>
      <c r="I84" s="75" t="s">
        <v>52</v>
      </c>
      <c r="M84" s="75" t="s">
        <v>52</v>
      </c>
      <c r="Q84" s="14" t="s">
        <v>52</v>
      </c>
      <c r="U84" s="14" t="s">
        <v>52</v>
      </c>
      <c r="Y84" s="14" t="s">
        <v>52</v>
      </c>
      <c r="AC84" s="14" t="s">
        <v>52</v>
      </c>
      <c r="AG84" s="14" t="s">
        <v>52</v>
      </c>
    </row>
    <row r="85" spans="1:33">
      <c r="A85" s="1" t="s">
        <v>36</v>
      </c>
      <c r="E85" s="75" t="s">
        <v>107</v>
      </c>
      <c r="I85" s="75" t="s">
        <v>107</v>
      </c>
      <c r="M85" s="75" t="s">
        <v>107</v>
      </c>
      <c r="Q85" s="14" t="s">
        <v>107</v>
      </c>
      <c r="U85" s="14" t="s">
        <v>107</v>
      </c>
      <c r="Y85" s="14" t="s">
        <v>107</v>
      </c>
      <c r="AC85" s="14" t="s">
        <v>107</v>
      </c>
      <c r="AG85" s="14" t="s">
        <v>107</v>
      </c>
    </row>
    <row r="86" spans="1:33">
      <c r="A86" s="1" t="s">
        <v>37</v>
      </c>
      <c r="E86" s="44">
        <v>4</v>
      </c>
      <c r="I86" s="44">
        <v>4</v>
      </c>
      <c r="M86" s="44">
        <v>4</v>
      </c>
      <c r="Q86" s="2">
        <v>4</v>
      </c>
      <c r="U86" s="2">
        <v>4</v>
      </c>
      <c r="Y86" s="2">
        <v>4</v>
      </c>
      <c r="AC86" s="2">
        <v>4</v>
      </c>
      <c r="AG86" s="2">
        <v>4</v>
      </c>
    </row>
    <row r="87" spans="1:33">
      <c r="A87" s="1" t="s">
        <v>38</v>
      </c>
      <c r="E87" s="44">
        <v>0.4</v>
      </c>
      <c r="I87" s="44">
        <v>0.5</v>
      </c>
      <c r="M87" s="44">
        <v>0.5</v>
      </c>
      <c r="Q87" s="2">
        <v>0.3</v>
      </c>
      <c r="U87" s="2">
        <v>0.3</v>
      </c>
      <c r="Y87" s="2">
        <v>0.3</v>
      </c>
      <c r="AC87" s="2">
        <v>0.3</v>
      </c>
      <c r="AG87" s="2">
        <v>0.3</v>
      </c>
    </row>
    <row r="88" spans="1:33">
      <c r="A88" s="1" t="s">
        <v>43</v>
      </c>
      <c r="E88">
        <f>E104</f>
        <v>8.1181000000000003E-2</v>
      </c>
      <c r="I88">
        <f>I104</f>
        <v>9.8614999999999994E-2</v>
      </c>
      <c r="M88">
        <f>M104</f>
        <v>0.10645</v>
      </c>
      <c r="Q88">
        <f>Q104</f>
        <v>6.4000000000000001E-2</v>
      </c>
      <c r="U88">
        <f>U104</f>
        <v>8.8999999999999996E-2</v>
      </c>
      <c r="Y88">
        <f>Y104</f>
        <v>5.8000000000000003E-2</v>
      </c>
      <c r="AC88">
        <f>AC104</f>
        <v>6.5000000000000002E-2</v>
      </c>
      <c r="AG88">
        <f>AG104</f>
        <v>8.4000000000000005E-2</v>
      </c>
    </row>
    <row r="89" spans="1:33">
      <c r="A89" s="1" t="s">
        <v>54</v>
      </c>
      <c r="E89">
        <f>E88</f>
        <v>8.1181000000000003E-2</v>
      </c>
      <c r="I89">
        <f>I88</f>
        <v>9.8614999999999994E-2</v>
      </c>
      <c r="M89">
        <f>M88</f>
        <v>0.10645</v>
      </c>
      <c r="Q89">
        <f>Q88</f>
        <v>6.4000000000000001E-2</v>
      </c>
      <c r="U89">
        <f>U88</f>
        <v>8.8999999999999996E-2</v>
      </c>
      <c r="Y89">
        <f>Y88</f>
        <v>5.8000000000000003E-2</v>
      </c>
      <c r="AC89">
        <f>AC88</f>
        <v>6.5000000000000002E-2</v>
      </c>
      <c r="AG89">
        <f>AG88</f>
        <v>8.4000000000000005E-2</v>
      </c>
    </row>
    <row r="90" spans="1:33">
      <c r="A90" s="1" t="s">
        <v>44</v>
      </c>
      <c r="B90" s="22">
        <f>AVERAGE(E90:AG90)</f>
        <v>16.606019124391313</v>
      </c>
      <c r="C90" s="22">
        <f>STDEV(E90:AG90)/SQRT(D90)</f>
        <v>0.90448680730632891</v>
      </c>
      <c r="D90" s="1">
        <f>COUNT(E90:AZ90)</f>
        <v>8</v>
      </c>
      <c r="E90" s="21">
        <f>E86*E87*(1-E88)/E88</f>
        <v>18.109045219940629</v>
      </c>
      <c r="I90" s="21">
        <f>I86*I87*(1-I88)/I88</f>
        <v>18.280890331085537</v>
      </c>
      <c r="M90" s="21">
        <f>M86*M87*(1-M88)/M88</f>
        <v>16.788163457022076</v>
      </c>
      <c r="Q90" s="21">
        <f>Q86*Q87*(1-Q88)/Q88</f>
        <v>17.55</v>
      </c>
      <c r="U90" s="21">
        <f>U86*U87*(1-U88)/U88</f>
        <v>12.28314606741573</v>
      </c>
      <c r="Y90" s="21">
        <f>Y86*Y87*(1-Y88)/Y88</f>
        <v>19.489655172413791</v>
      </c>
      <c r="AC90" s="21">
        <f>AC86*AC87*(1-AC88)/AC88</f>
        <v>17.261538461538464</v>
      </c>
      <c r="AG90" s="21">
        <f>AG86*AG87*(1-AG88)/AG88</f>
        <v>13.085714285714284</v>
      </c>
    </row>
    <row r="91" spans="1:33">
      <c r="A91" s="1"/>
    </row>
    <row r="92" spans="1:33">
      <c r="A92" s="1" t="s">
        <v>33</v>
      </c>
      <c r="E92" t="s">
        <v>39</v>
      </c>
      <c r="F92" t="s">
        <v>113</v>
      </c>
      <c r="I92" t="s">
        <v>39</v>
      </c>
      <c r="J92" t="s">
        <v>113</v>
      </c>
      <c r="K92" t="s">
        <v>113</v>
      </c>
      <c r="M92" t="s">
        <v>39</v>
      </c>
      <c r="N92" t="s">
        <v>113</v>
      </c>
      <c r="O92" t="s">
        <v>113</v>
      </c>
      <c r="Q92" t="s">
        <v>39</v>
      </c>
      <c r="R92" t="s">
        <v>39</v>
      </c>
      <c r="U92" t="s">
        <v>39</v>
      </c>
      <c r="V92" t="s">
        <v>39</v>
      </c>
      <c r="Y92" t="s">
        <v>39</v>
      </c>
      <c r="Z92" t="s">
        <v>39</v>
      </c>
      <c r="AC92" t="s">
        <v>39</v>
      </c>
      <c r="AG92" t="s">
        <v>39</v>
      </c>
    </row>
    <row r="93" spans="1:33">
      <c r="A93" s="1" t="s">
        <v>45</v>
      </c>
      <c r="E93" t="s">
        <v>47</v>
      </c>
      <c r="I93" t="s">
        <v>47</v>
      </c>
      <c r="M93" t="s">
        <v>47</v>
      </c>
      <c r="Q93" t="s">
        <v>85</v>
      </c>
      <c r="R93" t="s">
        <v>85</v>
      </c>
      <c r="U93" t="s">
        <v>85</v>
      </c>
      <c r="V93" t="s">
        <v>85</v>
      </c>
      <c r="Y93" t="s">
        <v>85</v>
      </c>
      <c r="Z93" t="s">
        <v>85</v>
      </c>
      <c r="AC93" t="s">
        <v>85</v>
      </c>
      <c r="AG93" t="s">
        <v>85</v>
      </c>
    </row>
    <row r="94" spans="1:33" ht="68">
      <c r="A94" s="12" t="s">
        <v>31</v>
      </c>
      <c r="E94" s="11" t="s">
        <v>104</v>
      </c>
      <c r="F94" s="47">
        <v>43672</v>
      </c>
      <c r="I94" s="11" t="s">
        <v>109</v>
      </c>
      <c r="J94" s="47">
        <v>43672</v>
      </c>
      <c r="K94" s="47">
        <v>43672</v>
      </c>
      <c r="M94" s="11" t="s">
        <v>109</v>
      </c>
      <c r="N94" s="47">
        <v>43672</v>
      </c>
      <c r="O94" s="47">
        <v>43672</v>
      </c>
      <c r="Q94" s="11" t="s">
        <v>110</v>
      </c>
      <c r="R94" s="11" t="s">
        <v>81</v>
      </c>
      <c r="U94" s="11" t="s">
        <v>111</v>
      </c>
      <c r="V94" s="11" t="s">
        <v>81</v>
      </c>
      <c r="Y94" s="11" t="s">
        <v>111</v>
      </c>
      <c r="Z94" s="11" t="s">
        <v>81</v>
      </c>
      <c r="AC94" s="11" t="s">
        <v>112</v>
      </c>
      <c r="AG94" s="11" t="s">
        <v>112</v>
      </c>
    </row>
    <row r="96" spans="1:33">
      <c r="A96" s="1" t="s">
        <v>50</v>
      </c>
      <c r="J96" t="s">
        <v>261</v>
      </c>
      <c r="K96" t="s">
        <v>262</v>
      </c>
      <c r="N96" t="s">
        <v>261</v>
      </c>
      <c r="O96" t="s">
        <v>262</v>
      </c>
    </row>
    <row r="98" spans="1:33">
      <c r="A98" s="1" t="s">
        <v>0</v>
      </c>
    </row>
    <row r="99" spans="1:33">
      <c r="A99" t="s">
        <v>60</v>
      </c>
      <c r="B99">
        <f>AVERAGE(E99/E$89,I99/I$89,M99/M$89)</f>
        <v>4.7080476730236333E-3</v>
      </c>
      <c r="C99">
        <f>STDEV(E99/E$89,I99/I$89,M99/M$89)/SQRT(D99)</f>
        <v>7.6595396027002386E-4</v>
      </c>
      <c r="D99">
        <f>COUNT(E99:AZ99)</f>
        <v>3</v>
      </c>
      <c r="E99">
        <v>4.6788999999999999E-4</v>
      </c>
      <c r="I99">
        <v>5.0706000000000004E-4</v>
      </c>
      <c r="M99">
        <v>3.4264000000000001E-4</v>
      </c>
    </row>
    <row r="100" spans="1:33">
      <c r="A100" t="s">
        <v>61</v>
      </c>
      <c r="B100">
        <f>AVERAGE(E100/E$89,I100/I$89,M100/M$89)</f>
        <v>1.2401563031906433E-2</v>
      </c>
      <c r="C100">
        <f>STDEV(E100/E$89,I100/I$89,M100/M$89)/SQRT(D100)</f>
        <v>2.5145358334399842E-3</v>
      </c>
      <c r="D100">
        <f t="shared" ref="D100:D113" si="10">COUNT(E100:AZ100)</f>
        <v>3</v>
      </c>
      <c r="E100">
        <v>1.3059E-3</v>
      </c>
      <c r="I100">
        <v>1.3336000000000001E-3</v>
      </c>
      <c r="M100">
        <v>8.0849999999999997E-4</v>
      </c>
    </row>
    <row r="101" spans="1:33">
      <c r="A101" t="s">
        <v>62</v>
      </c>
      <c r="B101">
        <f t="shared" ref="B101:B113" si="11">AVERAGE(E101/E$89,I101/I$89,M101/M$89)</f>
        <v>2.7085385331938546E-2</v>
      </c>
      <c r="C101">
        <f t="shared" ref="C101:C113" si="12">STDEV(E101/E$89,I101/I$89,M101/M$89)/SQRT(D101)</f>
        <v>3.5462192607688338E-3</v>
      </c>
      <c r="D101">
        <f t="shared" si="10"/>
        <v>3</v>
      </c>
      <c r="E101">
        <v>2.6251999999999998E-3</v>
      </c>
      <c r="I101">
        <v>2.8191000000000002E-3</v>
      </c>
      <c r="M101">
        <v>2.1643000000000001E-3</v>
      </c>
    </row>
    <row r="102" spans="1:33">
      <c r="A102" t="s">
        <v>63</v>
      </c>
      <c r="B102">
        <f t="shared" si="11"/>
        <v>2.1738773342509306E-3</v>
      </c>
      <c r="C102">
        <f t="shared" si="12"/>
        <v>1.5175399529276992E-3</v>
      </c>
      <c r="D102">
        <f t="shared" si="10"/>
        <v>3</v>
      </c>
      <c r="E102">
        <v>1.1581E-4</v>
      </c>
      <c r="I102">
        <v>5.0244999999999999E-4</v>
      </c>
      <c r="M102">
        <v>0</v>
      </c>
    </row>
    <row r="103" spans="1:33">
      <c r="A103" t="s">
        <v>64</v>
      </c>
      <c r="B103">
        <f t="shared" si="11"/>
        <v>2.1037594102071705E-2</v>
      </c>
      <c r="C103">
        <f t="shared" si="12"/>
        <v>7.1967151518881872E-3</v>
      </c>
      <c r="D103">
        <f t="shared" si="10"/>
        <v>3</v>
      </c>
      <c r="E103">
        <v>2.8557000000000001E-3</v>
      </c>
      <c r="I103">
        <v>1.1475000000000001E-3</v>
      </c>
      <c r="M103">
        <v>1.7351000000000001E-3</v>
      </c>
    </row>
    <row r="104" spans="1:33">
      <c r="A104" t="s">
        <v>65</v>
      </c>
      <c r="B104">
        <f t="shared" si="11"/>
        <v>1</v>
      </c>
      <c r="C104">
        <f t="shared" si="12"/>
        <v>0</v>
      </c>
      <c r="D104">
        <f t="shared" si="10"/>
        <v>8</v>
      </c>
      <c r="E104">
        <v>8.1181000000000003E-2</v>
      </c>
      <c r="I104">
        <v>9.8614999999999994E-2</v>
      </c>
      <c r="M104">
        <v>0.10645</v>
      </c>
      <c r="Q104" s="9">
        <v>6.4000000000000001E-2</v>
      </c>
      <c r="U104" s="9">
        <v>8.8999999999999996E-2</v>
      </c>
      <c r="Y104" s="9">
        <v>5.8000000000000003E-2</v>
      </c>
      <c r="AC104" s="9">
        <v>6.5000000000000002E-2</v>
      </c>
      <c r="AG104" s="9">
        <v>8.4000000000000005E-2</v>
      </c>
    </row>
    <row r="105" spans="1:33">
      <c r="A105" t="s">
        <v>66</v>
      </c>
      <c r="B105">
        <f t="shared" si="11"/>
        <v>8.7538364019202983E-3</v>
      </c>
      <c r="C105">
        <f t="shared" si="12"/>
        <v>2.1609049141002768E-3</v>
      </c>
      <c r="D105">
        <f t="shared" si="10"/>
        <v>3</v>
      </c>
      <c r="E105">
        <v>4.0220000000000002E-4</v>
      </c>
      <c r="I105">
        <v>1.2264999999999999E-3</v>
      </c>
      <c r="M105">
        <v>9.4419999999999997E-4</v>
      </c>
      <c r="Q105" s="9"/>
      <c r="U105" s="9"/>
      <c r="Y105" s="9"/>
      <c r="AC105" s="9"/>
    </row>
    <row r="106" spans="1:33">
      <c r="A106" t="s">
        <v>67</v>
      </c>
      <c r="B106">
        <f t="shared" si="11"/>
        <v>1.7928983082357314E-3</v>
      </c>
      <c r="C106">
        <f t="shared" si="12"/>
        <v>1.7928983082357314E-3</v>
      </c>
      <c r="D106">
        <f t="shared" si="10"/>
        <v>3</v>
      </c>
      <c r="E106">
        <v>0</v>
      </c>
      <c r="I106">
        <v>5.3041999999999998E-4</v>
      </c>
      <c r="M106">
        <v>0</v>
      </c>
      <c r="Q106" s="9"/>
      <c r="U106" s="9"/>
      <c r="Y106" s="9"/>
    </row>
    <row r="107" spans="1:33">
      <c r="A107" t="s">
        <v>71</v>
      </c>
      <c r="B107">
        <f t="shared" si="11"/>
        <v>0</v>
      </c>
      <c r="C107">
        <f t="shared" si="12"/>
        <v>0</v>
      </c>
      <c r="D107">
        <f t="shared" si="10"/>
        <v>3</v>
      </c>
      <c r="E107">
        <v>0</v>
      </c>
      <c r="I107">
        <v>0</v>
      </c>
      <c r="M107">
        <v>0</v>
      </c>
      <c r="Q107" s="9"/>
      <c r="U107" s="9"/>
    </row>
    <row r="108" spans="1:33">
      <c r="A108" t="s">
        <v>72</v>
      </c>
      <c r="B108">
        <f t="shared" si="11"/>
        <v>0</v>
      </c>
      <c r="C108">
        <f t="shared" si="12"/>
        <v>0</v>
      </c>
      <c r="D108">
        <f t="shared" si="10"/>
        <v>3</v>
      </c>
      <c r="E108">
        <v>0</v>
      </c>
      <c r="I108">
        <v>0</v>
      </c>
      <c r="M108">
        <v>0</v>
      </c>
      <c r="Q108" s="9"/>
    </row>
    <row r="109" spans="1:33">
      <c r="A109" t="s">
        <v>69</v>
      </c>
      <c r="B109">
        <f t="shared" si="11"/>
        <v>1.3692845484309268E-2</v>
      </c>
      <c r="C109">
        <f t="shared" si="12"/>
        <v>1.046106221783441E-3</v>
      </c>
      <c r="D109">
        <f t="shared" si="10"/>
        <v>3</v>
      </c>
      <c r="E109">
        <v>1.0099E-3</v>
      </c>
      <c r="I109">
        <v>1.5552000000000001E-3</v>
      </c>
      <c r="M109">
        <v>1.3698E-3</v>
      </c>
    </row>
    <row r="110" spans="1:33">
      <c r="A110" t="s">
        <v>68</v>
      </c>
      <c r="B110">
        <f>AVERAGE(F110/E89,AVERAGE(J110/I89,K110/I89),AVERAGE(N110/M89,O110/M89))</f>
        <v>8.574154248227283E-3</v>
      </c>
      <c r="C110">
        <f>STDEV(F110/E89,AVERAGE(J110/I89,K110/I89),AVERAGE(N110/M89,O110/M89))/SQRT(D110)</f>
        <v>3.2170551021427451E-4</v>
      </c>
      <c r="D110">
        <v>3</v>
      </c>
      <c r="F110">
        <v>7.4158125405993926E-4</v>
      </c>
      <c r="J110">
        <v>8.9311330751703621E-4</v>
      </c>
      <c r="K110">
        <v>6.8878174741176699E-4</v>
      </c>
      <c r="N110">
        <v>1.291129854070473E-3</v>
      </c>
      <c r="O110">
        <v>5.3278256592197224E-4</v>
      </c>
    </row>
    <row r="111" spans="1:33">
      <c r="A111" t="s">
        <v>70</v>
      </c>
      <c r="B111">
        <f>AVERAGE(R111/Q89,V111/U89,Z111/Y89)</f>
        <v>0</v>
      </c>
      <c r="C111">
        <f>STDEV(R111/Q89,V111/U89,Z111/Y89)/SQRT(D111)</f>
        <v>0</v>
      </c>
      <c r="D111">
        <f t="shared" si="10"/>
        <v>3</v>
      </c>
      <c r="R111">
        <v>0</v>
      </c>
      <c r="V111">
        <v>0</v>
      </c>
      <c r="Z111">
        <v>0</v>
      </c>
    </row>
    <row r="112" spans="1:33">
      <c r="A112" t="s">
        <v>23</v>
      </c>
      <c r="B112">
        <f t="shared" si="11"/>
        <v>0</v>
      </c>
      <c r="C112">
        <f t="shared" si="12"/>
        <v>0</v>
      </c>
      <c r="D112">
        <f t="shared" si="10"/>
        <v>3</v>
      </c>
      <c r="E112">
        <v>0</v>
      </c>
      <c r="I112">
        <v>0</v>
      </c>
      <c r="M112">
        <v>0</v>
      </c>
    </row>
    <row r="113" spans="1:13">
      <c r="A113" t="s">
        <v>24</v>
      </c>
      <c r="B113">
        <f t="shared" si="11"/>
        <v>0</v>
      </c>
      <c r="C113">
        <f t="shared" si="12"/>
        <v>0</v>
      </c>
      <c r="D113">
        <f t="shared" si="10"/>
        <v>3</v>
      </c>
      <c r="E113">
        <v>0</v>
      </c>
      <c r="I113">
        <v>0</v>
      </c>
      <c r="M113">
        <v>0</v>
      </c>
    </row>
    <row r="116" spans="1:13">
      <c r="A116" s="1" t="s">
        <v>16</v>
      </c>
    </row>
    <row r="117" spans="1:13">
      <c r="A117" t="s">
        <v>7</v>
      </c>
      <c r="B117">
        <f>AVERAGE(E117/E$89,I117/I$89,M117/M$89)</f>
        <v>6.8820302196111113E-3</v>
      </c>
      <c r="C117">
        <f>STDEV(E117/E$89,I117/I$89,M117/M$89)/SQRT(D117)</f>
        <v>2.0298256793229675E-3</v>
      </c>
      <c r="D117">
        <f>COUNT(E117:AZ117)</f>
        <v>3</v>
      </c>
      <c r="E117">
        <v>8.8540999999999999E-4</v>
      </c>
      <c r="I117">
        <v>5.2570000000000004E-4</v>
      </c>
      <c r="M117">
        <v>4.6930000000000002E-4</v>
      </c>
    </row>
    <row r="118" spans="1:13">
      <c r="A118" t="s">
        <v>8</v>
      </c>
      <c r="B118">
        <f>AVERAGE(E118/E$89,I118/I$89,M118/M$89)</f>
        <v>4.9198182306378922E-2</v>
      </c>
      <c r="C118">
        <f>STDEV(E118/E$89,I118/I$89,M118/M$89)/SQRT(D118)</f>
        <v>4.4067913359685986E-3</v>
      </c>
      <c r="D118">
        <f t="shared" ref="D118:D122" si="13">COUNT(E118:AZ118)</f>
        <v>3</v>
      </c>
      <c r="E118">
        <v>3.8566E-3</v>
      </c>
      <c r="I118">
        <v>4.1964000000000003E-3</v>
      </c>
      <c r="M118">
        <v>6.1246E-3</v>
      </c>
    </row>
    <row r="119" spans="1:13">
      <c r="A119" t="s">
        <v>9</v>
      </c>
      <c r="B119">
        <f t="shared" ref="B119:B121" si="14">AVERAGE(E119/E$89,I119/I$89,M119/M$89)</f>
        <v>3.4219172428608148E-2</v>
      </c>
      <c r="C119">
        <f t="shared" ref="C119:C121" si="15">STDEV(E119/E$89,I119/I$89,M119/M$89)/SQRT(D119)</f>
        <v>4.4895122720946716E-3</v>
      </c>
      <c r="D119">
        <f t="shared" si="13"/>
        <v>3</v>
      </c>
      <c r="E119">
        <v>3.4799000000000002E-3</v>
      </c>
      <c r="I119">
        <v>2.7415E-3</v>
      </c>
      <c r="M119">
        <v>3.4055000000000001E-3</v>
      </c>
    </row>
    <row r="120" spans="1:13">
      <c r="A120" t="s">
        <v>10</v>
      </c>
      <c r="B120">
        <f t="shared" si="14"/>
        <v>2.6041855735618791E-2</v>
      </c>
      <c r="C120">
        <f t="shared" si="15"/>
        <v>2.1263566179579407E-3</v>
      </c>
      <c r="D120">
        <f t="shared" si="13"/>
        <v>3</v>
      </c>
      <c r="E120">
        <v>1.97E-3</v>
      </c>
      <c r="I120">
        <v>2.3256000000000001E-3</v>
      </c>
      <c r="M120">
        <v>3.2228999999999999E-3</v>
      </c>
    </row>
    <row r="121" spans="1:13">
      <c r="A121" t="s">
        <v>11</v>
      </c>
      <c r="B121">
        <f t="shared" si="14"/>
        <v>7.1728545754370265E-2</v>
      </c>
      <c r="C121">
        <f t="shared" si="15"/>
        <v>4.7003601195006696E-3</v>
      </c>
      <c r="D121">
        <f t="shared" si="13"/>
        <v>3</v>
      </c>
      <c r="E121">
        <v>5.8225999999999998E-3</v>
      </c>
      <c r="I121">
        <v>6.2709000000000003E-3</v>
      </c>
      <c r="M121">
        <v>8.5024000000000002E-3</v>
      </c>
    </row>
    <row r="122" spans="1:13">
      <c r="A122" t="s">
        <v>49</v>
      </c>
      <c r="B122" t="s">
        <v>30</v>
      </c>
      <c r="C122" t="s">
        <v>30</v>
      </c>
      <c r="D122">
        <f t="shared" si="13"/>
        <v>0</v>
      </c>
    </row>
    <row r="123" spans="1:13">
      <c r="A123" t="s">
        <v>12</v>
      </c>
      <c r="B123">
        <f>AVERAGE(E123/E$89,I123/I$89,M123/M$89)</f>
        <v>2.3024970577283383E-2</v>
      </c>
      <c r="C123">
        <f>STDEV(E123/E$89,I123/I$89,M123/M$89)/SQRT(D123)</f>
        <v>2.2686883648170941E-3</v>
      </c>
      <c r="D123">
        <f>COUNT(E123:AZ123)</f>
        <v>3</v>
      </c>
      <c r="E123">
        <v>2.2136999999999999E-3</v>
      </c>
      <c r="I123">
        <v>2.1984999999999999E-3</v>
      </c>
      <c r="M123">
        <v>2.0771000000000001E-3</v>
      </c>
    </row>
    <row r="124" spans="1:13">
      <c r="A124" t="s">
        <v>13</v>
      </c>
      <c r="B124">
        <f>AVERAGE(E124/E$89,I124/I$89,M124/M$89)</f>
        <v>7.2842048260186393E-2</v>
      </c>
      <c r="C124">
        <f>STDEV(E124/E$89,I124/I$89,M124/M$89)/SQRT(D124)</f>
        <v>5.1557591390782517E-3</v>
      </c>
      <c r="D124">
        <f t="shared" ref="D124:D131" si="16">COUNT(E124:AZ124)</f>
        <v>3</v>
      </c>
      <c r="E124">
        <v>6.5106000000000001E-3</v>
      </c>
      <c r="I124">
        <v>6.2034999999999998E-3</v>
      </c>
      <c r="M124">
        <v>8.0286000000000003E-3</v>
      </c>
    </row>
    <row r="125" spans="1:13">
      <c r="A125" t="s">
        <v>14</v>
      </c>
      <c r="B125">
        <f t="shared" ref="B125:B126" si="17">AVERAGE(E125/E$89,I125/I$89,M125/M$89)</f>
        <v>8.1058164634485619E-2</v>
      </c>
      <c r="C125">
        <f t="shared" ref="C125:C126" si="18">STDEV(E125/E$89,I125/I$89,M125/M$89)/SQRT(D125)</f>
        <v>4.5155459190253031E-3</v>
      </c>
      <c r="D125">
        <f t="shared" si="16"/>
        <v>3</v>
      </c>
      <c r="E125">
        <v>6.8881999999999997E-3</v>
      </c>
      <c r="I125">
        <v>8.5065999999999996E-3</v>
      </c>
      <c r="M125">
        <v>7.6712000000000004E-3</v>
      </c>
    </row>
    <row r="126" spans="1:13">
      <c r="A126" t="s">
        <v>56</v>
      </c>
      <c r="B126">
        <f t="shared" si="17"/>
        <v>8.1558224893719614E-3</v>
      </c>
      <c r="C126">
        <f t="shared" si="18"/>
        <v>4.5862715759094688E-3</v>
      </c>
      <c r="D126">
        <f t="shared" si="16"/>
        <v>3</v>
      </c>
      <c r="E126">
        <v>0</v>
      </c>
      <c r="I126">
        <v>1.5648999999999999E-3</v>
      </c>
      <c r="M126">
        <v>9.1533000000000001E-4</v>
      </c>
    </row>
    <row r="127" spans="1:13">
      <c r="A127" t="s">
        <v>57</v>
      </c>
      <c r="B127" t="s">
        <v>30</v>
      </c>
      <c r="C127" t="s">
        <v>30</v>
      </c>
      <c r="D127">
        <f t="shared" si="16"/>
        <v>0</v>
      </c>
    </row>
    <row r="128" spans="1:13">
      <c r="A128" t="s">
        <v>15</v>
      </c>
      <c r="B128">
        <f t="shared" ref="B128:B129" si="19">AVERAGE(E128/E$89,I128/I$89,M128/M$89)</f>
        <v>2.397868000921223E-2</v>
      </c>
      <c r="C128">
        <f t="shared" ref="C128:C129" si="20">STDEV(E128/E$89,I128/I$89,M128/M$89)/SQRT(D128)</f>
        <v>1.1630161209184222E-3</v>
      </c>
      <c r="D128">
        <f t="shared" si="16"/>
        <v>3</v>
      </c>
      <c r="E128">
        <v>1.8494E-3</v>
      </c>
      <c r="I128">
        <v>2.2534E-3</v>
      </c>
      <c r="M128">
        <v>2.8000999999999998E-3</v>
      </c>
    </row>
    <row r="129" spans="1:13">
      <c r="A129" t="s">
        <v>22</v>
      </c>
      <c r="B129">
        <f t="shared" si="19"/>
        <v>3.2903536328026291E-2</v>
      </c>
      <c r="C129">
        <f t="shared" si="20"/>
        <v>4.8836315332929144E-3</v>
      </c>
      <c r="D129">
        <f t="shared" si="16"/>
        <v>3</v>
      </c>
      <c r="E129">
        <v>3.3693E-3</v>
      </c>
      <c r="I129">
        <v>2.4253E-3</v>
      </c>
      <c r="M129">
        <v>3.4716999999999999E-3</v>
      </c>
    </row>
    <row r="130" spans="1:13">
      <c r="A130" t="s">
        <v>59</v>
      </c>
      <c r="B130" t="s">
        <v>30</v>
      </c>
      <c r="C130" t="s">
        <v>30</v>
      </c>
      <c r="D130">
        <f t="shared" si="16"/>
        <v>0</v>
      </c>
    </row>
    <row r="131" spans="1:13">
      <c r="A131" t="s">
        <v>58</v>
      </c>
      <c r="B131" t="s">
        <v>30</v>
      </c>
      <c r="C131" t="s">
        <v>30</v>
      </c>
      <c r="D131">
        <f t="shared" si="16"/>
        <v>0</v>
      </c>
    </row>
    <row r="133" spans="1:13">
      <c r="A133" s="1" t="s">
        <v>17</v>
      </c>
    </row>
    <row r="134" spans="1:13">
      <c r="A134" t="s">
        <v>7</v>
      </c>
      <c r="B134">
        <f>AVERAGE(E134/E$89,I134/I$89,M134/M$89)</f>
        <v>4.6210542578990106E-3</v>
      </c>
      <c r="C134">
        <f>STDEV(E134/E$89,I134/I$89,M134/M$89)/SQRT(D134)</f>
        <v>3.0190250726096722E-4</v>
      </c>
      <c r="D134">
        <f>COUNT(E134:AZ134)</f>
        <v>3</v>
      </c>
      <c r="E134">
        <v>3.3152000000000002E-4</v>
      </c>
      <c r="I134">
        <v>4.5867999999999999E-4</v>
      </c>
      <c r="M134">
        <v>5.4589999999999999E-4</v>
      </c>
    </row>
    <row r="135" spans="1:13">
      <c r="A135" t="s">
        <v>8</v>
      </c>
      <c r="B135">
        <f>AVERAGE(E135/E$89,I135/I$89,M135/M$89)</f>
        <v>4.9924994801478689E-2</v>
      </c>
      <c r="C135">
        <f>STDEV(E135/E$89,I135/I$89,M135/M$89)/SQRT(D135)</f>
        <v>3.1343954945131213E-3</v>
      </c>
      <c r="D135">
        <f t="shared" ref="D135:D139" si="21">COUNT(E135:AZ135)</f>
        <v>3</v>
      </c>
      <c r="E135">
        <v>4.1758000000000003E-3</v>
      </c>
      <c r="I135">
        <v>4.3292000000000001E-3</v>
      </c>
      <c r="M135">
        <v>5.7948000000000001E-3</v>
      </c>
    </row>
    <row r="136" spans="1:13">
      <c r="A136" t="s">
        <v>9</v>
      </c>
      <c r="B136">
        <f t="shared" ref="B136:B138" si="22">AVERAGE(E136/E$89,I136/I$89,M136/M$89)</f>
        <v>3.5934413172550216E-2</v>
      </c>
      <c r="C136">
        <f t="shared" ref="C136:C138" si="23">STDEV(E136/E$89,I136/I$89,M136/M$89)/SQRT(D136)</f>
        <v>2.4770913305780027E-3</v>
      </c>
      <c r="D136">
        <f t="shared" si="21"/>
        <v>3</v>
      </c>
      <c r="E136">
        <v>3.3149999999999998E-3</v>
      </c>
      <c r="I136">
        <v>3.2398000000000001E-3</v>
      </c>
      <c r="M136">
        <v>3.6316E-3</v>
      </c>
    </row>
    <row r="137" spans="1:13">
      <c r="A137" t="s">
        <v>10</v>
      </c>
      <c r="B137">
        <f t="shared" si="22"/>
        <v>2.7137895185915726E-2</v>
      </c>
      <c r="C137">
        <f t="shared" si="23"/>
        <v>1.3775082765223544E-3</v>
      </c>
      <c r="D137">
        <f t="shared" si="21"/>
        <v>3</v>
      </c>
      <c r="E137">
        <v>2.4084000000000002E-3</v>
      </c>
      <c r="I137">
        <v>2.6448000000000001E-3</v>
      </c>
      <c r="M137">
        <v>2.6535E-3</v>
      </c>
    </row>
    <row r="138" spans="1:13">
      <c r="A138" t="s">
        <v>11</v>
      </c>
      <c r="B138">
        <f t="shared" si="22"/>
        <v>7.8649800104614309E-2</v>
      </c>
      <c r="C138">
        <f t="shared" si="23"/>
        <v>2.3297585425535411E-3</v>
      </c>
      <c r="D138">
        <f t="shared" si="21"/>
        <v>3</v>
      </c>
      <c r="E138">
        <v>6.4060000000000002E-3</v>
      </c>
      <c r="I138">
        <v>7.3458999999999998E-3</v>
      </c>
      <c r="M138">
        <v>8.7872999999999996E-3</v>
      </c>
    </row>
    <row r="139" spans="1:13">
      <c r="A139" t="s">
        <v>49</v>
      </c>
      <c r="B139" t="s">
        <v>30</v>
      </c>
      <c r="C139" t="s">
        <v>30</v>
      </c>
      <c r="D139">
        <f t="shared" si="21"/>
        <v>0</v>
      </c>
    </row>
    <row r="140" spans="1:13">
      <c r="A140" t="s">
        <v>12</v>
      </c>
      <c r="B140">
        <f>AVERAGE(E140/E$89,I140/I$89,M140/M$89)</f>
        <v>2.6897332437899709E-2</v>
      </c>
      <c r="C140">
        <f>STDEV(E140/E$89,I140/I$89,M140/M$89)/SQRT(D140)</f>
        <v>3.9450608173301326E-3</v>
      </c>
      <c r="D140">
        <f>COUNT(E140:AZ140)</f>
        <v>3</v>
      </c>
      <c r="E140">
        <v>2.8234000000000002E-3</v>
      </c>
      <c r="I140">
        <v>2.2948999999999999E-3</v>
      </c>
      <c r="M140">
        <v>2.4101999999999999E-3</v>
      </c>
    </row>
    <row r="141" spans="1:13">
      <c r="A141" t="s">
        <v>13</v>
      </c>
      <c r="B141">
        <f>AVERAGE(E141/E$89,I141/I$89,M141/M$89)</f>
        <v>9.5949394111576922E-2</v>
      </c>
      <c r="C141">
        <f>STDEV(E141/E$89,I141/I$89,M141/M$89)/SQRT(D141)</f>
        <v>6.0318366500373378E-3</v>
      </c>
      <c r="D141">
        <f t="shared" ref="D141:D148" si="24">COUNT(E141:AZ141)</f>
        <v>3</v>
      </c>
      <c r="E141">
        <v>7.9482000000000008E-3</v>
      </c>
      <c r="I141">
        <v>8.3488999999999994E-3</v>
      </c>
      <c r="M141">
        <v>1.1207E-2</v>
      </c>
    </row>
    <row r="142" spans="1:13">
      <c r="A142" t="s">
        <v>14</v>
      </c>
      <c r="B142">
        <f t="shared" ref="B142:B143" si="25">AVERAGE(E142/E$89,I142/I$89,M142/M$89)</f>
        <v>8.7137417832413799E-2</v>
      </c>
      <c r="C142">
        <f t="shared" ref="C142:C143" si="26">STDEV(E142/E$89,I142/I$89,M142/M$89)/SQRT(D142)</f>
        <v>5.280561450688382E-3</v>
      </c>
      <c r="D142">
        <f t="shared" si="24"/>
        <v>3</v>
      </c>
      <c r="E142">
        <v>7.3286999999999996E-3</v>
      </c>
      <c r="I142">
        <v>9.2995000000000005E-3</v>
      </c>
      <c r="M142">
        <v>8.1790999999999999E-3</v>
      </c>
    </row>
    <row r="143" spans="1:13">
      <c r="A143" t="s">
        <v>56</v>
      </c>
      <c r="B143">
        <f t="shared" si="25"/>
        <v>1.5957299694972154E-2</v>
      </c>
      <c r="C143">
        <f t="shared" si="26"/>
        <v>6.3064124851806187E-3</v>
      </c>
      <c r="D143">
        <f t="shared" si="24"/>
        <v>3</v>
      </c>
      <c r="E143">
        <v>4.0950999999999997E-4</v>
      </c>
      <c r="I143">
        <v>2.6518000000000002E-3</v>
      </c>
      <c r="M143">
        <v>1.6965000000000001E-3</v>
      </c>
    </row>
    <row r="144" spans="1:13">
      <c r="A144" t="s">
        <v>57</v>
      </c>
      <c r="B144" t="s">
        <v>30</v>
      </c>
      <c r="C144" t="s">
        <v>30</v>
      </c>
      <c r="D144">
        <f t="shared" si="24"/>
        <v>0</v>
      </c>
    </row>
    <row r="145" spans="1:13">
      <c r="A145" t="s">
        <v>15</v>
      </c>
      <c r="B145">
        <f t="shared" ref="B145:B146" si="27">AVERAGE(E145/E$89,I145/I$89,M145/M$89)</f>
        <v>2.4206355069359E-2</v>
      </c>
      <c r="C145">
        <f t="shared" ref="C145:C146" si="28">STDEV(E145/E$89,I145/I$89,M145/M$89)/SQRT(D145)</f>
        <v>1.7307485411998222E-3</v>
      </c>
      <c r="D145">
        <f t="shared" si="24"/>
        <v>3</v>
      </c>
      <c r="E145">
        <v>2.1857000000000001E-3</v>
      </c>
      <c r="I145">
        <v>2.0699999999999998E-3</v>
      </c>
      <c r="M145">
        <v>2.6297999999999998E-3</v>
      </c>
    </row>
    <row r="146" spans="1:13">
      <c r="A146" t="s">
        <v>22</v>
      </c>
      <c r="B146">
        <f t="shared" si="27"/>
        <v>3.6306055207019149E-2</v>
      </c>
      <c r="C146">
        <f t="shared" si="28"/>
        <v>5.2401774618179081E-3</v>
      </c>
      <c r="D146">
        <f t="shared" si="24"/>
        <v>3</v>
      </c>
      <c r="E146">
        <v>3.3828999999999999E-3</v>
      </c>
      <c r="I146">
        <v>2.5468999999999999E-3</v>
      </c>
      <c r="M146">
        <v>4.4092000000000003E-3</v>
      </c>
    </row>
    <row r="147" spans="1:13">
      <c r="A147" t="s">
        <v>59</v>
      </c>
      <c r="B147" t="s">
        <v>30</v>
      </c>
      <c r="C147" t="s">
        <v>30</v>
      </c>
      <c r="D147">
        <f t="shared" si="24"/>
        <v>0</v>
      </c>
    </row>
    <row r="148" spans="1:13">
      <c r="A148" t="s">
        <v>58</v>
      </c>
      <c r="B148" t="s">
        <v>30</v>
      </c>
      <c r="C148" t="s">
        <v>30</v>
      </c>
      <c r="D148">
        <f t="shared" si="24"/>
        <v>0</v>
      </c>
    </row>
  </sheetData>
  <pageMargins left="0.7" right="0.7" top="0.75" bottom="0.75" header="0.3" footer="0.3"/>
  <pageSetup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F148"/>
  <sheetViews>
    <sheetView topLeftCell="A122" zoomScale="87" workbookViewId="0">
      <selection activeCell="K35" sqref="K35"/>
    </sheetView>
  </sheetViews>
  <sheetFormatPr baseColWidth="10" defaultRowHeight="16"/>
  <cols>
    <col min="1" max="1" width="17.6640625" bestFit="1" customWidth="1"/>
    <col min="5" max="5" width="23.33203125" bestFit="1" customWidth="1"/>
    <col min="9" max="9" width="18.83203125" bestFit="1" customWidth="1"/>
    <col min="13" max="13" width="18.83203125" bestFit="1" customWidth="1"/>
    <col min="17" max="17" width="18.83203125" bestFit="1" customWidth="1"/>
    <col min="21" max="21" width="18.83203125" bestFit="1" customWidth="1"/>
    <col min="25" max="25" width="18.83203125" bestFit="1" customWidth="1"/>
  </cols>
  <sheetData>
    <row r="1" spans="1:32">
      <c r="A1" s="1" t="s">
        <v>32</v>
      </c>
      <c r="E1" s="74">
        <v>42984</v>
      </c>
      <c r="I1" s="74">
        <v>42984</v>
      </c>
      <c r="M1" s="74">
        <v>43006</v>
      </c>
      <c r="Q1" s="74">
        <v>43006</v>
      </c>
      <c r="U1" s="13">
        <v>43307</v>
      </c>
      <c r="Y1" s="13">
        <v>43307</v>
      </c>
      <c r="AA1" s="2"/>
      <c r="AB1" s="2"/>
      <c r="AC1" s="2"/>
      <c r="AD1" s="2"/>
      <c r="AE1" s="2"/>
      <c r="AF1" s="2"/>
    </row>
    <row r="2" spans="1:32">
      <c r="A2" s="1" t="s">
        <v>33</v>
      </c>
      <c r="E2" s="75" t="s">
        <v>39</v>
      </c>
      <c r="I2" s="75" t="s">
        <v>39</v>
      </c>
      <c r="M2" s="75" t="s">
        <v>39</v>
      </c>
      <c r="Q2" s="75" t="s">
        <v>39</v>
      </c>
      <c r="U2" s="14" t="s">
        <v>39</v>
      </c>
      <c r="Y2" s="14" t="s">
        <v>39</v>
      </c>
      <c r="AA2" s="2" t="s">
        <v>113</v>
      </c>
      <c r="AB2" s="2" t="s">
        <v>113</v>
      </c>
      <c r="AC2" s="2" t="s">
        <v>113</v>
      </c>
      <c r="AD2" s="2" t="s">
        <v>113</v>
      </c>
      <c r="AE2" s="2" t="s">
        <v>113</v>
      </c>
      <c r="AF2" s="2" t="s">
        <v>113</v>
      </c>
    </row>
    <row r="3" spans="1:32">
      <c r="A3" s="1" t="s">
        <v>34</v>
      </c>
      <c r="E3" s="79" t="s">
        <v>73</v>
      </c>
      <c r="I3" s="79" t="s">
        <v>51</v>
      </c>
      <c r="M3" s="79" t="s">
        <v>40</v>
      </c>
      <c r="Q3" s="79" t="s">
        <v>73</v>
      </c>
      <c r="U3" s="16" t="s">
        <v>40</v>
      </c>
      <c r="Y3" s="16" t="s">
        <v>73</v>
      </c>
      <c r="AA3" s="2" t="s">
        <v>138</v>
      </c>
      <c r="AB3" s="2" t="s">
        <v>139</v>
      </c>
      <c r="AC3" s="2"/>
      <c r="AD3" s="2"/>
      <c r="AE3" s="2"/>
      <c r="AF3" s="2"/>
    </row>
    <row r="4" spans="1:32">
      <c r="A4" s="1" t="s">
        <v>35</v>
      </c>
      <c r="E4" s="75" t="s">
        <v>41</v>
      </c>
      <c r="I4" s="75" t="s">
        <v>41</v>
      </c>
      <c r="M4" s="75" t="s">
        <v>41</v>
      </c>
      <c r="Q4" s="75" t="s">
        <v>41</v>
      </c>
      <c r="U4" s="14" t="s">
        <v>41</v>
      </c>
      <c r="Y4" s="14" t="s">
        <v>41</v>
      </c>
      <c r="AA4" s="2" t="s">
        <v>41</v>
      </c>
      <c r="AB4" s="2" t="s">
        <v>41</v>
      </c>
      <c r="AC4" s="14" t="s">
        <v>41</v>
      </c>
      <c r="AD4" s="14" t="s">
        <v>41</v>
      </c>
      <c r="AE4" s="14" t="s">
        <v>41</v>
      </c>
      <c r="AF4" s="14" t="s">
        <v>41</v>
      </c>
    </row>
    <row r="5" spans="1:32">
      <c r="A5" s="1" t="s">
        <v>36</v>
      </c>
      <c r="E5" s="75" t="s">
        <v>101</v>
      </c>
      <c r="I5" s="75" t="s">
        <v>101</v>
      </c>
      <c r="M5" s="75" t="s">
        <v>101</v>
      </c>
      <c r="Q5" s="75" t="s">
        <v>101</v>
      </c>
      <c r="U5" s="14" t="s">
        <v>101</v>
      </c>
      <c r="Y5" s="14" t="s">
        <v>101</v>
      </c>
      <c r="AA5" s="14" t="s">
        <v>101</v>
      </c>
      <c r="AB5" s="14" t="s">
        <v>101</v>
      </c>
      <c r="AC5" s="14" t="s">
        <v>101</v>
      </c>
      <c r="AD5" s="14" t="s">
        <v>101</v>
      </c>
      <c r="AE5" s="14" t="s">
        <v>101</v>
      </c>
      <c r="AF5" s="14" t="s">
        <v>101</v>
      </c>
    </row>
    <row r="6" spans="1:32">
      <c r="A6" s="1" t="s">
        <v>37</v>
      </c>
      <c r="E6" s="44">
        <v>4</v>
      </c>
      <c r="I6" s="44">
        <v>4</v>
      </c>
      <c r="M6" s="44">
        <v>4</v>
      </c>
      <c r="Q6" s="44">
        <v>4</v>
      </c>
      <c r="U6" s="2">
        <v>8</v>
      </c>
      <c r="Y6" s="2">
        <v>8</v>
      </c>
      <c r="AA6" s="2"/>
      <c r="AB6" s="2"/>
      <c r="AC6" s="2"/>
      <c r="AD6" s="2"/>
      <c r="AE6" s="2"/>
      <c r="AF6" s="2"/>
    </row>
    <row r="7" spans="1:32">
      <c r="A7" s="1" t="s">
        <v>38</v>
      </c>
      <c r="E7" s="44">
        <v>0.5</v>
      </c>
      <c r="I7" s="44">
        <v>0.5</v>
      </c>
      <c r="M7" s="44">
        <v>0.5</v>
      </c>
      <c r="Q7" s="44">
        <v>0.5</v>
      </c>
      <c r="U7" s="2">
        <v>0.2</v>
      </c>
      <c r="Y7" s="2">
        <v>0.2</v>
      </c>
      <c r="AA7" s="2"/>
      <c r="AB7" s="2"/>
      <c r="AC7" s="2"/>
      <c r="AD7" s="2"/>
      <c r="AE7" s="2"/>
      <c r="AF7" s="2"/>
    </row>
    <row r="8" spans="1:32" ht="17">
      <c r="A8" s="1" t="s">
        <v>43</v>
      </c>
      <c r="E8">
        <f>E25</f>
        <v>6.9772000000000001E-2</v>
      </c>
      <c r="I8">
        <f>I25</f>
        <v>4.7088999999999999E-2</v>
      </c>
      <c r="M8">
        <f>M25</f>
        <v>5.5099000000000002E-2</v>
      </c>
      <c r="Q8">
        <f>Q25</f>
        <v>5.4154000000000001E-2</v>
      </c>
      <c r="U8">
        <f>U25</f>
        <v>4.4588707497647699E-2</v>
      </c>
      <c r="Y8">
        <f>Y25</f>
        <v>4.9042507632629899E-2</v>
      </c>
      <c r="AA8" s="35">
        <v>0.16101199999999999</v>
      </c>
      <c r="AB8" s="35">
        <v>0.11508</v>
      </c>
    </row>
    <row r="9" spans="1:32" ht="17">
      <c r="A9" s="1" t="s">
        <v>53</v>
      </c>
      <c r="E9">
        <f>E8</f>
        <v>6.9772000000000001E-2</v>
      </c>
      <c r="I9">
        <f>I8</f>
        <v>4.7088999999999999E-2</v>
      </c>
      <c r="M9">
        <f>M8</f>
        <v>5.5099000000000002E-2</v>
      </c>
      <c r="Q9">
        <f>Q8</f>
        <v>5.4154000000000001E-2</v>
      </c>
      <c r="U9">
        <f>U8</f>
        <v>4.4588707497647699E-2</v>
      </c>
      <c r="Y9">
        <f>Y8</f>
        <v>4.9042507632629899E-2</v>
      </c>
      <c r="AA9" s="35">
        <v>0.16101199999999999</v>
      </c>
      <c r="AB9" s="35">
        <v>0.11508</v>
      </c>
      <c r="AC9">
        <v>0.1610122221982484</v>
      </c>
      <c r="AD9">
        <v>0.1610122221982484</v>
      </c>
      <c r="AE9">
        <v>0.11507963997265951</v>
      </c>
      <c r="AF9">
        <v>0.11507963997265951</v>
      </c>
    </row>
    <row r="10" spans="1:32">
      <c r="A10" s="1" t="s">
        <v>44</v>
      </c>
      <c r="B10" s="22">
        <f>AVERAGE(E10:AZ10)</f>
        <v>33.612642513294013</v>
      </c>
      <c r="C10" s="22">
        <f>STDEV(E10:AZ10)/SQRT(D10)</f>
        <v>1.8680753770908394</v>
      </c>
      <c r="D10" s="1">
        <f>COUNT(E10:AZ10)</f>
        <v>6</v>
      </c>
      <c r="E10" s="21">
        <f>E6*E7*(1-E8)/E8</f>
        <v>26.664793900131858</v>
      </c>
      <c r="I10" s="21">
        <f>I6*I7*(1-I8)/I8</f>
        <v>40.472764339867062</v>
      </c>
      <c r="M10" s="21">
        <f>M6*M7*(1-M8)/M8</f>
        <v>34.298299424671953</v>
      </c>
      <c r="Q10" s="21">
        <f>Q6*Q7*(1-Q8)/Q8</f>
        <v>34.931713262178228</v>
      </c>
      <c r="U10" s="21">
        <f>U6*U7*(1-U8)/U8</f>
        <v>34.283524995300859</v>
      </c>
      <c r="Y10" s="21">
        <f>Y6*Y7*(1-Y8)/Y8</f>
        <v>31.024759157614071</v>
      </c>
    </row>
    <row r="11" spans="1:32">
      <c r="A11" s="1"/>
    </row>
    <row r="12" spans="1:32">
      <c r="A12" s="1" t="s">
        <v>33</v>
      </c>
      <c r="E12" t="s">
        <v>39</v>
      </c>
      <c r="I12" t="s">
        <v>39</v>
      </c>
      <c r="M12" t="s">
        <v>39</v>
      </c>
      <c r="Q12" t="s">
        <v>39</v>
      </c>
      <c r="U12" t="s">
        <v>39</v>
      </c>
      <c r="Y12" t="s">
        <v>39</v>
      </c>
      <c r="AA12" t="s">
        <v>39</v>
      </c>
      <c r="AB12" t="s">
        <v>39</v>
      </c>
    </row>
    <row r="13" spans="1:32">
      <c r="A13" s="1" t="s">
        <v>45</v>
      </c>
      <c r="E13" t="s">
        <v>47</v>
      </c>
      <c r="I13" t="s">
        <v>47</v>
      </c>
      <c r="M13" t="s">
        <v>47</v>
      </c>
      <c r="Q13" t="s">
        <v>47</v>
      </c>
      <c r="U13" t="s">
        <v>85</v>
      </c>
      <c r="Y13" t="s">
        <v>85</v>
      </c>
      <c r="AA13" t="s">
        <v>47</v>
      </c>
      <c r="AB13" t="s">
        <v>47</v>
      </c>
    </row>
    <row r="14" spans="1:32" ht="136">
      <c r="A14" s="12" t="s">
        <v>31</v>
      </c>
      <c r="E14" s="11" t="s">
        <v>100</v>
      </c>
      <c r="I14" s="11" t="s">
        <v>100</v>
      </c>
      <c r="M14" s="11" t="s">
        <v>102</v>
      </c>
      <c r="Q14" s="11" t="s">
        <v>102</v>
      </c>
      <c r="U14" s="11" t="s">
        <v>103</v>
      </c>
      <c r="Y14" s="11" t="s">
        <v>103</v>
      </c>
      <c r="AA14" s="10" t="s">
        <v>288</v>
      </c>
      <c r="AB14" s="10" t="s">
        <v>288</v>
      </c>
    </row>
    <row r="16" spans="1:32">
      <c r="A16" s="1" t="s">
        <v>50</v>
      </c>
    </row>
    <row r="17" spans="1:32">
      <c r="B17" s="1" t="s">
        <v>5</v>
      </c>
      <c r="C17" s="1" t="s">
        <v>6</v>
      </c>
      <c r="D17" s="1" t="s">
        <v>55</v>
      </c>
    </row>
    <row r="18" spans="1:32">
      <c r="A18" s="1" t="s">
        <v>0</v>
      </c>
    </row>
    <row r="19" spans="1:32">
      <c r="A19" t="s">
        <v>60</v>
      </c>
      <c r="B19" s="3">
        <f>AVERAGE(E19/E$9,I19/I$9,M19/M$9,Q19/Q$9)</f>
        <v>4.7279587145348301E-2</v>
      </c>
      <c r="C19" s="3">
        <f>STDEV(E19/E$9,I19/I$9,M19/M$9,Q19/Q$9)/SQRT(D19)</f>
        <v>1.1719734699519502E-2</v>
      </c>
      <c r="D19">
        <f>COUNT(E19:AZ19)</f>
        <v>4</v>
      </c>
      <c r="E19">
        <v>1.5715E-3</v>
      </c>
      <c r="I19">
        <v>3.7133000000000001E-3</v>
      </c>
      <c r="M19">
        <v>2.5677999999999999E-3</v>
      </c>
      <c r="Q19">
        <v>2.2276000000000002E-3</v>
      </c>
    </row>
    <row r="20" spans="1:32">
      <c r="A20" t="s">
        <v>61</v>
      </c>
      <c r="B20" s="3">
        <f>AVERAGE(E20/E$9,I20/I$9,M20/M$9,Q20/Q$9)</f>
        <v>9.3401089460101935E-2</v>
      </c>
      <c r="C20" s="3">
        <f>STDEV(E20/E$9,I20/I$9,M20/M$9,Q20/Q$9)/SQRT(D20)</f>
        <v>2.7573954957447962E-2</v>
      </c>
      <c r="D20">
        <f t="shared" ref="D20:D33" si="0">COUNT(E20:AZ20)</f>
        <v>4</v>
      </c>
      <c r="E20">
        <v>5.0641000000000002E-3</v>
      </c>
      <c r="I20">
        <v>8.2783000000000006E-3</v>
      </c>
      <c r="M20">
        <v>3.5333000000000001E-3</v>
      </c>
      <c r="Q20">
        <v>3.3086000000000001E-3</v>
      </c>
    </row>
    <row r="21" spans="1:32">
      <c r="A21" t="s">
        <v>62</v>
      </c>
      <c r="B21" s="3">
        <f t="shared" ref="B21:B33" si="1">AVERAGE(E21/E$9,I21/I$9,M21/M$9,Q21/Q$9)</f>
        <v>9.5851213509088956E-2</v>
      </c>
      <c r="C21" s="3">
        <f t="shared" ref="C21:C33" si="2">STDEV(E21/E$9,I21/I$9,M21/M$9,Q21/Q$9)/SQRT(D21)</f>
        <v>1.0611912058141848E-2</v>
      </c>
      <c r="D21">
        <f t="shared" si="0"/>
        <v>4</v>
      </c>
      <c r="E21">
        <v>5.7386E-3</v>
      </c>
      <c r="I21">
        <v>5.9733E-3</v>
      </c>
      <c r="M21">
        <v>4.5158000000000004E-3</v>
      </c>
      <c r="Q21">
        <v>5.0010000000000002E-3</v>
      </c>
    </row>
    <row r="22" spans="1:32">
      <c r="A22" t="s">
        <v>63</v>
      </c>
      <c r="B22" s="3">
        <f t="shared" si="1"/>
        <v>4.6499527791584269E-2</v>
      </c>
      <c r="C22" s="3">
        <f t="shared" si="2"/>
        <v>1.0885413928916871E-2</v>
      </c>
      <c r="D22">
        <f t="shared" si="0"/>
        <v>4</v>
      </c>
      <c r="E22">
        <v>3.8113999999999999E-3</v>
      </c>
      <c r="I22">
        <v>3.3735000000000002E-3</v>
      </c>
      <c r="M22">
        <v>2.1540999999999999E-3</v>
      </c>
      <c r="Q22">
        <v>1.1175E-3</v>
      </c>
    </row>
    <row r="23" spans="1:32">
      <c r="A23" t="s">
        <v>64</v>
      </c>
      <c r="B23" s="3">
        <f t="shared" si="1"/>
        <v>0.22609600237714528</v>
      </c>
      <c r="C23" s="3">
        <f t="shared" si="2"/>
        <v>2.3086020375177079E-2</v>
      </c>
      <c r="D23">
        <f t="shared" si="0"/>
        <v>4</v>
      </c>
      <c r="E23">
        <v>1.1925E-2</v>
      </c>
      <c r="I23">
        <v>9.6548999999999992E-3</v>
      </c>
      <c r="M23">
        <v>1.4584E-2</v>
      </c>
      <c r="Q23">
        <v>1.4283000000000001E-2</v>
      </c>
    </row>
    <row r="24" spans="1:32">
      <c r="A24" t="s">
        <v>65</v>
      </c>
      <c r="B24" s="3">
        <f t="shared" si="1"/>
        <v>1.9584966995929849E-4</v>
      </c>
      <c r="C24" s="3">
        <f t="shared" si="2"/>
        <v>1.5754895345654308E-4</v>
      </c>
      <c r="D24">
        <f t="shared" si="0"/>
        <v>4</v>
      </c>
      <c r="E24">
        <v>0</v>
      </c>
      <c r="I24" s="15">
        <v>5.7904999999999999E-6</v>
      </c>
      <c r="M24" s="15">
        <v>3.6389E-5</v>
      </c>
      <c r="Q24">
        <v>0</v>
      </c>
    </row>
    <row r="25" spans="1:32">
      <c r="A25" t="s">
        <v>66</v>
      </c>
      <c r="B25" s="3">
        <f t="shared" si="1"/>
        <v>1</v>
      </c>
      <c r="C25" s="3">
        <f t="shared" si="2"/>
        <v>0</v>
      </c>
      <c r="D25">
        <f t="shared" si="0"/>
        <v>6</v>
      </c>
      <c r="E25">
        <v>6.9772000000000001E-2</v>
      </c>
      <c r="I25">
        <v>4.7088999999999999E-2</v>
      </c>
      <c r="M25">
        <v>5.5099000000000002E-2</v>
      </c>
      <c r="Q25">
        <v>5.4154000000000001E-2</v>
      </c>
      <c r="U25">
        <v>4.4588707497647699E-2</v>
      </c>
      <c r="Y25">
        <v>4.9042507632629899E-2</v>
      </c>
    </row>
    <row r="26" spans="1:32">
      <c r="A26" t="s">
        <v>67</v>
      </c>
      <c r="B26" s="3">
        <f t="shared" si="1"/>
        <v>0</v>
      </c>
      <c r="C26" s="3">
        <f t="shared" si="2"/>
        <v>0</v>
      </c>
      <c r="D26">
        <f t="shared" si="0"/>
        <v>4</v>
      </c>
      <c r="E26">
        <v>0</v>
      </c>
      <c r="I26">
        <v>0</v>
      </c>
      <c r="M26">
        <v>0</v>
      </c>
      <c r="Q26">
        <v>0</v>
      </c>
    </row>
    <row r="27" spans="1:32">
      <c r="A27" t="s">
        <v>71</v>
      </c>
      <c r="B27" s="3">
        <f t="shared" si="1"/>
        <v>6.0299977068164878E-3</v>
      </c>
      <c r="C27" s="3">
        <f t="shared" si="2"/>
        <v>6.0299977068164878E-3</v>
      </c>
      <c r="D27">
        <f t="shared" si="0"/>
        <v>4</v>
      </c>
      <c r="E27">
        <v>1.6829E-3</v>
      </c>
      <c r="I27">
        <v>0</v>
      </c>
      <c r="M27">
        <v>0</v>
      </c>
      <c r="Q27">
        <v>0</v>
      </c>
    </row>
    <row r="28" spans="1:32">
      <c r="A28" t="s">
        <v>72</v>
      </c>
      <c r="B28" s="3">
        <f t="shared" si="1"/>
        <v>1.6735144218340287E-2</v>
      </c>
      <c r="C28" s="3">
        <f t="shared" si="2"/>
        <v>1.6735144218340287E-2</v>
      </c>
      <c r="D28">
        <f t="shared" si="0"/>
        <v>4</v>
      </c>
      <c r="E28">
        <v>0</v>
      </c>
      <c r="I28">
        <v>0</v>
      </c>
      <c r="M28">
        <v>0</v>
      </c>
      <c r="Q28">
        <v>3.6251E-3</v>
      </c>
    </row>
    <row r="29" spans="1:32">
      <c r="A29" t="s">
        <v>69</v>
      </c>
      <c r="B29" s="3">
        <f t="shared" si="1"/>
        <v>4.9100738429794226E-2</v>
      </c>
      <c r="C29" s="3">
        <f t="shared" si="2"/>
        <v>1.8403677792406859E-2</v>
      </c>
      <c r="D29">
        <f t="shared" si="0"/>
        <v>4</v>
      </c>
      <c r="E29">
        <v>4.3819000000000002E-3</v>
      </c>
      <c r="I29">
        <v>4.4704000000000002E-3</v>
      </c>
      <c r="M29">
        <v>9.9247000000000007E-4</v>
      </c>
      <c r="Q29">
        <v>1.1184000000000001E-3</v>
      </c>
    </row>
    <row r="30" spans="1:32">
      <c r="A30" t="s">
        <v>68</v>
      </c>
      <c r="B30" s="3">
        <f>AVERAGE(AC30/AC9,AD30/AD9,AE30/AE9,AF30/AF9)</f>
        <v>0.14010425012171557</v>
      </c>
      <c r="C30" s="3">
        <f>STDEV(AC30/AC9,AD30/AD9,AE30/AE9,AF30/AF9)/SQRT(D30)</f>
        <v>9.2337710747453887E-3</v>
      </c>
      <c r="D30">
        <f t="shared" si="0"/>
        <v>4</v>
      </c>
      <c r="AC30">
        <v>2.1682356316365461E-2</v>
      </c>
      <c r="AD30">
        <v>1.9333186096222241E-2</v>
      </c>
      <c r="AE30">
        <v>1.8920615634891221E-2</v>
      </c>
      <c r="AF30">
        <v>1.625709174949639E-2</v>
      </c>
    </row>
    <row r="31" spans="1:32" s="54" customFormat="1">
      <c r="A31" s="54" t="s">
        <v>70</v>
      </c>
      <c r="B31" s="55">
        <f>AVERAGE(AA31/AA9,AB31/AB9)</f>
        <v>0</v>
      </c>
      <c r="C31" s="55">
        <f>STDEV(AA31/AA9,AB31/AB9)/SQRT(D31)</f>
        <v>0</v>
      </c>
      <c r="D31" s="54">
        <f t="shared" si="0"/>
        <v>2</v>
      </c>
      <c r="AA31" s="54">
        <v>0</v>
      </c>
      <c r="AB31" s="54">
        <v>0</v>
      </c>
    </row>
    <row r="32" spans="1:32">
      <c r="A32" t="s">
        <v>23</v>
      </c>
      <c r="B32" s="3">
        <f t="shared" si="1"/>
        <v>0</v>
      </c>
      <c r="C32" s="3">
        <f t="shared" si="2"/>
        <v>0</v>
      </c>
      <c r="D32">
        <f t="shared" si="0"/>
        <v>4</v>
      </c>
      <c r="E32">
        <v>0</v>
      </c>
      <c r="I32">
        <v>0</v>
      </c>
      <c r="M32">
        <v>0</v>
      </c>
      <c r="Q32">
        <v>0</v>
      </c>
    </row>
    <row r="33" spans="1:28">
      <c r="A33" t="s">
        <v>24</v>
      </c>
      <c r="B33" s="3">
        <f t="shared" si="1"/>
        <v>0</v>
      </c>
      <c r="C33" s="3">
        <f t="shared" si="2"/>
        <v>0</v>
      </c>
      <c r="D33">
        <f t="shared" si="0"/>
        <v>4</v>
      </c>
      <c r="E33">
        <v>0</v>
      </c>
      <c r="I33">
        <v>0</v>
      </c>
      <c r="M33">
        <v>0</v>
      </c>
      <c r="Q33">
        <v>0</v>
      </c>
    </row>
    <row r="36" spans="1:28">
      <c r="A36" s="1" t="s">
        <v>16</v>
      </c>
    </row>
    <row r="37" spans="1:28">
      <c r="A37" t="s">
        <v>7</v>
      </c>
      <c r="B37" s="3">
        <f>AVERAGE(E37/E$9,I37/I$9,M37/M$9,Q37/Q$9)</f>
        <v>6.4508944552148451E-2</v>
      </c>
      <c r="C37" s="3">
        <f>STDEV(E37/E$9,I37/I$9,M37/M$9,Q37/Q$9)/SQRT(D37)</f>
        <v>1.6806960474979742E-2</v>
      </c>
      <c r="D37">
        <f>COUNT(E37:AZ37)</f>
        <v>4</v>
      </c>
      <c r="E37">
        <v>3.6050000000000001E-3</v>
      </c>
      <c r="I37">
        <v>5.2347000000000001E-3</v>
      </c>
      <c r="M37">
        <v>3.4729000000000001E-3</v>
      </c>
      <c r="Q37">
        <v>1.7422E-3</v>
      </c>
    </row>
    <row r="38" spans="1:28">
      <c r="A38" t="s">
        <v>8</v>
      </c>
      <c r="B38" s="3">
        <f>AVERAGE(E38/E$9,I38/I$9,M38/M$9,Q38/Q$9,AA38/AA$9,AB38/AB$9)</f>
        <v>0.19223820576919737</v>
      </c>
      <c r="C38" s="3">
        <f>STDEV(E38/E$9,I38/I$9,M38/M$9,Q38/Q$9,AA38/AA$9,AB38/AB$9)/SQRT(D38)</f>
        <v>1.383602317638793E-2</v>
      </c>
      <c r="D38">
        <f t="shared" ref="D38:D51" si="3">COUNT(E38:AZ38)</f>
        <v>6</v>
      </c>
      <c r="E38">
        <v>9.0036999999999999E-3</v>
      </c>
      <c r="I38">
        <v>9.9416000000000001E-3</v>
      </c>
      <c r="M38">
        <v>1.2208999999999999E-2</v>
      </c>
      <c r="Q38">
        <v>1.1575999999999999E-2</v>
      </c>
      <c r="AA38">
        <v>2.9642999999999999E-2</v>
      </c>
      <c r="AB38">
        <v>2.2304000000000001E-2</v>
      </c>
    </row>
    <row r="39" spans="1:28">
      <c r="A39" t="s">
        <v>9</v>
      </c>
      <c r="B39" s="3">
        <f t="shared" ref="B39:B41" si="4">AVERAGE(E39/E$9,I39/I$9,M39/M$9,Q39/Q$9)</f>
        <v>0.15412532312261418</v>
      </c>
      <c r="C39" s="3">
        <f t="shared" ref="C39:C41" si="5">STDEV(E39/E$9,I39/I$9,M39/M$9,Q39/Q$9)/SQRT(D39)</f>
        <v>1.2933936714452832E-2</v>
      </c>
      <c r="D39">
        <f t="shared" si="3"/>
        <v>4</v>
      </c>
      <c r="E39">
        <v>8.4279000000000003E-3</v>
      </c>
      <c r="I39">
        <v>8.6493999999999998E-3</v>
      </c>
      <c r="M39">
        <v>8.7501000000000002E-3</v>
      </c>
      <c r="Q39">
        <v>8.2974999999999993E-3</v>
      </c>
    </row>
    <row r="40" spans="1:28">
      <c r="A40" t="s">
        <v>10</v>
      </c>
      <c r="B40" s="3">
        <f t="shared" si="4"/>
        <v>0.1062511246127131</v>
      </c>
      <c r="C40" s="3">
        <f t="shared" si="5"/>
        <v>1.2485495915306304E-2</v>
      </c>
      <c r="D40">
        <f t="shared" si="3"/>
        <v>4</v>
      </c>
      <c r="E40">
        <v>5.4299999999999999E-3</v>
      </c>
      <c r="I40">
        <v>6.5287000000000001E-3</v>
      </c>
      <c r="M40">
        <v>5.8347E-3</v>
      </c>
      <c r="Q40">
        <v>5.5583000000000004E-3</v>
      </c>
    </row>
    <row r="41" spans="1:28">
      <c r="A41" t="s">
        <v>11</v>
      </c>
      <c r="B41" s="3">
        <f t="shared" si="4"/>
        <v>0.18401062613678035</v>
      </c>
      <c r="C41" s="3">
        <f t="shared" si="5"/>
        <v>1.1087136408200578E-2</v>
      </c>
      <c r="D41">
        <f t="shared" si="3"/>
        <v>4</v>
      </c>
      <c r="E41">
        <v>1.0605E-2</v>
      </c>
      <c r="I41">
        <v>8.9793000000000008E-3</v>
      </c>
      <c r="M41">
        <v>1.1195E-2</v>
      </c>
      <c r="Q41">
        <v>1.0299000000000001E-2</v>
      </c>
    </row>
    <row r="42" spans="1:28">
      <c r="A42" t="s">
        <v>49</v>
      </c>
      <c r="B42" s="3" t="s">
        <v>30</v>
      </c>
      <c r="C42" s="3" t="s">
        <v>30</v>
      </c>
      <c r="D42">
        <f t="shared" si="3"/>
        <v>0</v>
      </c>
    </row>
    <row r="43" spans="1:28">
      <c r="A43" t="s">
        <v>12</v>
      </c>
      <c r="B43" s="3">
        <f>AVERAGE(E43/E$9,I43/I$9,M43/M$9,Q43/Q$9)</f>
        <v>0.12821159691561182</v>
      </c>
      <c r="C43" s="3">
        <f>STDEV(E43/E$9,I43/I$9,M43/M$9,Q43/Q$9)/SQRT(D43)</f>
        <v>1.2164626561744416E-2</v>
      </c>
      <c r="D43">
        <f t="shared" si="3"/>
        <v>4</v>
      </c>
      <c r="E43">
        <v>7.5399999999999998E-3</v>
      </c>
      <c r="I43">
        <v>7.7013000000000003E-3</v>
      </c>
      <c r="M43">
        <v>6.7403000000000003E-3</v>
      </c>
      <c r="Q43">
        <v>6.4390000000000003E-3</v>
      </c>
    </row>
    <row r="44" spans="1:28">
      <c r="A44" t="s">
        <v>13</v>
      </c>
      <c r="B44" s="3">
        <f>AVERAGE(E44/E$9,I44/I$9,M44/M$9,Q44/Q$9)</f>
        <v>0.15573742146757724</v>
      </c>
      <c r="C44" s="3">
        <f>STDEV(E44/E$9,I44/I$9,M44/M$9,Q44/Q$9)/SQRT(D44)</f>
        <v>1.136712852521019E-2</v>
      </c>
      <c r="D44">
        <f t="shared" si="3"/>
        <v>4</v>
      </c>
      <c r="E44">
        <v>8.8568999999999991E-3</v>
      </c>
      <c r="I44">
        <v>8.4790999999999998E-3</v>
      </c>
      <c r="M44">
        <v>9.1298999999999998E-3</v>
      </c>
      <c r="Q44">
        <v>8.1363000000000008E-3</v>
      </c>
    </row>
    <row r="45" spans="1:28">
      <c r="A45" t="s">
        <v>14</v>
      </c>
      <c r="B45" s="3">
        <f t="shared" ref="B45" si="6">AVERAGE(E45/E$9,I45/I$9,M45/M$9,Q45/Q$9)</f>
        <v>0.22114905423096973</v>
      </c>
      <c r="C45" s="3">
        <f t="shared" ref="C45" si="7">STDEV(E45/E$9,I45/I$9,M45/M$9,Q45/Q$9)/SQRT(D45)</f>
        <v>1.758342881678665E-2</v>
      </c>
      <c r="D45">
        <f t="shared" si="3"/>
        <v>4</v>
      </c>
      <c r="E45">
        <v>1.2232E-2</v>
      </c>
      <c r="I45">
        <v>1.2289E-2</v>
      </c>
      <c r="M45">
        <v>1.2262E-2</v>
      </c>
      <c r="Q45">
        <v>1.2226000000000001E-2</v>
      </c>
    </row>
    <row r="46" spans="1:28">
      <c r="A46" t="s">
        <v>56</v>
      </c>
      <c r="B46" s="3">
        <f>AVERAGE(E46/E$9,I46/I$9,M46/M$9,Q46/Q$9,AA46/AA$9,AB46/AB$9)</f>
        <v>0.11996903243879085</v>
      </c>
      <c r="C46" s="3">
        <f>STDEV(E46/E$9,I46/I$9,M46/M$9,Q46/Q$9,AA46/AA$9,AB46/AB$9)/SQRT(D46)</f>
        <v>1.715774292893648E-2</v>
      </c>
      <c r="D46">
        <f t="shared" si="3"/>
        <v>6</v>
      </c>
      <c r="E46">
        <v>9.1672000000000003E-3</v>
      </c>
      <c r="I46">
        <v>4.6686000000000002E-3</v>
      </c>
      <c r="M46">
        <v>5.7790000000000003E-3</v>
      </c>
      <c r="Q46">
        <v>5.6344999999999998E-3</v>
      </c>
      <c r="AA46">
        <v>1.3065E-2</v>
      </c>
      <c r="AB46">
        <v>2.2925000000000001E-2</v>
      </c>
    </row>
    <row r="47" spans="1:28">
      <c r="A47" t="s">
        <v>57</v>
      </c>
      <c r="B47" s="3" t="s">
        <v>30</v>
      </c>
      <c r="C47" s="3" t="s">
        <v>30</v>
      </c>
      <c r="D47">
        <f t="shared" si="3"/>
        <v>0</v>
      </c>
    </row>
    <row r="48" spans="1:28">
      <c r="A48" t="s">
        <v>15</v>
      </c>
      <c r="B48" s="3">
        <f t="shared" ref="B48" si="8">AVERAGE(E48/E$9,I48/I$9,M48/M$9,Q48/Q$9)</f>
        <v>0.12233628069873638</v>
      </c>
      <c r="C48" s="3">
        <f t="shared" ref="C48" si="9">STDEV(E48/E$9,I48/I$9,M48/M$9,Q48/Q$9)/SQRT(D48)</f>
        <v>2.2059720586352364E-2</v>
      </c>
      <c r="D48">
        <f t="shared" si="3"/>
        <v>4</v>
      </c>
      <c r="E48">
        <v>5.3895999999999996E-3</v>
      </c>
      <c r="I48">
        <v>8.5515000000000001E-3</v>
      </c>
      <c r="M48">
        <v>6.8919000000000003E-3</v>
      </c>
      <c r="Q48">
        <v>5.7086000000000003E-3</v>
      </c>
    </row>
    <row r="49" spans="1:28" s="44" customFormat="1">
      <c r="A49" s="44" t="s">
        <v>22</v>
      </c>
      <c r="B49" s="46">
        <f>AVERAGE(AA49/AA$9,AB49/AB$9)</f>
        <v>0.13788453935185982</v>
      </c>
      <c r="C49" s="46">
        <f>STDEV(AA49/AA$9,AB49/AB$9)/SQRT(D49)</f>
        <v>1.8806458215050153E-2</v>
      </c>
      <c r="D49" s="44">
        <f>COUNT(E49:AZ49)</f>
        <v>2</v>
      </c>
      <c r="AA49" s="44">
        <v>1.9172999999999999E-2</v>
      </c>
      <c r="AB49" s="44">
        <v>1.8031999999999999E-2</v>
      </c>
    </row>
    <row r="50" spans="1:28">
      <c r="A50" t="s">
        <v>59</v>
      </c>
      <c r="B50" s="3" t="s">
        <v>30</v>
      </c>
      <c r="C50" s="3" t="s">
        <v>30</v>
      </c>
      <c r="D50">
        <f t="shared" si="3"/>
        <v>0</v>
      </c>
    </row>
    <row r="51" spans="1:28">
      <c r="A51" t="s">
        <v>58</v>
      </c>
      <c r="B51" s="3" t="s">
        <v>30</v>
      </c>
      <c r="C51" s="3" t="s">
        <v>30</v>
      </c>
      <c r="D51">
        <f t="shared" si="3"/>
        <v>0</v>
      </c>
    </row>
    <row r="53" spans="1:28">
      <c r="A53" s="1" t="s">
        <v>17</v>
      </c>
    </row>
    <row r="54" spans="1:28">
      <c r="A54" t="s">
        <v>7</v>
      </c>
      <c r="B54" s="3">
        <f>AVERAGE(E54/E$9,I54/I$9,M54/M$9,Q54/Q$9)</f>
        <v>5.5392188664646035E-2</v>
      </c>
      <c r="C54" s="3">
        <f>STDEV(E54/E$9,I54/I$9,M54/M$9,Q54/Q$9)/SQRT(D54)</f>
        <v>1.3488153173836536E-2</v>
      </c>
      <c r="D54">
        <f>COUNT(E54:AZ54)</f>
        <v>4</v>
      </c>
      <c r="E54">
        <v>2.3779999999999999E-3</v>
      </c>
      <c r="I54">
        <v>4.4361000000000001E-3</v>
      </c>
      <c r="M54">
        <v>2.8941000000000001E-3</v>
      </c>
      <c r="Q54">
        <v>2.2070000000000002E-3</v>
      </c>
    </row>
    <row r="55" spans="1:28">
      <c r="A55" t="s">
        <v>8</v>
      </c>
      <c r="B55" s="3">
        <f>AVERAGE(E55/E$9,I55/I$9,M55/M$9,Q55/Q$9,AA55/AA$9,AB55/AB$9)</f>
        <v>0.18572060883813601</v>
      </c>
      <c r="C55" s="3">
        <f>STDEV(E55/E$9,I55/I$9,M55/M$9,Q55/Q$9,AA55/AA$9,AB55/AB$9)/SQRT(D55)</f>
        <v>1.3105699967361781E-2</v>
      </c>
      <c r="D55">
        <f t="shared" ref="D55:D68" si="10">COUNT(E55:AZ55)</f>
        <v>6</v>
      </c>
      <c r="E55">
        <v>9.0115999999999998E-3</v>
      </c>
      <c r="I55">
        <v>7.9257000000000008E-3</v>
      </c>
      <c r="M55">
        <v>1.1821E-2</v>
      </c>
      <c r="Q55">
        <v>1.0363000000000001E-2</v>
      </c>
      <c r="AA55">
        <v>3.2772000000000003E-2</v>
      </c>
      <c r="AB55">
        <v>2.3869000000000001E-2</v>
      </c>
    </row>
    <row r="56" spans="1:28">
      <c r="A56" t="s">
        <v>9</v>
      </c>
      <c r="B56" s="3">
        <f t="shared" ref="B56:B58" si="11">AVERAGE(E56/E$9,I56/I$9,M56/M$9,Q56/Q$9)</f>
        <v>0.17359946096625009</v>
      </c>
      <c r="C56" s="3">
        <f t="shared" ref="C56:C58" si="12">STDEV(E56/E$9,I56/I$9,M56/M$9,Q56/Q$9)/SQRT(D56)</f>
        <v>1.6242493348148229E-2</v>
      </c>
      <c r="D56">
        <f t="shared" si="10"/>
        <v>4</v>
      </c>
      <c r="E56">
        <v>9.1611000000000001E-3</v>
      </c>
      <c r="I56">
        <v>9.9115000000000002E-3</v>
      </c>
      <c r="M56">
        <v>9.6670999999999997E-3</v>
      </c>
      <c r="Q56">
        <v>9.5940999999999995E-3</v>
      </c>
    </row>
    <row r="57" spans="1:28">
      <c r="A57" t="s">
        <v>10</v>
      </c>
      <c r="B57" s="3">
        <f t="shared" si="11"/>
        <v>0.10465410014983037</v>
      </c>
      <c r="C57" s="3">
        <f t="shared" si="12"/>
        <v>9.1373027679220453E-3</v>
      </c>
      <c r="D57">
        <f t="shared" si="10"/>
        <v>4</v>
      </c>
      <c r="E57">
        <v>6.1048999999999999E-3</v>
      </c>
      <c r="I57">
        <v>5.8114000000000004E-3</v>
      </c>
      <c r="M57">
        <v>6.4555999999999997E-3</v>
      </c>
      <c r="Q57">
        <v>4.9031999999999999E-3</v>
      </c>
    </row>
    <row r="58" spans="1:28">
      <c r="A58" t="s">
        <v>11</v>
      </c>
      <c r="B58" s="3">
        <f t="shared" si="11"/>
        <v>0.18656470603831116</v>
      </c>
      <c r="C58" s="3">
        <f t="shared" si="12"/>
        <v>1.3039859083400534E-2</v>
      </c>
      <c r="D58">
        <f t="shared" si="10"/>
        <v>4</v>
      </c>
      <c r="E58">
        <v>1.0437E-2</v>
      </c>
      <c r="I58">
        <v>9.9226000000000002E-3</v>
      </c>
      <c r="M58">
        <v>1.0739E-2</v>
      </c>
      <c r="Q58">
        <v>1.0345999999999999E-2</v>
      </c>
    </row>
    <row r="59" spans="1:28">
      <c r="A59" t="s">
        <v>49</v>
      </c>
      <c r="B59" s="3" t="s">
        <v>30</v>
      </c>
      <c r="C59" s="3" t="s">
        <v>30</v>
      </c>
      <c r="D59">
        <f t="shared" si="10"/>
        <v>0</v>
      </c>
    </row>
    <row r="60" spans="1:28">
      <c r="A60" t="s">
        <v>12</v>
      </c>
      <c r="B60" s="3">
        <f>AVERAGE(E60/E$9,I60/I$9,M60/M$9,Q60/Q$9)</f>
        <v>0.10672241585246123</v>
      </c>
      <c r="C60" s="3">
        <f>STDEV(E60/E$9,I60/I$9,M60/M$9,Q60/Q$9)/SQRT(D60)</f>
        <v>1.2564626336278752E-2</v>
      </c>
      <c r="D60">
        <f t="shared" si="10"/>
        <v>4</v>
      </c>
      <c r="E60">
        <v>8.2509999999999997E-3</v>
      </c>
      <c r="I60">
        <v>4.5732000000000004E-3</v>
      </c>
      <c r="M60">
        <v>7.4180000000000001E-3</v>
      </c>
      <c r="Q60">
        <v>4.1635999999999999E-3</v>
      </c>
    </row>
    <row r="61" spans="1:28">
      <c r="A61" t="s">
        <v>13</v>
      </c>
      <c r="B61" s="3">
        <f>AVERAGE(E61/E$9,I61/I$9,M61/M$9,Q61/Q$9)</f>
        <v>0.15426639681824936</v>
      </c>
      <c r="C61" s="3">
        <f>STDEV(E61/E$9,I61/I$9,M61/M$9,Q61/Q$9)/SQRT(D61)</f>
        <v>1.7262953811481348E-2</v>
      </c>
      <c r="D61">
        <f t="shared" si="10"/>
        <v>4</v>
      </c>
      <c r="E61">
        <v>7.3937999999999999E-3</v>
      </c>
      <c r="I61">
        <v>7.3730999999999996E-3</v>
      </c>
      <c r="M61">
        <v>1.0291E-2</v>
      </c>
      <c r="Q61">
        <v>9.0840000000000001E-3</v>
      </c>
    </row>
    <row r="62" spans="1:28">
      <c r="A62" t="s">
        <v>14</v>
      </c>
      <c r="B62" s="3">
        <f t="shared" ref="B62" si="13">AVERAGE(E62/E$9,I62/I$9,M62/M$9,Q62/Q$9)</f>
        <v>0.2462153699407395</v>
      </c>
      <c r="C62" s="3">
        <f t="shared" ref="C62" si="14">STDEV(E62/E$9,I62/I$9,M62/M$9,Q62/Q$9)/SQRT(D62)</f>
        <v>1.7137054721145004E-2</v>
      </c>
      <c r="D62">
        <f t="shared" si="10"/>
        <v>4</v>
      </c>
      <c r="E62">
        <v>1.4430999999999999E-2</v>
      </c>
      <c r="I62">
        <v>1.3679E-2</v>
      </c>
      <c r="M62">
        <v>1.3402000000000001E-2</v>
      </c>
      <c r="Q62">
        <v>1.323E-2</v>
      </c>
    </row>
    <row r="63" spans="1:28">
      <c r="A63" t="s">
        <v>56</v>
      </c>
      <c r="B63" s="3">
        <f>AVERAGE(E63/E$9,I63/I$9,M63/M$9,Q63/Q$9,AA63/AA$9,AB63/AB$9)</f>
        <v>9.0960068891268064E-2</v>
      </c>
      <c r="C63" s="3">
        <f>STDEV(E63/E$9,I63/I$9,M63/M$9,Q63/Q$9,AA63/AA$9,AB63/AB$9)/SQRT(D63)</f>
        <v>3.2496468934343804E-2</v>
      </c>
      <c r="D63">
        <f t="shared" si="10"/>
        <v>6</v>
      </c>
      <c r="E63">
        <v>1.102E-2</v>
      </c>
      <c r="I63">
        <v>1.5364E-4</v>
      </c>
      <c r="M63">
        <v>3.0701999999999999E-3</v>
      </c>
      <c r="Q63">
        <v>1.9875000000000001E-3</v>
      </c>
      <c r="AA63">
        <v>1.2572E-2</v>
      </c>
      <c r="AB63">
        <v>2.4632999999999999E-2</v>
      </c>
    </row>
    <row r="64" spans="1:28">
      <c r="A64" t="s">
        <v>57</v>
      </c>
      <c r="B64" s="3" t="s">
        <v>30</v>
      </c>
      <c r="C64" s="3" t="s">
        <v>30</v>
      </c>
      <c r="D64">
        <f t="shared" si="10"/>
        <v>0</v>
      </c>
    </row>
    <row r="65" spans="1:28">
      <c r="A65" t="s">
        <v>15</v>
      </c>
      <c r="B65" s="3">
        <f t="shared" ref="B65" si="15">AVERAGE(E65/E$9,I65/I$9,M65/M$9,Q65/Q$9)</f>
        <v>0.12351968564918037</v>
      </c>
      <c r="C65" s="3">
        <f t="shared" ref="C65" si="16">STDEV(E65/E$9,I65/I$9,M65/M$9,Q65/Q$9)/SQRT(D65)</f>
        <v>1.9194616103613869E-2</v>
      </c>
      <c r="D65">
        <f t="shared" si="10"/>
        <v>4</v>
      </c>
      <c r="E65">
        <v>5.7727000000000004E-3</v>
      </c>
      <c r="I65">
        <v>8.2524E-3</v>
      </c>
      <c r="M65">
        <v>6.3220000000000004E-3</v>
      </c>
      <c r="Q65">
        <v>6.5716999999999998E-3</v>
      </c>
    </row>
    <row r="66" spans="1:28">
      <c r="A66" t="s">
        <v>22</v>
      </c>
      <c r="B66" s="3">
        <f>AVERAGE(AA66/AA$9,AB66/AB$9)</f>
        <v>0.13654841579823052</v>
      </c>
      <c r="C66" s="3">
        <f>STDEV(AA66/AA$9,AB66/AB$9)/SQRT(D66)</f>
        <v>1.478109410792168E-2</v>
      </c>
      <c r="D66">
        <f>COUNT(E66:AZ66)</f>
        <v>2</v>
      </c>
      <c r="AA66">
        <v>1.9605999999999998E-2</v>
      </c>
      <c r="AB66">
        <v>1.7415E-2</v>
      </c>
    </row>
    <row r="67" spans="1:28">
      <c r="A67" t="s">
        <v>59</v>
      </c>
      <c r="B67" s="3" t="s">
        <v>30</v>
      </c>
      <c r="C67" s="3" t="s">
        <v>30</v>
      </c>
      <c r="D67">
        <f t="shared" si="10"/>
        <v>0</v>
      </c>
    </row>
    <row r="68" spans="1:28">
      <c r="A68" t="s">
        <v>58</v>
      </c>
      <c r="B68" s="3" t="s">
        <v>30</v>
      </c>
      <c r="C68" s="3" t="s">
        <v>30</v>
      </c>
      <c r="D68">
        <f t="shared" si="10"/>
        <v>0</v>
      </c>
    </row>
    <row r="81" spans="1:16">
      <c r="A81" s="1" t="s">
        <v>32</v>
      </c>
      <c r="E81" s="74">
        <v>43434</v>
      </c>
      <c r="I81" s="74">
        <v>43496</v>
      </c>
      <c r="M81" s="74">
        <v>43496</v>
      </c>
    </row>
    <row r="82" spans="1:16">
      <c r="A82" s="1" t="s">
        <v>33</v>
      </c>
      <c r="E82" s="75" t="s">
        <v>39</v>
      </c>
      <c r="I82" s="75" t="s">
        <v>39</v>
      </c>
      <c r="M82" s="75" t="s">
        <v>39</v>
      </c>
    </row>
    <row r="83" spans="1:16">
      <c r="A83" s="1" t="s">
        <v>34</v>
      </c>
      <c r="E83" s="79" t="s">
        <v>75</v>
      </c>
      <c r="I83" s="79" t="s">
        <v>40</v>
      </c>
      <c r="M83" s="79" t="s">
        <v>73</v>
      </c>
    </row>
    <row r="84" spans="1:16">
      <c r="A84" s="1" t="s">
        <v>35</v>
      </c>
      <c r="E84" s="75" t="s">
        <v>52</v>
      </c>
      <c r="I84" s="75" t="s">
        <v>52</v>
      </c>
      <c r="M84" s="75" t="s">
        <v>52</v>
      </c>
    </row>
    <row r="85" spans="1:16">
      <c r="A85" s="1" t="s">
        <v>36</v>
      </c>
      <c r="E85" s="75" t="s">
        <v>101</v>
      </c>
      <c r="I85" s="75" t="s">
        <v>101</v>
      </c>
      <c r="M85" s="75" t="s">
        <v>101</v>
      </c>
    </row>
    <row r="86" spans="1:16">
      <c r="A86" s="1" t="s">
        <v>37</v>
      </c>
      <c r="E86" s="44">
        <v>8</v>
      </c>
      <c r="I86" s="44">
        <v>8</v>
      </c>
      <c r="M86" s="44">
        <v>8</v>
      </c>
    </row>
    <row r="87" spans="1:16">
      <c r="A87" s="1" t="s">
        <v>38</v>
      </c>
      <c r="E87" s="44">
        <v>0.4</v>
      </c>
      <c r="I87" s="44">
        <v>0.4</v>
      </c>
      <c r="M87" s="44">
        <v>0.5</v>
      </c>
    </row>
    <row r="88" spans="1:16">
      <c r="A88" s="1" t="s">
        <v>43</v>
      </c>
      <c r="E88">
        <f>E105</f>
        <v>0.12945999999999999</v>
      </c>
      <c r="I88">
        <f>I105</f>
        <v>0.11007</v>
      </c>
      <c r="M88">
        <f>M105</f>
        <v>0.14152999999999999</v>
      </c>
    </row>
    <row r="89" spans="1:16">
      <c r="A89" s="1" t="s">
        <v>54</v>
      </c>
      <c r="E89">
        <f>E88</f>
        <v>0.12945999999999999</v>
      </c>
      <c r="I89">
        <f>I88</f>
        <v>0.11007</v>
      </c>
      <c r="M89">
        <f>M88</f>
        <v>0.14152999999999999</v>
      </c>
    </row>
    <row r="90" spans="1:16">
      <c r="A90" s="1" t="s">
        <v>44</v>
      </c>
      <c r="B90" s="22">
        <f>AVERAGE(E90:AZ90)</f>
        <v>23.88434242479704</v>
      </c>
      <c r="C90" s="22">
        <f>STDEV(E90:AZ90)/SQRT(D90)</f>
        <v>1.2711378599125898</v>
      </c>
      <c r="D90" s="1">
        <f>COUNT(E90:AZ90)</f>
        <v>3</v>
      </c>
      <c r="E90" s="21">
        <f>E86*E87*(1-E88)/E88</f>
        <v>21.518059632318867</v>
      </c>
      <c r="I90" s="21">
        <f>I86*I87*(1-I88)/I88</f>
        <v>25.872408467338968</v>
      </c>
      <c r="M90" s="21">
        <f>M86*M87*(1-M88)/M88</f>
        <v>24.262559174733276</v>
      </c>
    </row>
    <row r="91" spans="1:16">
      <c r="A91" s="1"/>
    </row>
    <row r="92" spans="1:16">
      <c r="A92" s="1" t="s">
        <v>33</v>
      </c>
      <c r="E92" t="s">
        <v>39</v>
      </c>
      <c r="F92" t="s">
        <v>113</v>
      </c>
      <c r="G92" t="s">
        <v>39</v>
      </c>
      <c r="I92" t="s">
        <v>39</v>
      </c>
      <c r="J92" t="s">
        <v>113</v>
      </c>
      <c r="K92" t="s">
        <v>113</v>
      </c>
      <c r="L92" t="s">
        <v>39</v>
      </c>
      <c r="M92" t="s">
        <v>39</v>
      </c>
      <c r="N92" t="s">
        <v>113</v>
      </c>
      <c r="O92" t="s">
        <v>113</v>
      </c>
      <c r="P92" t="s">
        <v>39</v>
      </c>
    </row>
    <row r="93" spans="1:16">
      <c r="A93" s="1" t="s">
        <v>45</v>
      </c>
      <c r="E93" t="s">
        <v>47</v>
      </c>
      <c r="G93" t="s">
        <v>85</v>
      </c>
      <c r="I93" t="s">
        <v>106</v>
      </c>
      <c r="L93" t="s">
        <v>85</v>
      </c>
      <c r="M93" t="s">
        <v>106</v>
      </c>
      <c r="P93" t="s">
        <v>85</v>
      </c>
    </row>
    <row r="94" spans="1:16" ht="51">
      <c r="A94" s="12" t="s">
        <v>31</v>
      </c>
      <c r="E94" s="11" t="s">
        <v>104</v>
      </c>
      <c r="F94" s="47">
        <v>43672</v>
      </c>
      <c r="G94" s="10" t="s">
        <v>279</v>
      </c>
      <c r="I94" s="11" t="s">
        <v>105</v>
      </c>
      <c r="J94" s="47">
        <v>43672</v>
      </c>
      <c r="K94" s="47">
        <v>43672</v>
      </c>
      <c r="L94" s="10" t="s">
        <v>279</v>
      </c>
      <c r="M94" s="11" t="s">
        <v>105</v>
      </c>
      <c r="N94" s="47">
        <v>43672</v>
      </c>
      <c r="O94" s="47">
        <v>43672</v>
      </c>
      <c r="P94" s="10" t="s">
        <v>279</v>
      </c>
    </row>
    <row r="96" spans="1:16">
      <c r="A96" s="1" t="s">
        <v>50</v>
      </c>
      <c r="J96" t="s">
        <v>261</v>
      </c>
      <c r="K96" t="s">
        <v>262</v>
      </c>
      <c r="N96" t="s">
        <v>261</v>
      </c>
      <c r="O96" t="s">
        <v>262</v>
      </c>
    </row>
    <row r="97" spans="1:16">
      <c r="B97" s="1" t="s">
        <v>5</v>
      </c>
      <c r="C97" s="1" t="s">
        <v>6</v>
      </c>
      <c r="D97" s="1" t="s">
        <v>55</v>
      </c>
    </row>
    <row r="98" spans="1:16">
      <c r="A98" s="1" t="s">
        <v>0</v>
      </c>
    </row>
    <row r="99" spans="1:16">
      <c r="A99" t="s">
        <v>60</v>
      </c>
      <c r="B99">
        <f>AVERAGE(E99/E$89,I99/I$89,M99/M$89)</f>
        <v>2.5233255484560044E-2</v>
      </c>
      <c r="C99">
        <f>STDEV(E99/E$89,I99/I$89,M99/M$89)/SQRT(D99)</f>
        <v>6.914697020736685E-3</v>
      </c>
      <c r="D99">
        <f>COUNT(E99:AZ99)</f>
        <v>3</v>
      </c>
      <c r="E99">
        <v>1.8297000000000001E-3</v>
      </c>
      <c r="I99">
        <v>2.6020000000000001E-3</v>
      </c>
      <c r="M99">
        <v>5.3677999999999998E-3</v>
      </c>
    </row>
    <row r="100" spans="1:16">
      <c r="A100" t="s">
        <v>61</v>
      </c>
      <c r="B100">
        <f>AVERAGE(E100/E$89,I100/I$89,M100/M$89)</f>
        <v>2.6423630581697926E-2</v>
      </c>
      <c r="C100">
        <f>STDEV(E100/E$89,I100/I$89,M100/M$89)/SQRT(D100)</f>
        <v>6.3613878176124539E-3</v>
      </c>
      <c r="D100">
        <f t="shared" ref="D100:D113" si="17">COUNT(E100:AZ100)</f>
        <v>3</v>
      </c>
      <c r="E100">
        <v>2.0444999999999999E-3</v>
      </c>
      <c r="I100">
        <v>2.8273E-3</v>
      </c>
      <c r="M100">
        <v>5.3486999999999996E-3</v>
      </c>
    </row>
    <row r="101" spans="1:16">
      <c r="A101" t="s">
        <v>62</v>
      </c>
      <c r="B101">
        <f t="shared" ref="B101:B109" si="18">AVERAGE(E101/E$89,I101/I$89,M101/M$89)</f>
        <v>7.811570688013314E-2</v>
      </c>
      <c r="C101">
        <f t="shared" ref="C101:C109" si="19">STDEV(E101/E$89,I101/I$89,M101/M$89)/SQRT(D101)</f>
        <v>1.6866608637548897E-2</v>
      </c>
      <c r="D101">
        <f t="shared" si="17"/>
        <v>3</v>
      </c>
      <c r="E101">
        <v>5.7527000000000003E-3</v>
      </c>
      <c r="I101">
        <v>1.0633E-2</v>
      </c>
      <c r="M101">
        <v>1.3206000000000001E-2</v>
      </c>
    </row>
    <row r="102" spans="1:16">
      <c r="A102" t="s">
        <v>63</v>
      </c>
      <c r="B102">
        <f t="shared" si="18"/>
        <v>5.9410774528008518E-3</v>
      </c>
      <c r="C102">
        <f t="shared" si="19"/>
        <v>2.7904408724341262E-3</v>
      </c>
      <c r="D102">
        <f t="shared" ref="D102:D109" si="20">COUNT(E102:AZ102)</f>
        <v>3</v>
      </c>
      <c r="E102">
        <v>1.4672000000000001E-3</v>
      </c>
      <c r="I102">
        <v>2.2000000000000001E-4</v>
      </c>
      <c r="M102">
        <v>6.3564999999999997E-4</v>
      </c>
    </row>
    <row r="103" spans="1:16">
      <c r="A103" t="s">
        <v>64</v>
      </c>
      <c r="B103">
        <f t="shared" si="18"/>
        <v>0.14965176124734306</v>
      </c>
      <c r="C103">
        <f t="shared" si="19"/>
        <v>1.7206342687930663E-2</v>
      </c>
      <c r="D103">
        <f t="shared" si="20"/>
        <v>3</v>
      </c>
      <c r="E103">
        <v>1.5963000000000001E-2</v>
      </c>
      <c r="I103">
        <v>1.5812E-2</v>
      </c>
      <c r="M103">
        <v>2.5758E-2</v>
      </c>
    </row>
    <row r="104" spans="1:16">
      <c r="A104" t="s">
        <v>65</v>
      </c>
      <c r="B104">
        <f t="shared" si="18"/>
        <v>1.3612643945668801E-3</v>
      </c>
      <c r="C104">
        <f t="shared" si="19"/>
        <v>1.0628484849174711E-3</v>
      </c>
      <c r="D104">
        <f t="shared" si="20"/>
        <v>3</v>
      </c>
      <c r="E104">
        <v>4.5026000000000002E-4</v>
      </c>
      <c r="I104" s="15">
        <v>5.1941999999999998E-5</v>
      </c>
      <c r="M104" s="15">
        <v>1.8952000000000001E-5</v>
      </c>
    </row>
    <row r="105" spans="1:16">
      <c r="A105" t="s">
        <v>66</v>
      </c>
      <c r="B105">
        <f t="shared" si="18"/>
        <v>1</v>
      </c>
      <c r="C105">
        <f t="shared" si="19"/>
        <v>0</v>
      </c>
      <c r="D105">
        <f t="shared" si="20"/>
        <v>3</v>
      </c>
      <c r="E105">
        <v>0.12945999999999999</v>
      </c>
      <c r="I105">
        <v>0.11007</v>
      </c>
      <c r="M105">
        <v>0.14152999999999999</v>
      </c>
    </row>
    <row r="106" spans="1:16">
      <c r="A106" t="s">
        <v>67</v>
      </c>
      <c r="B106">
        <f t="shared" si="18"/>
        <v>0</v>
      </c>
      <c r="C106">
        <f t="shared" si="19"/>
        <v>0</v>
      </c>
      <c r="D106">
        <f t="shared" si="20"/>
        <v>3</v>
      </c>
      <c r="E106">
        <v>0</v>
      </c>
      <c r="I106">
        <v>0</v>
      </c>
      <c r="M106">
        <v>0</v>
      </c>
    </row>
    <row r="107" spans="1:16">
      <c r="A107" t="s">
        <v>71</v>
      </c>
      <c r="B107">
        <f t="shared" si="18"/>
        <v>0</v>
      </c>
      <c r="C107">
        <f t="shared" si="19"/>
        <v>0</v>
      </c>
      <c r="D107">
        <f t="shared" si="20"/>
        <v>3</v>
      </c>
      <c r="E107">
        <v>0</v>
      </c>
      <c r="I107">
        <v>0</v>
      </c>
      <c r="M107">
        <v>0</v>
      </c>
    </row>
    <row r="108" spans="1:16">
      <c r="A108" t="s">
        <v>72</v>
      </c>
      <c r="B108">
        <f t="shared" si="18"/>
        <v>0</v>
      </c>
      <c r="C108">
        <f t="shared" si="19"/>
        <v>0</v>
      </c>
      <c r="D108">
        <f t="shared" si="20"/>
        <v>3</v>
      </c>
      <c r="E108">
        <v>0</v>
      </c>
      <c r="I108">
        <v>0</v>
      </c>
      <c r="M108">
        <v>0</v>
      </c>
    </row>
    <row r="109" spans="1:16">
      <c r="A109" t="s">
        <v>69</v>
      </c>
      <c r="B109">
        <f t="shared" si="18"/>
        <v>2.493733629547994E-2</v>
      </c>
      <c r="C109">
        <f t="shared" si="19"/>
        <v>1.2777889619455389E-2</v>
      </c>
      <c r="D109">
        <f t="shared" si="20"/>
        <v>3</v>
      </c>
      <c r="E109">
        <v>0</v>
      </c>
      <c r="I109">
        <v>3.5845999999999999E-3</v>
      </c>
      <c r="M109">
        <v>5.9789999999999999E-3</v>
      </c>
    </row>
    <row r="110" spans="1:16">
      <c r="A110" t="s">
        <v>68</v>
      </c>
      <c r="B110" s="3">
        <f>AVERAGE(F110/E89,AVERAGE(J110/I89,K110/I89),AVERAGE(N110/M89,O110/M89))</f>
        <v>5.4866806194534878E-2</v>
      </c>
      <c r="C110" s="3">
        <f>STDEV(F110/E89,AVERAGE(J110/I89,K110/I89),AVERAGE(N110/M89,O110/M89))/SQRT(D110)</f>
        <v>1.3492659757080425E-2</v>
      </c>
      <c r="D110">
        <v>3</v>
      </c>
      <c r="F110">
        <v>4.3954768713268359E-3</v>
      </c>
      <c r="J110">
        <v>5.6873251536154858E-3</v>
      </c>
      <c r="K110">
        <v>5.4420583992367804E-3</v>
      </c>
      <c r="N110">
        <v>1.0328313821446561E-2</v>
      </c>
      <c r="O110">
        <v>1.2342553150114221E-2</v>
      </c>
    </row>
    <row r="111" spans="1:16">
      <c r="A111" t="s">
        <v>70</v>
      </c>
      <c r="B111" s="3">
        <f>AVERAGE(G111/E89,L111/I89,P111/M89)</f>
        <v>0</v>
      </c>
      <c r="C111" s="3">
        <f>STDEV(G111/E89,L111/I89,P111/M89)/SQRT(D111)</f>
        <v>0</v>
      </c>
      <c r="D111">
        <f t="shared" si="17"/>
        <v>3</v>
      </c>
      <c r="G111">
        <v>0</v>
      </c>
      <c r="L111">
        <v>0</v>
      </c>
      <c r="P111">
        <v>0</v>
      </c>
    </row>
    <row r="112" spans="1:16">
      <c r="A112" t="s">
        <v>23</v>
      </c>
      <c r="B112">
        <f t="shared" ref="B112:B113" si="21">AVERAGE(E112/E$89,I112/I$89,M112/M$89)</f>
        <v>0</v>
      </c>
      <c r="C112">
        <f t="shared" ref="C112:C113" si="22">STDEV(E112/E$89,I112/I$89,M112/M$89)/SQRT(D112)</f>
        <v>0</v>
      </c>
      <c r="D112">
        <f t="shared" si="17"/>
        <v>3</v>
      </c>
      <c r="E112">
        <v>0</v>
      </c>
      <c r="I112">
        <v>0</v>
      </c>
      <c r="M112">
        <v>0</v>
      </c>
    </row>
    <row r="113" spans="1:13">
      <c r="A113" t="s">
        <v>24</v>
      </c>
      <c r="B113">
        <f t="shared" si="21"/>
        <v>0</v>
      </c>
      <c r="C113">
        <f t="shared" si="22"/>
        <v>0</v>
      </c>
      <c r="D113">
        <f t="shared" si="17"/>
        <v>3</v>
      </c>
      <c r="E113">
        <v>0</v>
      </c>
      <c r="I113">
        <v>0</v>
      </c>
      <c r="M113">
        <v>0</v>
      </c>
    </row>
    <row r="116" spans="1:13">
      <c r="A116" s="1" t="s">
        <v>16</v>
      </c>
    </row>
    <row r="117" spans="1:13">
      <c r="A117" t="s">
        <v>7</v>
      </c>
      <c r="B117">
        <f>AVERAGE(E117/E$89,I117/I$89,M117/M$89)</f>
        <v>2.8706376953527762E-2</v>
      </c>
      <c r="C117">
        <f>STDEV(E117/E$89,I117/I$89,M117/M$89)/SQRT(D117)</f>
        <v>9.2714053365257586E-3</v>
      </c>
      <c r="D117">
        <f>COUNT(E117:AZ117)</f>
        <v>3</v>
      </c>
      <c r="E117">
        <v>2.0209999999999998E-3</v>
      </c>
      <c r="I117">
        <v>2.6289999999999998E-3</v>
      </c>
      <c r="M117">
        <v>6.5985999999999996E-3</v>
      </c>
    </row>
    <row r="118" spans="1:13">
      <c r="A118" t="s">
        <v>8</v>
      </c>
      <c r="B118">
        <f>AVERAGE(E118/E$89,I118/I$89,M118/M$89)</f>
        <v>0.15304297535688483</v>
      </c>
      <c r="C118">
        <f>STDEV(E118/E$89,I118/I$89,M118/M$89)/SQRT(D118)</f>
        <v>4.7056363436126765E-3</v>
      </c>
      <c r="D118">
        <f t="shared" ref="D118:D119" si="23">COUNT(E118:AZ118)</f>
        <v>3</v>
      </c>
      <c r="E118">
        <v>1.9188E-2</v>
      </c>
      <c r="I118">
        <v>1.6341000000000001E-2</v>
      </c>
      <c r="M118">
        <v>2.2991999999999999E-2</v>
      </c>
    </row>
    <row r="119" spans="1:13">
      <c r="A119" t="s">
        <v>9</v>
      </c>
      <c r="B119">
        <f t="shared" ref="B119:B121" si="24">AVERAGE(E119/E$89,I119/I$89,M119/M$89)</f>
        <v>9.3920547326550974E-2</v>
      </c>
      <c r="C119">
        <f t="shared" ref="C119:C121" si="25">STDEV(E119/E$89,I119/I$89,M119/M$89)/SQRT(D119)</f>
        <v>8.0658334529149084E-3</v>
      </c>
      <c r="D119">
        <f t="shared" si="23"/>
        <v>3</v>
      </c>
      <c r="E119">
        <v>1.0451E-2</v>
      </c>
      <c r="I119">
        <v>1.0179000000000001E-2</v>
      </c>
      <c r="M119">
        <v>1.5363999999999999E-2</v>
      </c>
    </row>
    <row r="120" spans="1:13">
      <c r="A120" t="s">
        <v>10</v>
      </c>
      <c r="B120">
        <f t="shared" si="24"/>
        <v>5.9905800475588099E-2</v>
      </c>
      <c r="C120">
        <f t="shared" si="25"/>
        <v>1.0281861835946671E-2</v>
      </c>
      <c r="D120">
        <f t="shared" ref="D120:D121" si="26">COUNT(E120:AZ120)</f>
        <v>3</v>
      </c>
      <c r="E120">
        <v>5.0934999999999999E-3</v>
      </c>
      <c r="I120">
        <v>7.7536000000000002E-3</v>
      </c>
      <c r="M120">
        <v>9.8972999999999995E-3</v>
      </c>
    </row>
    <row r="121" spans="1:13">
      <c r="A121" t="s">
        <v>11</v>
      </c>
      <c r="B121">
        <f t="shared" si="24"/>
        <v>0.12497367777587635</v>
      </c>
      <c r="C121">
        <f t="shared" si="25"/>
        <v>1.0913819437184597E-3</v>
      </c>
      <c r="D121">
        <f t="shared" si="26"/>
        <v>3</v>
      </c>
      <c r="E121">
        <v>1.5897000000000001E-2</v>
      </c>
      <c r="I121">
        <v>1.3887999999999999E-2</v>
      </c>
      <c r="M121">
        <v>1.7826000000000002E-2</v>
      </c>
    </row>
    <row r="122" spans="1:13">
      <c r="A122" t="s">
        <v>49</v>
      </c>
      <c r="B122" s="3" t="s">
        <v>30</v>
      </c>
      <c r="C122" s="3" t="s">
        <v>30</v>
      </c>
      <c r="D122">
        <f t="shared" ref="D122:D128" si="27">COUNT(E122:AZ122)</f>
        <v>0</v>
      </c>
    </row>
    <row r="123" spans="1:13">
      <c r="A123" t="s">
        <v>12</v>
      </c>
      <c r="B123">
        <f t="shared" ref="B123:B125" si="28">AVERAGE(E123/E$89,I123/I$89,M123/M$89)</f>
        <v>7.3936617857362344E-2</v>
      </c>
      <c r="C123">
        <f t="shared" ref="C123:C125" si="29">STDEV(E123/E$89,I123/I$89,M123/M$89)/SQRT(D123)</f>
        <v>4.8283766615052097E-3</v>
      </c>
      <c r="D123">
        <f t="shared" si="27"/>
        <v>3</v>
      </c>
      <c r="E123">
        <v>8.3583000000000008E-3</v>
      </c>
      <c r="I123">
        <v>8.4329000000000001E-3</v>
      </c>
      <c r="M123">
        <v>1.1412E-2</v>
      </c>
    </row>
    <row r="124" spans="1:13">
      <c r="A124" t="s">
        <v>13</v>
      </c>
      <c r="B124">
        <f t="shared" si="28"/>
        <v>0.11882323275768299</v>
      </c>
      <c r="C124">
        <f t="shared" si="29"/>
        <v>8.4875438621754759E-4</v>
      </c>
      <c r="D124">
        <f t="shared" si="27"/>
        <v>3</v>
      </c>
      <c r="E124">
        <v>1.5167E-2</v>
      </c>
      <c r="I124">
        <v>1.3200999999999999E-2</v>
      </c>
      <c r="M124">
        <v>1.6896000000000001E-2</v>
      </c>
    </row>
    <row r="125" spans="1:13">
      <c r="A125" t="s">
        <v>14</v>
      </c>
      <c r="B125">
        <f t="shared" si="28"/>
        <v>0.15099692085245014</v>
      </c>
      <c r="C125">
        <f t="shared" si="29"/>
        <v>1.428763541566264E-2</v>
      </c>
      <c r="D125">
        <f t="shared" si="27"/>
        <v>3</v>
      </c>
      <c r="E125">
        <v>1.95E-2</v>
      </c>
      <c r="I125">
        <v>1.3917000000000001E-2</v>
      </c>
      <c r="M125">
        <v>2.4899000000000001E-2</v>
      </c>
    </row>
    <row r="126" spans="1:13">
      <c r="A126" t="s">
        <v>56</v>
      </c>
      <c r="B126">
        <f>AVERAGE(I126/I$89,M126/M$89)</f>
        <v>6.171681303428044E-3</v>
      </c>
      <c r="C126">
        <f>STDEV(I126/I$89,M126/M$89)/SQRT(D126)</f>
        <v>1.2620783235061757E-3</v>
      </c>
      <c r="D126">
        <f t="shared" si="27"/>
        <v>2</v>
      </c>
      <c r="E126" s="17" t="s">
        <v>30</v>
      </c>
      <c r="I126">
        <v>5.4040000000000002E-4</v>
      </c>
      <c r="M126">
        <v>1.0521E-3</v>
      </c>
    </row>
    <row r="127" spans="1:13">
      <c r="A127" t="s">
        <v>57</v>
      </c>
      <c r="B127" s="3" t="s">
        <v>30</v>
      </c>
      <c r="C127" s="3" t="s">
        <v>30</v>
      </c>
      <c r="D127">
        <f t="shared" si="27"/>
        <v>0</v>
      </c>
    </row>
    <row r="128" spans="1:13">
      <c r="A128" t="s">
        <v>15</v>
      </c>
      <c r="B128">
        <f t="shared" ref="B128:B129" si="30">AVERAGE(E128/E$89,I128/I$89,M128/M$89)</f>
        <v>8.7686957888011827E-2</v>
      </c>
      <c r="C128">
        <f t="shared" ref="C128:C129" si="31">STDEV(E128/E$89,I128/I$89,M128/M$89)/SQRT(D128)</f>
        <v>2.0128346574295457E-2</v>
      </c>
      <c r="D128">
        <f t="shared" si="27"/>
        <v>3</v>
      </c>
      <c r="E128">
        <v>6.2887000000000004E-3</v>
      </c>
      <c r="I128">
        <v>1.0895E-2</v>
      </c>
      <c r="M128">
        <v>1.6347E-2</v>
      </c>
    </row>
    <row r="129" spans="1:13">
      <c r="A129" t="s">
        <v>22</v>
      </c>
      <c r="B129">
        <f t="shared" si="30"/>
        <v>6.9831645358740327E-2</v>
      </c>
      <c r="C129">
        <f t="shared" si="31"/>
        <v>8.1583200376971823E-3</v>
      </c>
      <c r="D129">
        <f>COUNT(E129:AZ129)</f>
        <v>3</v>
      </c>
      <c r="E129">
        <v>6.9284000000000004E-3</v>
      </c>
      <c r="I129">
        <v>8.5559999999999994E-3</v>
      </c>
      <c r="M129">
        <v>1.1074000000000001E-2</v>
      </c>
    </row>
    <row r="130" spans="1:13">
      <c r="A130" t="s">
        <v>59</v>
      </c>
      <c r="B130" s="3" t="s">
        <v>30</v>
      </c>
      <c r="C130" s="3" t="s">
        <v>30</v>
      </c>
      <c r="D130">
        <f t="shared" ref="D130:D131" si="32">COUNT(E130:AZ130)</f>
        <v>0</v>
      </c>
    </row>
    <row r="131" spans="1:13">
      <c r="A131" t="s">
        <v>58</v>
      </c>
      <c r="B131" s="3" t="s">
        <v>30</v>
      </c>
      <c r="C131" s="3" t="s">
        <v>30</v>
      </c>
      <c r="D131">
        <f t="shared" si="32"/>
        <v>0</v>
      </c>
    </row>
    <row r="133" spans="1:13">
      <c r="A133" s="1" t="s">
        <v>17</v>
      </c>
    </row>
    <row r="134" spans="1:13">
      <c r="A134" t="s">
        <v>7</v>
      </c>
      <c r="B134">
        <f>AVERAGE(E134/E$89,I134/I$89,M134/M$89)</f>
        <v>2.6073591427495258E-2</v>
      </c>
      <c r="C134">
        <f>STDEV(E134/E$89,I134/I$89,M134/M$89)/SQRT(D134)</f>
        <v>7.8617361292889903E-3</v>
      </c>
      <c r="D134">
        <f>COUNT(E134:AZ134)</f>
        <v>3</v>
      </c>
      <c r="E134">
        <v>1.8928E-3</v>
      </c>
      <c r="I134">
        <v>2.4732999999999999E-3</v>
      </c>
      <c r="M134">
        <v>5.8211000000000001E-3</v>
      </c>
    </row>
    <row r="135" spans="1:13">
      <c r="A135" t="s">
        <v>8</v>
      </c>
      <c r="B135">
        <f>AVERAGE(E135/E$89,I135/I$89,M135/M$89)</f>
        <v>0.16947469580440608</v>
      </c>
      <c r="C135">
        <f>STDEV(E135/E$89,I135/I$89,M135/M$89)/SQRT(D135)</f>
        <v>3.4730443306357039E-3</v>
      </c>
      <c r="D135">
        <f t="shared" ref="D135:D145" si="33">COUNT(E135:AZ135)</f>
        <v>3</v>
      </c>
      <c r="E135">
        <v>2.1104000000000001E-2</v>
      </c>
      <c r="I135">
        <v>1.8766000000000001E-2</v>
      </c>
      <c r="M135">
        <v>2.4756E-2</v>
      </c>
    </row>
    <row r="136" spans="1:13">
      <c r="A136" t="s">
        <v>9</v>
      </c>
      <c r="B136">
        <f t="shared" ref="B136:B138" si="34">AVERAGE(E136/E$89,I136/I$89,M136/M$89)</f>
        <v>0.10354838732567713</v>
      </c>
      <c r="C136">
        <f t="shared" ref="C136:C138" si="35">STDEV(E136/E$89,I136/I$89,M136/M$89)/SQRT(D136)</f>
        <v>1.0074830044634208E-2</v>
      </c>
      <c r="D136">
        <f t="shared" si="33"/>
        <v>3</v>
      </c>
      <c r="E136">
        <v>1.1856E-2</v>
      </c>
      <c r="I136">
        <v>1.0511E-2</v>
      </c>
      <c r="M136">
        <v>1.7489000000000001E-2</v>
      </c>
    </row>
    <row r="137" spans="1:13">
      <c r="A137" t="s">
        <v>10</v>
      </c>
      <c r="B137">
        <f t="shared" si="34"/>
        <v>8.1537557495380789E-2</v>
      </c>
      <c r="C137">
        <f t="shared" si="35"/>
        <v>2.4083225888198597E-3</v>
      </c>
      <c r="D137">
        <f t="shared" si="33"/>
        <v>3</v>
      </c>
      <c r="E137">
        <v>1.0631E-2</v>
      </c>
      <c r="I137">
        <v>8.4870999999999992E-3</v>
      </c>
      <c r="M137">
        <v>1.2085E-2</v>
      </c>
    </row>
    <row r="138" spans="1:13">
      <c r="A138" t="s">
        <v>11</v>
      </c>
      <c r="B138">
        <f t="shared" si="34"/>
        <v>0.11443971603455812</v>
      </c>
      <c r="C138">
        <f t="shared" si="35"/>
        <v>5.2469779214013787E-3</v>
      </c>
      <c r="D138">
        <f t="shared" si="33"/>
        <v>3</v>
      </c>
      <c r="E138">
        <v>1.5746E-2</v>
      </c>
      <c r="I138">
        <v>1.1472E-2</v>
      </c>
      <c r="M138">
        <v>1.6625000000000001E-2</v>
      </c>
    </row>
    <row r="139" spans="1:13">
      <c r="A139" t="s">
        <v>49</v>
      </c>
      <c r="B139" s="3" t="s">
        <v>30</v>
      </c>
      <c r="C139" s="3" t="s">
        <v>30</v>
      </c>
      <c r="D139">
        <f t="shared" si="33"/>
        <v>0</v>
      </c>
    </row>
    <row r="140" spans="1:13">
      <c r="A140" t="s">
        <v>12</v>
      </c>
      <c r="B140">
        <f t="shared" ref="B140:B142" si="36">AVERAGE(E140/E$89,I140/I$89,M140/M$89)</f>
        <v>7.6661246052132884E-2</v>
      </c>
      <c r="C140">
        <f t="shared" ref="C140:C142" si="37">STDEV(E140/E$89,I140/I$89,M140/M$89)/SQRT(D140)</f>
        <v>4.4837344229370279E-3</v>
      </c>
      <c r="D140">
        <f t="shared" si="33"/>
        <v>3</v>
      </c>
      <c r="E140">
        <v>8.8532999999999997E-3</v>
      </c>
      <c r="I140">
        <v>8.5640999999999998E-3</v>
      </c>
      <c r="M140">
        <v>1.1859E-2</v>
      </c>
    </row>
    <row r="141" spans="1:13">
      <c r="A141" t="s">
        <v>13</v>
      </c>
      <c r="B141">
        <f t="shared" si="36"/>
        <v>0.11667295194543104</v>
      </c>
      <c r="C141">
        <f t="shared" si="37"/>
        <v>7.5987910159479276E-3</v>
      </c>
      <c r="D141">
        <f t="shared" si="33"/>
        <v>3</v>
      </c>
      <c r="E141">
        <v>1.7063999999999999E-2</v>
      </c>
      <c r="I141">
        <v>1.1879000000000001E-2</v>
      </c>
      <c r="M141">
        <v>1.5609E-2</v>
      </c>
    </row>
    <row r="142" spans="1:13">
      <c r="A142" t="s">
        <v>14</v>
      </c>
      <c r="B142">
        <f t="shared" si="36"/>
        <v>0.1719481831969237</v>
      </c>
      <c r="C142">
        <f t="shared" si="37"/>
        <v>5.8946290349683487E-3</v>
      </c>
      <c r="D142">
        <f t="shared" si="33"/>
        <v>3</v>
      </c>
      <c r="E142">
        <v>2.147E-2</v>
      </c>
      <c r="I142">
        <v>1.8301000000000001E-2</v>
      </c>
      <c r="M142">
        <v>2.6003999999999999E-2</v>
      </c>
    </row>
    <row r="143" spans="1:13">
      <c r="A143" t="s">
        <v>56</v>
      </c>
      <c r="B143">
        <f t="shared" ref="B143" si="38">AVERAGE(E143/E$89,I143/I$89,M143/M$89)</f>
        <v>3.4064244378381868E-2</v>
      </c>
      <c r="C143">
        <f t="shared" ref="C143" si="39">STDEV(E143/E$89,I143/I$89,M143/M$89)/SQRT(D143)</f>
        <v>1.1852214918799646E-2</v>
      </c>
      <c r="D143">
        <f t="shared" ref="D143" si="40">COUNT(E143:AZ143)</f>
        <v>3</v>
      </c>
      <c r="E143">
        <v>7.4000000000000003E-3</v>
      </c>
      <c r="I143">
        <v>2.9868999999999998E-3</v>
      </c>
      <c r="M143">
        <v>2.5328E-3</v>
      </c>
    </row>
    <row r="144" spans="1:13">
      <c r="A144" t="s">
        <v>57</v>
      </c>
      <c r="B144" s="3" t="s">
        <v>30</v>
      </c>
      <c r="C144" s="3" t="s">
        <v>30</v>
      </c>
      <c r="D144">
        <f t="shared" si="33"/>
        <v>0</v>
      </c>
    </row>
    <row r="145" spans="1:13">
      <c r="A145" t="s">
        <v>15</v>
      </c>
      <c r="B145">
        <f t="shared" ref="B145:B146" si="41">AVERAGE(E145/E$89,I145/I$89,M145/M$89)</f>
        <v>8.9455119439045563E-2</v>
      </c>
      <c r="C145">
        <f t="shared" ref="C145:C146" si="42">STDEV(E145/E$89,I145/I$89,M145/M$89)/SQRT(D145)</f>
        <v>2.2315669198235629E-2</v>
      </c>
      <c r="D145">
        <f t="shared" si="33"/>
        <v>3</v>
      </c>
      <c r="E145">
        <v>6.2262999999999997E-3</v>
      </c>
      <c r="I145">
        <v>1.0524E-2</v>
      </c>
      <c r="M145">
        <v>1.7642999999999999E-2</v>
      </c>
    </row>
    <row r="146" spans="1:13">
      <c r="A146" t="s">
        <v>22</v>
      </c>
      <c r="B146">
        <f t="shared" si="41"/>
        <v>7.9350196537962533E-2</v>
      </c>
      <c r="C146">
        <f t="shared" si="42"/>
        <v>3.7834568546914853E-3</v>
      </c>
      <c r="D146">
        <f>COUNT(E146:AZ146)</f>
        <v>3</v>
      </c>
      <c r="E146">
        <v>9.8055999999999994E-3</v>
      </c>
      <c r="I146">
        <v>8.2985999999999997E-3</v>
      </c>
      <c r="M146">
        <v>1.2300999999999999E-2</v>
      </c>
    </row>
    <row r="147" spans="1:13">
      <c r="A147" t="s">
        <v>59</v>
      </c>
      <c r="B147" s="3" t="s">
        <v>30</v>
      </c>
      <c r="C147" s="3" t="s">
        <v>30</v>
      </c>
      <c r="D147">
        <f t="shared" ref="D147:D148" si="43">COUNT(E147:AZ147)</f>
        <v>0</v>
      </c>
    </row>
    <row r="148" spans="1:13">
      <c r="A148" t="s">
        <v>58</v>
      </c>
      <c r="B148" s="3" t="s">
        <v>30</v>
      </c>
      <c r="C148" s="3" t="s">
        <v>30</v>
      </c>
      <c r="D148">
        <f t="shared" si="43"/>
        <v>0</v>
      </c>
    </row>
  </sheetData>
  <pageMargins left="0.7" right="0.7" top="0.75" bottom="0.75" header="0.3" footer="0.3"/>
  <pageSetup orientation="portrait" horizontalDpi="0" verticalDpi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P148"/>
  <sheetViews>
    <sheetView topLeftCell="A52" workbookViewId="0">
      <selection activeCell="A52" sqref="A52"/>
    </sheetView>
  </sheetViews>
  <sheetFormatPr baseColWidth="10" defaultRowHeight="16"/>
  <cols>
    <col min="1" max="1" width="17.6640625" bestFit="1" customWidth="1"/>
    <col min="5" max="5" width="23.33203125" bestFit="1" customWidth="1"/>
    <col min="9" max="9" width="23.33203125" bestFit="1" customWidth="1"/>
    <col min="13" max="13" width="23.33203125" bestFit="1" customWidth="1"/>
    <col min="14" max="14" width="19.1640625" customWidth="1"/>
    <col min="17" max="17" width="23.33203125" bestFit="1" customWidth="1"/>
    <col min="21" max="21" width="22.5" customWidth="1"/>
    <col min="25" max="25" width="24.83203125" customWidth="1"/>
    <col min="29" max="29" width="24.6640625" customWidth="1"/>
    <col min="30" max="30" width="22" customWidth="1"/>
    <col min="33" max="33" width="22.33203125" customWidth="1"/>
    <col min="37" max="37" width="18" customWidth="1"/>
    <col min="41" max="41" width="20.83203125" customWidth="1"/>
  </cols>
  <sheetData>
    <row r="1" spans="1:42">
      <c r="A1" s="1" t="s">
        <v>32</v>
      </c>
      <c r="E1" s="74">
        <v>42999</v>
      </c>
      <c r="I1" s="74">
        <v>42999</v>
      </c>
      <c r="M1" s="74">
        <v>43014</v>
      </c>
      <c r="Q1" s="74">
        <v>43083</v>
      </c>
      <c r="U1" s="13"/>
      <c r="Y1" s="13"/>
      <c r="AC1" s="13"/>
      <c r="AG1" s="13"/>
      <c r="AK1" s="13">
        <v>43677</v>
      </c>
      <c r="AO1" s="13">
        <v>43677</v>
      </c>
    </row>
    <row r="2" spans="1:42">
      <c r="A2" s="1" t="s">
        <v>33</v>
      </c>
      <c r="E2" s="75" t="s">
        <v>39</v>
      </c>
      <c r="I2" s="75" t="s">
        <v>39</v>
      </c>
      <c r="M2" s="75" t="s">
        <v>39</v>
      </c>
      <c r="Q2" s="75" t="s">
        <v>39</v>
      </c>
      <c r="U2" s="14" t="s">
        <v>218</v>
      </c>
      <c r="Y2" s="14" t="s">
        <v>218</v>
      </c>
      <c r="AC2" s="14" t="s">
        <v>272</v>
      </c>
      <c r="AG2" s="14" t="s">
        <v>140</v>
      </c>
      <c r="AK2" s="14" t="s">
        <v>39</v>
      </c>
      <c r="AO2" s="14" t="s">
        <v>39</v>
      </c>
    </row>
    <row r="3" spans="1:42">
      <c r="A3" s="1" t="s">
        <v>34</v>
      </c>
      <c r="E3" s="79" t="s">
        <v>90</v>
      </c>
      <c r="I3" s="79" t="s">
        <v>92</v>
      </c>
      <c r="M3" s="79" t="s">
        <v>51</v>
      </c>
      <c r="Q3" s="79" t="s">
        <v>40</v>
      </c>
      <c r="U3" s="16" t="s">
        <v>270</v>
      </c>
      <c r="Y3" s="16" t="s">
        <v>271</v>
      </c>
      <c r="AC3" s="16"/>
      <c r="AG3" s="16"/>
      <c r="AK3" s="16" t="s">
        <v>75</v>
      </c>
      <c r="AO3" s="16" t="s">
        <v>51</v>
      </c>
    </row>
    <row r="4" spans="1:42">
      <c r="A4" s="1" t="s">
        <v>35</v>
      </c>
      <c r="E4" s="75" t="s">
        <v>41</v>
      </c>
      <c r="I4" s="75" t="s">
        <v>41</v>
      </c>
      <c r="M4" s="75" t="s">
        <v>41</v>
      </c>
      <c r="Q4" s="75" t="s">
        <v>41</v>
      </c>
      <c r="U4" s="14" t="s">
        <v>41</v>
      </c>
      <c r="V4" s="9"/>
      <c r="W4" s="9"/>
      <c r="Y4" s="14" t="s">
        <v>41</v>
      </c>
      <c r="AC4" s="14" t="s">
        <v>41</v>
      </c>
      <c r="AG4" s="14" t="s">
        <v>41</v>
      </c>
      <c r="AK4" s="14" t="s">
        <v>41</v>
      </c>
      <c r="AO4" s="14" t="s">
        <v>41</v>
      </c>
    </row>
    <row r="5" spans="1:42">
      <c r="A5" s="1" t="s">
        <v>36</v>
      </c>
      <c r="E5" s="75" t="s">
        <v>89</v>
      </c>
      <c r="I5" s="75" t="s">
        <v>89</v>
      </c>
      <c r="M5" s="75" t="s">
        <v>89</v>
      </c>
      <c r="Q5" s="75" t="s">
        <v>89</v>
      </c>
      <c r="U5" s="14" t="s">
        <v>89</v>
      </c>
      <c r="V5" s="9"/>
      <c r="W5" s="9"/>
      <c r="Y5" s="14" t="s">
        <v>89</v>
      </c>
      <c r="AC5" s="14" t="s">
        <v>89</v>
      </c>
      <c r="AG5" s="14" t="s">
        <v>89</v>
      </c>
      <c r="AK5" s="14" t="s">
        <v>89</v>
      </c>
      <c r="AO5" s="14" t="s">
        <v>89</v>
      </c>
    </row>
    <row r="6" spans="1:42">
      <c r="A6" s="1" t="s">
        <v>37</v>
      </c>
      <c r="E6" s="44">
        <v>4</v>
      </c>
      <c r="I6" s="44">
        <v>4</v>
      </c>
      <c r="M6" s="44">
        <v>4</v>
      </c>
      <c r="Q6" s="44">
        <v>8</v>
      </c>
      <c r="U6" s="2"/>
      <c r="Y6" s="2"/>
      <c r="AC6" s="2">
        <v>10</v>
      </c>
      <c r="AG6" s="2"/>
      <c r="AK6" s="2">
        <v>10</v>
      </c>
      <c r="AO6" s="2">
        <v>10</v>
      </c>
    </row>
    <row r="7" spans="1:42">
      <c r="A7" s="1" t="s">
        <v>38</v>
      </c>
      <c r="E7" s="44">
        <v>0.5</v>
      </c>
      <c r="I7" s="44">
        <v>0.5</v>
      </c>
      <c r="M7" s="44">
        <v>0.5</v>
      </c>
      <c r="Q7" s="44">
        <v>0.5</v>
      </c>
      <c r="U7" s="2"/>
      <c r="Y7" s="2"/>
      <c r="AC7" s="50">
        <v>0.8</v>
      </c>
      <c r="AD7" s="52" t="s">
        <v>277</v>
      </c>
      <c r="AG7" s="50"/>
      <c r="AK7" s="57">
        <v>0.4</v>
      </c>
      <c r="AO7" s="57">
        <v>0.4</v>
      </c>
    </row>
    <row r="8" spans="1:42">
      <c r="A8" s="1" t="s">
        <v>43</v>
      </c>
      <c r="E8">
        <f>E26</f>
        <v>3.4712E-2</v>
      </c>
      <c r="I8">
        <f>I26</f>
        <v>4.8422E-2</v>
      </c>
      <c r="M8">
        <f>M26</f>
        <v>4.3386000000000001E-2</v>
      </c>
      <c r="Q8">
        <f>Q26</f>
        <v>7.6538999999999996E-2</v>
      </c>
      <c r="AC8">
        <f>AC9</f>
        <v>8.2121E-2</v>
      </c>
    </row>
    <row r="9" spans="1:42">
      <c r="A9" s="1" t="s">
        <v>53</v>
      </c>
      <c r="E9">
        <f>E8</f>
        <v>3.4712E-2</v>
      </c>
      <c r="I9">
        <f>I8</f>
        <v>4.8422E-2</v>
      </c>
      <c r="M9">
        <f>M8</f>
        <v>4.3386000000000001E-2</v>
      </c>
      <c r="Q9">
        <f>Q8</f>
        <v>7.6538999999999996E-2</v>
      </c>
      <c r="U9">
        <f>14.5372674015984/100</f>
        <v>0.145372674015984</v>
      </c>
      <c r="Y9">
        <f>9.86995558821547/100</f>
        <v>9.8699555882154705E-2</v>
      </c>
      <c r="AC9">
        <f>AC26</f>
        <v>8.2121E-2</v>
      </c>
      <c r="AG9">
        <f>AG26</f>
        <v>5.2803000000000003E-2</v>
      </c>
      <c r="AK9">
        <v>0.1</v>
      </c>
      <c r="AL9" s="17" t="s">
        <v>290</v>
      </c>
      <c r="AO9">
        <v>0.1</v>
      </c>
      <c r="AP9" s="17" t="s">
        <v>290</v>
      </c>
    </row>
    <row r="10" spans="1:42">
      <c r="A10" s="1" t="s">
        <v>44</v>
      </c>
      <c r="B10" s="22">
        <f>AVERAGE(E10,I10,M10,Q10)</f>
        <v>46.819815146998721</v>
      </c>
      <c r="C10" s="22">
        <f>STDEV(E10,I10,M10,Q10)/SQRT(D10)</f>
        <v>3.4565191337257608</v>
      </c>
      <c r="D10" s="1">
        <v>4</v>
      </c>
      <c r="E10" s="21">
        <f>E6*E7*(1-E8)/E8</f>
        <v>55.616962433740497</v>
      </c>
      <c r="I10" s="21">
        <f>I6*I7*(1-I8)/I8</f>
        <v>39.303539713353437</v>
      </c>
      <c r="M10" s="21">
        <f>M6*M7*(1-M8)/M8</f>
        <v>44.097819573134188</v>
      </c>
      <c r="Q10" s="21">
        <f>Q6*Q7*(1-Q8)/Q8</f>
        <v>48.260938867766761</v>
      </c>
      <c r="U10" s="21" t="e">
        <f>U6*U7*(1-U8)/U8</f>
        <v>#DIV/0!</v>
      </c>
      <c r="Y10" s="21" t="e">
        <f>Y6*Y7*(1-Y8)/Y8</f>
        <v>#DIV/0!</v>
      </c>
      <c r="AC10" s="51">
        <f>AC6*AC7*(1-AC8)/AC8</f>
        <v>89.417225800952252</v>
      </c>
      <c r="AG10" s="51"/>
    </row>
    <row r="11" spans="1:42">
      <c r="A11" s="1"/>
    </row>
    <row r="12" spans="1:42">
      <c r="A12" s="1" t="s">
        <v>33</v>
      </c>
      <c r="E12" t="s">
        <v>39</v>
      </c>
      <c r="I12" t="s">
        <v>39</v>
      </c>
      <c r="M12" t="s">
        <v>39</v>
      </c>
      <c r="Q12" t="s">
        <v>39</v>
      </c>
      <c r="U12" t="s">
        <v>218</v>
      </c>
      <c r="Y12" t="s">
        <v>218</v>
      </c>
      <c r="AC12" t="s">
        <v>272</v>
      </c>
      <c r="AG12" t="s">
        <v>140</v>
      </c>
      <c r="AL12" t="s">
        <v>39</v>
      </c>
      <c r="AP12" t="s">
        <v>39</v>
      </c>
    </row>
    <row r="13" spans="1:42">
      <c r="A13" s="1" t="s">
        <v>45</v>
      </c>
      <c r="E13" t="s">
        <v>47</v>
      </c>
      <c r="I13" t="s">
        <v>47</v>
      </c>
      <c r="M13" t="s">
        <v>47</v>
      </c>
      <c r="Q13" t="s">
        <v>47</v>
      </c>
      <c r="U13" t="s">
        <v>47</v>
      </c>
      <c r="Y13" t="s">
        <v>47</v>
      </c>
      <c r="AC13" t="s">
        <v>106</v>
      </c>
      <c r="AG13" t="s">
        <v>106</v>
      </c>
      <c r="AL13" t="s">
        <v>85</v>
      </c>
      <c r="AP13" t="s">
        <v>85</v>
      </c>
    </row>
    <row r="14" spans="1:42" ht="51">
      <c r="A14" s="12" t="s">
        <v>31</v>
      </c>
      <c r="E14" s="11" t="s">
        <v>91</v>
      </c>
      <c r="I14" s="11" t="s">
        <v>91</v>
      </c>
      <c r="M14" s="11" t="s">
        <v>94</v>
      </c>
      <c r="N14" s="10" t="s">
        <v>95</v>
      </c>
      <c r="Q14" s="11" t="s">
        <v>93</v>
      </c>
      <c r="U14" s="11" t="s">
        <v>269</v>
      </c>
      <c r="Y14" s="11" t="s">
        <v>269</v>
      </c>
      <c r="AC14" s="10" t="s">
        <v>276</v>
      </c>
      <c r="AD14" s="11"/>
      <c r="AE14" s="11"/>
      <c r="AG14" s="10" t="s">
        <v>278</v>
      </c>
      <c r="AL14" s="10" t="s">
        <v>287</v>
      </c>
      <c r="AP14" s="10" t="s">
        <v>287</v>
      </c>
    </row>
    <row r="16" spans="1:42">
      <c r="A16" s="1" t="s">
        <v>50</v>
      </c>
    </row>
    <row r="17" spans="1:42">
      <c r="B17" s="1" t="s">
        <v>5</v>
      </c>
      <c r="C17" s="1" t="s">
        <v>6</v>
      </c>
      <c r="D17" s="1" t="s">
        <v>55</v>
      </c>
    </row>
    <row r="18" spans="1:42">
      <c r="A18" s="1" t="s">
        <v>0</v>
      </c>
    </row>
    <row r="19" spans="1:42">
      <c r="A19" t="s">
        <v>60</v>
      </c>
      <c r="B19" s="3">
        <f t="shared" ref="B19:B25" si="0">AVERAGE(E19/E$9,I19/I$9,M19/M$9,Q19/Q$9,AG19/AG$9)</f>
        <v>8.3047278082189396E-2</v>
      </c>
      <c r="C19" s="3">
        <f t="shared" ref="C19:C25" si="1">STDEV(E19/E$9,I19/I$9,M19/M$9,Q19/Q$9,AG19/AG$9)/SQRT(D19)</f>
        <v>1.749902571601164E-2</v>
      </c>
      <c r="D19">
        <f t="shared" ref="D19:D25" si="2">COUNT(E19:AZ19)</f>
        <v>5</v>
      </c>
      <c r="E19">
        <v>2.6776999999999999E-3</v>
      </c>
      <c r="I19">
        <v>1.8473000000000001E-3</v>
      </c>
      <c r="M19">
        <v>3.3685E-3</v>
      </c>
      <c r="Q19">
        <v>5.8206999999999998E-3</v>
      </c>
      <c r="AG19">
        <v>7.7228000000000002E-3</v>
      </c>
    </row>
    <row r="20" spans="1:42">
      <c r="A20" t="s">
        <v>61</v>
      </c>
      <c r="B20" s="3">
        <f t="shared" si="0"/>
        <v>9.4258412256757268E-2</v>
      </c>
      <c r="C20" s="3">
        <f t="shared" si="1"/>
        <v>1.6453090123654382E-2</v>
      </c>
      <c r="D20">
        <f t="shared" si="2"/>
        <v>5</v>
      </c>
      <c r="E20">
        <v>4.9588999999999996E-3</v>
      </c>
      <c r="I20">
        <v>3.1015999999999999E-3</v>
      </c>
      <c r="M20">
        <v>3.2525000000000002E-3</v>
      </c>
      <c r="Q20">
        <v>4.9735999999999999E-3</v>
      </c>
      <c r="AG20">
        <v>6.5703999999999997E-3</v>
      </c>
    </row>
    <row r="21" spans="1:42">
      <c r="A21" t="s">
        <v>62</v>
      </c>
      <c r="B21" s="3">
        <f t="shared" si="0"/>
        <v>0.14034472689955477</v>
      </c>
      <c r="C21" s="3">
        <f t="shared" si="1"/>
        <v>1.1950887900297434E-2</v>
      </c>
      <c r="D21">
        <f t="shared" si="2"/>
        <v>5</v>
      </c>
      <c r="E21">
        <v>5.9578000000000001E-3</v>
      </c>
      <c r="I21">
        <v>5.3818E-3</v>
      </c>
      <c r="M21">
        <v>5.0514999999999996E-3</v>
      </c>
      <c r="Q21">
        <v>1.0784E-2</v>
      </c>
      <c r="AG21">
        <v>8.5339000000000005E-3</v>
      </c>
    </row>
    <row r="22" spans="1:42">
      <c r="A22" t="s">
        <v>63</v>
      </c>
      <c r="B22" s="3">
        <f t="shared" si="0"/>
        <v>3.9384869934344771E-2</v>
      </c>
      <c r="C22" s="3">
        <f t="shared" si="1"/>
        <v>1.1447347230544023E-2</v>
      </c>
      <c r="D22">
        <f t="shared" si="2"/>
        <v>5</v>
      </c>
      <c r="E22">
        <v>1.6988999999999999E-3</v>
      </c>
      <c r="I22">
        <v>2.6059E-3</v>
      </c>
      <c r="M22">
        <v>2.8257999999999998E-3</v>
      </c>
      <c r="Q22">
        <v>2.2222000000000001E-3</v>
      </c>
      <c r="AG22">
        <v>0</v>
      </c>
    </row>
    <row r="23" spans="1:42">
      <c r="A23" t="s">
        <v>64</v>
      </c>
      <c r="B23" s="3">
        <f t="shared" si="0"/>
        <v>0.31594964470752857</v>
      </c>
      <c r="C23" s="3">
        <f t="shared" si="1"/>
        <v>3.1034239077269966E-2</v>
      </c>
      <c r="D23">
        <f t="shared" si="2"/>
        <v>5</v>
      </c>
      <c r="E23">
        <v>1.2784E-2</v>
      </c>
      <c r="I23">
        <v>1.3887E-2</v>
      </c>
      <c r="M23">
        <v>1.0285000000000001E-2</v>
      </c>
      <c r="Q23">
        <v>2.1505E-2</v>
      </c>
      <c r="AG23">
        <v>2.1472000000000002E-2</v>
      </c>
    </row>
    <row r="24" spans="1:42">
      <c r="A24" t="s">
        <v>65</v>
      </c>
      <c r="B24" s="3">
        <f t="shared" si="0"/>
        <v>4.0970928283692691E-4</v>
      </c>
      <c r="C24" s="3">
        <f t="shared" si="1"/>
        <v>2.0421033214672836E-4</v>
      </c>
      <c r="D24">
        <f t="shared" si="2"/>
        <v>5</v>
      </c>
      <c r="E24">
        <v>0</v>
      </c>
      <c r="I24" s="15">
        <v>1.2583E-5</v>
      </c>
      <c r="M24">
        <v>0</v>
      </c>
      <c r="Q24" s="15">
        <v>6.4218000000000001E-5</v>
      </c>
      <c r="AG24" s="15">
        <v>5.0145000000000002E-5</v>
      </c>
    </row>
    <row r="25" spans="1:42">
      <c r="A25" t="s">
        <v>66</v>
      </c>
      <c r="B25" s="3">
        <f t="shared" si="0"/>
        <v>4.4265357930546815E-3</v>
      </c>
      <c r="C25" s="3">
        <f t="shared" si="1"/>
        <v>1.6205425691195095E-3</v>
      </c>
      <c r="D25">
        <f t="shared" si="2"/>
        <v>5</v>
      </c>
      <c r="E25" s="15">
        <v>5.3575000000000001E-5</v>
      </c>
      <c r="I25">
        <v>2.2948000000000001E-4</v>
      </c>
      <c r="M25">
        <v>0</v>
      </c>
      <c r="Q25">
        <v>5.9579999999999995E-4</v>
      </c>
      <c r="AG25">
        <v>4.259E-4</v>
      </c>
    </row>
    <row r="26" spans="1:42">
      <c r="A26" t="s">
        <v>67</v>
      </c>
      <c r="B26" s="3">
        <f t="shared" ref="B26:B33" si="3">AVERAGE(E26/E$9,I26/I$9,M26/M$9,Q26/Q$9)</f>
        <v>1</v>
      </c>
      <c r="C26" s="3">
        <f t="shared" ref="C26:C33" si="4">STDEV(E26/E$9,I26/I$9,M26/M$9,Q26/Q$9)/SQRT(D26)</f>
        <v>0</v>
      </c>
      <c r="D26">
        <f t="shared" ref="D26:D33" si="5">COUNT(E26:AZ26)</f>
        <v>6</v>
      </c>
      <c r="E26">
        <v>3.4712E-2</v>
      </c>
      <c r="I26">
        <v>4.8422E-2</v>
      </c>
      <c r="M26">
        <v>4.3386000000000001E-2</v>
      </c>
      <c r="Q26">
        <v>7.6538999999999996E-2</v>
      </c>
      <c r="AC26">
        <v>8.2121E-2</v>
      </c>
      <c r="AG26">
        <v>5.2803000000000003E-2</v>
      </c>
    </row>
    <row r="27" spans="1:42">
      <c r="A27" t="s">
        <v>71</v>
      </c>
      <c r="B27" s="3">
        <f>AVERAGE(E27/E$9,I27/I$9,M27/M$9,Q27/Q$9,AG27/AG$9)</f>
        <v>2.4729811928772594E-2</v>
      </c>
      <c r="C27" s="3">
        <f>STDEV(E27/E$9,I27/I$9,M27/M$9,Q27/Q$9,AG27/AG$9)/SQRT(D27)</f>
        <v>1.6188023099636836E-2</v>
      </c>
      <c r="D27">
        <f>COUNT(E27:AZ27)</f>
        <v>5</v>
      </c>
      <c r="E27">
        <v>1.5181999999999999E-3</v>
      </c>
      <c r="I27">
        <v>3.8695000000000001E-3</v>
      </c>
      <c r="M27">
        <v>0</v>
      </c>
      <c r="Q27">
        <v>0</v>
      </c>
      <c r="AG27">
        <v>0</v>
      </c>
    </row>
    <row r="28" spans="1:42">
      <c r="A28" t="s">
        <v>72</v>
      </c>
      <c r="B28" s="3">
        <f>AVERAGE(E28/E$9,I28/I$9,M28/M$9,Q28/Q$9,AG28/AG$9)</f>
        <v>6.99075699049863E-3</v>
      </c>
      <c r="C28" s="3">
        <f>STDEV(E28/E$9,I28/I$9,M28/M$9,Q28/Q$9,AG28/AG$9)/SQRT(D28)</f>
        <v>4.3549291786936836E-3</v>
      </c>
      <c r="D28">
        <f>COUNT(E28:AZ28)</f>
        <v>5</v>
      </c>
      <c r="E28">
        <v>0</v>
      </c>
      <c r="I28">
        <v>9.6865999999999999E-4</v>
      </c>
      <c r="M28">
        <v>0</v>
      </c>
      <c r="Q28">
        <v>1.1441999999999999E-3</v>
      </c>
      <c r="AG28">
        <v>0</v>
      </c>
    </row>
    <row r="29" spans="1:42">
      <c r="A29" t="s">
        <v>69</v>
      </c>
      <c r="B29" s="3">
        <f>AVERAGE(E29/E$9,I29/I$9,M29/M$9,Q29/Q$9)</f>
        <v>3.5465933711335454E-2</v>
      </c>
      <c r="C29" s="3">
        <f>STDEV(E29/E$9,I29/I$9,M29/M$9,Q29/Q$9)/SQRT(D29)</f>
        <v>3.5465933711335454E-2</v>
      </c>
      <c r="D29">
        <f>COUNT(E29:AZ29)</f>
        <v>4</v>
      </c>
      <c r="E29">
        <v>0</v>
      </c>
      <c r="I29">
        <v>0</v>
      </c>
      <c r="M29">
        <v>6.1548999999999996E-3</v>
      </c>
      <c r="Q29">
        <v>0</v>
      </c>
    </row>
    <row r="30" spans="1:42" s="44" customFormat="1">
      <c r="A30" s="44" t="s">
        <v>68</v>
      </c>
      <c r="B30" s="46" t="s">
        <v>30</v>
      </c>
      <c r="C30" s="46" t="s">
        <v>30</v>
      </c>
      <c r="D30" s="44">
        <f t="shared" si="5"/>
        <v>0</v>
      </c>
    </row>
    <row r="31" spans="1:42">
      <c r="A31" t="s">
        <v>70</v>
      </c>
      <c r="B31" s="3">
        <f>AVERAGE(N31/M9,AC31/AC9,AL31/AK9,AP31/AO9)</f>
        <v>0</v>
      </c>
      <c r="C31" s="3">
        <f>STDEV(N31/M9,AC31/AC9,AL31/AK9,AP31/AO9)/SQRT(D31)</f>
        <v>0</v>
      </c>
      <c r="D31">
        <f t="shared" si="5"/>
        <v>4</v>
      </c>
      <c r="N31">
        <v>0</v>
      </c>
      <c r="AC31">
        <v>0</v>
      </c>
      <c r="AL31">
        <v>0</v>
      </c>
      <c r="AP31">
        <v>0</v>
      </c>
    </row>
    <row r="32" spans="1:42">
      <c r="A32" t="s">
        <v>23</v>
      </c>
      <c r="B32" s="3">
        <f t="shared" si="3"/>
        <v>0</v>
      </c>
      <c r="C32" s="3">
        <f t="shared" si="4"/>
        <v>0</v>
      </c>
      <c r="D32">
        <f t="shared" si="5"/>
        <v>4</v>
      </c>
      <c r="E32">
        <v>0</v>
      </c>
      <c r="I32">
        <v>0</v>
      </c>
      <c r="M32">
        <v>0</v>
      </c>
      <c r="Q32">
        <v>0</v>
      </c>
    </row>
    <row r="33" spans="1:33">
      <c r="A33" t="s">
        <v>24</v>
      </c>
      <c r="B33" s="3">
        <f t="shared" si="3"/>
        <v>0</v>
      </c>
      <c r="C33" s="3">
        <f t="shared" si="4"/>
        <v>0</v>
      </c>
      <c r="D33">
        <f t="shared" si="5"/>
        <v>4</v>
      </c>
      <c r="E33">
        <v>0</v>
      </c>
      <c r="I33">
        <v>0</v>
      </c>
      <c r="M33">
        <v>0</v>
      </c>
      <c r="Q33">
        <v>0</v>
      </c>
    </row>
    <row r="36" spans="1:33">
      <c r="A36" s="1" t="s">
        <v>16</v>
      </c>
    </row>
    <row r="37" spans="1:33">
      <c r="A37" t="s">
        <v>7</v>
      </c>
      <c r="B37" s="3">
        <f>AVERAGE(E37/E$9,I37/I$9,M37/M$9,Q37/Q$9,U37/U$9,Y37/Y$9,AG37/AG$9)</f>
        <v>8.5541847705573049E-2</v>
      </c>
      <c r="C37" s="3">
        <f>STDEV(E37/E$9,I37/I$9,M37/M$9,Q37/Q$9,U37/U$9,Y37/Y$9,AG37/AG$9)/SQRT(D37)</f>
        <v>1.8173645859777772E-2</v>
      </c>
      <c r="D37">
        <f>COUNT(E37:AZ37)</f>
        <v>7</v>
      </c>
      <c r="E37">
        <v>3.9399999999999999E-3</v>
      </c>
      <c r="I37">
        <v>3.7098999999999999E-3</v>
      </c>
      <c r="M37">
        <v>4.6620999999999998E-3</v>
      </c>
      <c r="Q37">
        <v>6.7794999999999999E-3</v>
      </c>
      <c r="U37">
        <v>2.9596000000000002E-3</v>
      </c>
      <c r="Y37">
        <v>3.2282999999999999E-3</v>
      </c>
      <c r="AG37">
        <v>8.4259000000000001E-3</v>
      </c>
    </row>
    <row r="38" spans="1:33">
      <c r="A38" t="s">
        <v>8</v>
      </c>
      <c r="B38" s="3">
        <f>AVERAGE(E38/E$9,I38/I$9,M38/M$9,Q38/Q$9,U38/U$9,Y38/Y$9,AG38/AG$9)</f>
        <v>0.19733172798418838</v>
      </c>
      <c r="C38" s="3">
        <f>STDEV(E38/E$9,I38/I$9,M38/M$9,Q38/Q$9,U38/U$9,Y38/Y$9,AG38/AG$9)/SQRT(D38)</f>
        <v>2.3989047645707032E-2</v>
      </c>
      <c r="D38">
        <f t="shared" ref="D38:D51" si="6">COUNT(E38:AZ38)</f>
        <v>7</v>
      </c>
      <c r="E38">
        <v>8.8013999999999992E-3</v>
      </c>
      <c r="I38">
        <v>1.1370999999999999E-2</v>
      </c>
      <c r="M38">
        <v>9.3995999999999993E-3</v>
      </c>
      <c r="Q38">
        <v>7.4904000000000004E-3</v>
      </c>
      <c r="U38">
        <v>1.8876E-2</v>
      </c>
      <c r="Y38">
        <v>1.8110999999999999E-2</v>
      </c>
      <c r="AG38">
        <v>1.3997000000000001E-2</v>
      </c>
    </row>
    <row r="39" spans="1:33">
      <c r="A39" t="s">
        <v>9</v>
      </c>
      <c r="B39" s="3">
        <f>AVERAGE(E39/E$9,I39/I$9,M39/M$9,Q39/Q$9,U39/U$9,Y39/Y$9,AG39/AG$9)</f>
        <v>0.24462527172277998</v>
      </c>
      <c r="C39" s="3">
        <f>STDEV(E39/E$9,I39/I$9,M39/M$9,Q39/Q$9,U39/U$9,Y39/Y$9,AG39/AG$9)/SQRT(D39)</f>
        <v>4.348735351970312E-2</v>
      </c>
      <c r="D39">
        <f t="shared" si="6"/>
        <v>7</v>
      </c>
      <c r="E39">
        <v>9.2984999999999995E-3</v>
      </c>
      <c r="I39">
        <v>1.1901E-2</v>
      </c>
      <c r="M39">
        <v>1.1270000000000001E-2</v>
      </c>
      <c r="Q39">
        <v>2.1446E-2</v>
      </c>
      <c r="U39">
        <v>1.166E-2</v>
      </c>
      <c r="Y39">
        <v>1.3523E-2</v>
      </c>
      <c r="AG39">
        <v>2.3314999999999999E-2</v>
      </c>
    </row>
    <row r="40" spans="1:33">
      <c r="A40" t="s">
        <v>10</v>
      </c>
      <c r="B40" s="3">
        <f>AVERAGE(E40/E$9,I40/I$9,M40/M$9,Q40/Q$9,U40/U$9,Y40/Y$9,AG40/AG$9)</f>
        <v>0.12131175013263884</v>
      </c>
      <c r="C40" s="3">
        <f>STDEV(E40/E$9,I40/I$9,M40/M$9,Q40/Q$9,U40/U$9,Y40/Y$9,AG40/AG$9)/SQRT(D40)</f>
        <v>1.5027177240556218E-2</v>
      </c>
      <c r="D40">
        <f t="shared" si="6"/>
        <v>7</v>
      </c>
      <c r="E40">
        <v>4.8237000000000002E-3</v>
      </c>
      <c r="I40">
        <v>4.9433999999999997E-3</v>
      </c>
      <c r="M40">
        <v>5.7051000000000003E-3</v>
      </c>
      <c r="Q40">
        <v>1.034E-2</v>
      </c>
      <c r="U40">
        <v>9.1394000000000006E-3</v>
      </c>
      <c r="Y40">
        <v>9.0995999999999994E-3</v>
      </c>
      <c r="AG40">
        <v>9.8463999999999999E-3</v>
      </c>
    </row>
    <row r="41" spans="1:33">
      <c r="A41" t="s">
        <v>11</v>
      </c>
      <c r="B41" s="3">
        <f>AVERAGE(E41/E$9,I41/I$9,M41/M$9,Q41/Q$9,U41/U$9,Y41/Y$9,AG41/AG$9)</f>
        <v>0.22299149723435954</v>
      </c>
      <c r="C41" s="3">
        <f>STDEV(E41/E$9,I41/I$9,M41/M$9,Q41/Q$9,U41/U$9,Y41/Y$9,AG41/AG$9)/SQRT(D41)</f>
        <v>3.0668344582081501E-2</v>
      </c>
      <c r="D41">
        <f t="shared" si="6"/>
        <v>7</v>
      </c>
      <c r="E41">
        <v>9.5931999999999996E-3</v>
      </c>
      <c r="I41">
        <v>1.1728000000000001E-2</v>
      </c>
      <c r="M41">
        <v>1.0840000000000001E-2</v>
      </c>
      <c r="Q41">
        <v>1.7340000000000001E-2</v>
      </c>
      <c r="U41">
        <v>1.4234E-2</v>
      </c>
      <c r="Y41">
        <v>1.3311999999999999E-2</v>
      </c>
      <c r="AG41">
        <v>1.7593000000000001E-2</v>
      </c>
    </row>
    <row r="42" spans="1:33">
      <c r="A42" t="s">
        <v>49</v>
      </c>
      <c r="B42" s="3" t="s">
        <v>30</v>
      </c>
      <c r="C42" s="3" t="s">
        <v>30</v>
      </c>
      <c r="D42">
        <f t="shared" si="6"/>
        <v>0</v>
      </c>
    </row>
    <row r="43" spans="1:33">
      <c r="A43" t="s">
        <v>12</v>
      </c>
      <c r="B43" s="3">
        <f>AVERAGE(E43/E$9,I43/I$9,M43/M$9,Q43/Q$9,U43/U$9,Y43/Y$9,AG43/AG$9)</f>
        <v>0.14395506719792919</v>
      </c>
      <c r="C43" s="3">
        <f>STDEV(E43/E$9,I43/I$9,M43/M$9,Q43/Q$9,U43/U$9,Y43/Y$9,AG43/AG$9)/SQRT(D43)</f>
        <v>2.0707981550785914E-2</v>
      </c>
      <c r="D43">
        <f t="shared" si="6"/>
        <v>7</v>
      </c>
      <c r="E43">
        <v>6.6373999999999999E-3</v>
      </c>
      <c r="I43">
        <v>6.5897999999999998E-3</v>
      </c>
      <c r="M43">
        <v>6.5332999999999997E-3</v>
      </c>
      <c r="Q43">
        <v>1.1675E-2</v>
      </c>
      <c r="U43">
        <v>7.9258000000000002E-3</v>
      </c>
      <c r="Y43">
        <v>1.0090999999999999E-2</v>
      </c>
      <c r="AG43">
        <v>1.1643000000000001E-2</v>
      </c>
    </row>
    <row r="44" spans="1:33">
      <c r="A44" t="s">
        <v>13</v>
      </c>
      <c r="B44" s="3">
        <f>AVERAGE(E44/E$9,I44/I$9,M44/M$9,Q44/Q$9,U44/U$9,Y44/Y$9,AG44/AG$9)</f>
        <v>0.16018711565284502</v>
      </c>
      <c r="C44" s="3">
        <f>STDEV(E44/E$9,I44/I$9,M44/M$9,Q44/Q$9,U44/U$9,Y44/Y$9,AG44/AG$9)/SQRT(D44)</f>
        <v>2.8835846923168575E-2</v>
      </c>
      <c r="D44">
        <f t="shared" si="6"/>
        <v>7</v>
      </c>
      <c r="E44">
        <v>8.1130000000000004E-3</v>
      </c>
      <c r="I44">
        <v>7.3471999999999999E-3</v>
      </c>
      <c r="M44">
        <v>7.2798000000000003E-3</v>
      </c>
      <c r="Q44">
        <v>6.7869000000000002E-3</v>
      </c>
      <c r="U44">
        <v>1.2283000000000001E-2</v>
      </c>
      <c r="Y44">
        <v>1.0725E-2</v>
      </c>
      <c r="AG44">
        <v>1.5114000000000001E-2</v>
      </c>
    </row>
    <row r="45" spans="1:33">
      <c r="A45" t="s">
        <v>14</v>
      </c>
      <c r="B45" s="3">
        <f>AVERAGE(E45/E$9,I45/I$9,M45/M$9,Q45/Q$9,U45/U$9,Y45/Y$9,AG45/AG$9)</f>
        <v>0.21890929449323035</v>
      </c>
      <c r="C45" s="3">
        <f>STDEV(E45/E$9,I45/I$9,M45/M$9,Q45/Q$9,U45/U$9,Y45/Y$9,AG45/AG$9)/SQRT(D45)</f>
        <v>2.3454781300093434E-2</v>
      </c>
      <c r="D45">
        <f t="shared" si="6"/>
        <v>7</v>
      </c>
      <c r="E45">
        <v>9.8028999999999998E-3</v>
      </c>
      <c r="I45">
        <v>9.9517000000000008E-3</v>
      </c>
      <c r="M45">
        <v>9.2647000000000007E-3</v>
      </c>
      <c r="Q45">
        <v>1.6008999999999999E-2</v>
      </c>
      <c r="U45">
        <v>1.8449E-2</v>
      </c>
      <c r="Y45">
        <v>1.7916999999999999E-2</v>
      </c>
      <c r="AG45">
        <v>1.6542999999999999E-2</v>
      </c>
    </row>
    <row r="46" spans="1:33">
      <c r="A46" t="s">
        <v>56</v>
      </c>
      <c r="B46" s="3">
        <f>AVERAGE(E46/E$9,I46/I$9,M46/M$9,Q46/Q$9,U46/U$9,Y46/Y$9,AG46/AG$9)</f>
        <v>7.1907837155412352E-2</v>
      </c>
      <c r="C46" s="3">
        <f>STDEV(E46/E$9,I46/I$9,M46/M$9,Q46/Q$9,U46/U$9,Y46/Y$9,AG46/AG$9)/SQRT(D46)</f>
        <v>1.9240928377801662E-2</v>
      </c>
      <c r="D46">
        <f t="shared" si="6"/>
        <v>7</v>
      </c>
      <c r="E46">
        <v>5.3854999999999997E-3</v>
      </c>
      <c r="I46">
        <v>2.7959E-3</v>
      </c>
      <c r="M46">
        <v>4.4869000000000003E-3</v>
      </c>
      <c r="Q46">
        <v>7.4898999999999999E-3</v>
      </c>
      <c r="U46">
        <v>5.5057999999999999E-3</v>
      </c>
      <c r="Y46">
        <v>5.0650000000000001E-3</v>
      </c>
      <c r="AG46">
        <v>0</v>
      </c>
    </row>
    <row r="47" spans="1:33">
      <c r="A47" t="s">
        <v>57</v>
      </c>
      <c r="B47" s="3">
        <f>AVERAGE(U47/U$9,Y47/Y$9)</f>
        <v>5.2820378916734384E-2</v>
      </c>
      <c r="C47" s="3">
        <f>STDEV(U47/U$9,Y47/Y$9)/SQRT(D47)</f>
        <v>1.6527450856403766E-2</v>
      </c>
      <c r="D47">
        <f t="shared" si="6"/>
        <v>2</v>
      </c>
      <c r="U47">
        <v>5.2760000000000003E-3</v>
      </c>
      <c r="Y47">
        <v>6.8446000000000002E-3</v>
      </c>
    </row>
    <row r="48" spans="1:33">
      <c r="A48" t="s">
        <v>15</v>
      </c>
      <c r="B48" s="3">
        <f>AVERAGE(E48/E$9,I48/I$9,M48/M$9,Q48/Q$9,U48/U$9,Y48/Y$9,AG48/AG$9)</f>
        <v>0.18100458327870037</v>
      </c>
      <c r="C48" s="3">
        <f>STDEV(E48/E$9,I48/I$9,M48/M$9,Q48/Q$9,U48/U$9,Y48/Y$9,AG48/AG$9)/SQRT(D48)</f>
        <v>3.8720186745802292E-2</v>
      </c>
      <c r="D48">
        <f t="shared" si="6"/>
        <v>7</v>
      </c>
      <c r="E48">
        <v>8.6096000000000002E-3</v>
      </c>
      <c r="I48">
        <v>8.2672000000000006E-3</v>
      </c>
      <c r="M48">
        <v>7.9250999999999992E-3</v>
      </c>
      <c r="Q48">
        <v>1.6018999999999999E-2</v>
      </c>
      <c r="U48">
        <v>1.944E-3</v>
      </c>
      <c r="Y48">
        <v>1.0564E-2</v>
      </c>
      <c r="AG48">
        <v>1.7736999999999999E-2</v>
      </c>
    </row>
    <row r="49" spans="1:33">
      <c r="A49" t="s">
        <v>22</v>
      </c>
      <c r="B49" s="3">
        <f>AVERAGE(U49/U$9,Y49/Y$9,AG49/AG$9)</f>
        <v>0.12095022871917264</v>
      </c>
      <c r="C49" s="3">
        <f>STDEV(U49/U$9,Y49/Y$9,AG49/AG$9)/SQRT(D49)</f>
        <v>4.2271013177828318E-2</v>
      </c>
      <c r="D49">
        <f>COUNT(E49:AZ49)</f>
        <v>3</v>
      </c>
      <c r="U49">
        <v>8.7793999999999997E-3</v>
      </c>
      <c r="Y49">
        <v>9.8837999999999999E-3</v>
      </c>
      <c r="AG49">
        <v>1.0683E-2</v>
      </c>
    </row>
    <row r="50" spans="1:33">
      <c r="A50" t="s">
        <v>59</v>
      </c>
      <c r="B50" s="3" t="s">
        <v>30</v>
      </c>
      <c r="C50" s="3" t="s">
        <v>30</v>
      </c>
      <c r="D50">
        <f t="shared" si="6"/>
        <v>0</v>
      </c>
    </row>
    <row r="51" spans="1:33">
      <c r="A51" t="s">
        <v>58</v>
      </c>
      <c r="B51" s="3" t="s">
        <v>30</v>
      </c>
      <c r="C51" s="3" t="s">
        <v>30</v>
      </c>
      <c r="D51">
        <f t="shared" si="6"/>
        <v>0</v>
      </c>
    </row>
    <row r="53" spans="1:33">
      <c r="A53" s="1" t="s">
        <v>17</v>
      </c>
    </row>
    <row r="54" spans="1:33">
      <c r="A54" t="s">
        <v>7</v>
      </c>
      <c r="B54" s="3">
        <f>AVERAGE(E54/E$9,I54/I$9,M54/M$9,Q54/Q$9,U54/U$9,Y54/Y$9,AG54/AG$9)</f>
        <v>8.1756882188499497E-2</v>
      </c>
      <c r="C54" s="3">
        <f>STDEV(E54/E$9,I54/I$9,M54/M$9,Q54/Q$9,U54/U$9,Y54/Y$9,AG54/AG$9)/SQRT(D54)</f>
        <v>2.0405651603156164E-2</v>
      </c>
      <c r="D54">
        <f>COUNT(E54:AZ54)</f>
        <v>7</v>
      </c>
      <c r="E54">
        <v>5.0042000000000003E-3</v>
      </c>
      <c r="I54">
        <v>2.9267E-3</v>
      </c>
      <c r="M54">
        <v>2.4868999999999998E-3</v>
      </c>
      <c r="Q54">
        <v>6.9365E-3</v>
      </c>
      <c r="U54">
        <v>3.1169000000000001E-3</v>
      </c>
      <c r="Y54">
        <v>3.4586E-3</v>
      </c>
      <c r="AG54">
        <v>8.6207999999999996E-3</v>
      </c>
    </row>
    <row r="55" spans="1:33">
      <c r="A55" t="s">
        <v>8</v>
      </c>
      <c r="B55" s="3">
        <f>AVERAGE(E55/E$9,I55/I$9,M55/M$9,Q55/Q$9,U55/U$9,Y55/Y$9,AG55/AG$9)</f>
        <v>0.21387831779341701</v>
      </c>
      <c r="C55" s="3">
        <f>STDEV(E55/E$9,I55/I$9,M55/M$9,Q55/Q$9,U55/U$9,Y55/Y$9,AG55/AG$9)/SQRT(D55)</f>
        <v>2.3086535095982658E-2</v>
      </c>
      <c r="D55">
        <f t="shared" ref="D55:D65" si="7">COUNT(E55:AZ55)</f>
        <v>7</v>
      </c>
      <c r="E55">
        <v>9.1713999999999997E-3</v>
      </c>
      <c r="I55">
        <v>9.5335000000000003E-3</v>
      </c>
      <c r="M55">
        <v>7.8091999999999996E-3</v>
      </c>
      <c r="Q55">
        <v>1.5776999999999999E-2</v>
      </c>
      <c r="U55">
        <v>2.0177E-2</v>
      </c>
      <c r="Y55">
        <v>1.8515E-2</v>
      </c>
      <c r="AG55">
        <v>1.7083999999999998E-2</v>
      </c>
    </row>
    <row r="56" spans="1:33">
      <c r="A56" t="s">
        <v>9</v>
      </c>
      <c r="B56" s="3">
        <f>AVERAGE(E56/E$9,I56/I$9,M56/M$9,Q56/Q$9,U56/U$9,Y56/Y$9,AG56/AG$9)</f>
        <v>0.33314311714315015</v>
      </c>
      <c r="C56" s="3">
        <f>STDEV(E56/E$9,I56/I$9,M56/M$9,Q56/Q$9,U56/U$9,Y56/Y$9,AG56/AG$9)/SQRT(D56)</f>
        <v>5.7291439520635319E-2</v>
      </c>
      <c r="D56">
        <f t="shared" si="7"/>
        <v>7</v>
      </c>
      <c r="E56">
        <v>1.5270000000000001E-2</v>
      </c>
      <c r="I56">
        <v>1.6705000000000001E-2</v>
      </c>
      <c r="M56">
        <v>1.8155000000000001E-2</v>
      </c>
      <c r="Q56">
        <v>2.5333000000000001E-2</v>
      </c>
      <c r="U56">
        <v>1.5263000000000001E-2</v>
      </c>
      <c r="Y56">
        <v>1.6167999999999998E-2</v>
      </c>
      <c r="AG56">
        <v>2.7925999999999999E-2</v>
      </c>
    </row>
    <row r="57" spans="1:33">
      <c r="A57" t="s">
        <v>10</v>
      </c>
      <c r="B57" s="3">
        <f>AVERAGE(E57/E$9,I57/I$9,M57/M$9,Q57/Q$9,U57/U$9,Y57/Y$9,AG57/AG$9)</f>
        <v>0.14970118046089212</v>
      </c>
      <c r="C57" s="3">
        <f>STDEV(E57/E$9,I57/I$9,M57/M$9,Q57/Q$9,U57/U$9,Y57/Y$9,AG57/AG$9)/SQRT(D57)</f>
        <v>1.6390808728414391E-2</v>
      </c>
      <c r="D57">
        <f t="shared" si="7"/>
        <v>7</v>
      </c>
      <c r="E57">
        <v>6.3870999999999997E-3</v>
      </c>
      <c r="I57">
        <v>7.2014999999999996E-3</v>
      </c>
      <c r="M57">
        <v>6.5976999999999997E-3</v>
      </c>
      <c r="Q57">
        <v>1.1183999999999999E-2</v>
      </c>
      <c r="U57">
        <v>1.1610000000000001E-2</v>
      </c>
      <c r="Y57">
        <v>1.1956E-2</v>
      </c>
      <c r="AG57">
        <v>1.1405E-2</v>
      </c>
    </row>
    <row r="58" spans="1:33">
      <c r="A58" t="s">
        <v>11</v>
      </c>
      <c r="B58" s="3">
        <f>AVERAGE(E58/E$9,I58/I$9,M58/M$9,Q58/Q$9,U58/U$9,Y58/Y$9,AG58/AG$9)</f>
        <v>0.22612718217737604</v>
      </c>
      <c r="C58" s="3">
        <f>STDEV(E58/E$9,I58/I$9,M58/M$9,Q58/Q$9,U58/U$9,Y58/Y$9,AG58/AG$9)/SQRT(D58)</f>
        <v>3.4936021393310007E-2</v>
      </c>
      <c r="D58">
        <f t="shared" si="7"/>
        <v>7</v>
      </c>
      <c r="E58">
        <v>8.7521000000000005E-3</v>
      </c>
      <c r="I58">
        <v>1.0015E-2</v>
      </c>
      <c r="M58">
        <v>1.1050000000000001E-2</v>
      </c>
      <c r="Q58">
        <v>2.0220999999999999E-2</v>
      </c>
      <c r="U58">
        <v>1.1599E-2</v>
      </c>
      <c r="Y58">
        <v>1.5139E-2</v>
      </c>
      <c r="AG58">
        <v>1.9636000000000001E-2</v>
      </c>
    </row>
    <row r="59" spans="1:33">
      <c r="A59" t="s">
        <v>49</v>
      </c>
      <c r="B59" s="3" t="s">
        <v>30</v>
      </c>
      <c r="C59" s="3" t="s">
        <v>30</v>
      </c>
      <c r="D59">
        <f t="shared" si="7"/>
        <v>0</v>
      </c>
    </row>
    <row r="60" spans="1:33">
      <c r="A60" t="s">
        <v>12</v>
      </c>
      <c r="B60" s="3">
        <f>AVERAGE(E60/E$9,I60/I$9,M60/M$9,Q60/Q$9,U60/U$9,Y60/Y$9,AG60/AG$9)</f>
        <v>0.15674891719920128</v>
      </c>
      <c r="C60" s="3">
        <f>STDEV(E60/E$9,I60/I$9,M60/M$9,Q60/Q$9,U60/U$9,Y60/Y$9,AG60/AG$9)/SQRT(D60)</f>
        <v>2.3917825729422418E-2</v>
      </c>
      <c r="D60">
        <f t="shared" si="7"/>
        <v>7</v>
      </c>
      <c r="E60">
        <v>6.3841000000000002E-3</v>
      </c>
      <c r="I60">
        <v>7.8857000000000007E-3</v>
      </c>
      <c r="M60">
        <v>8.0634999999999995E-3</v>
      </c>
      <c r="Q60">
        <v>1.23E-2</v>
      </c>
      <c r="U60">
        <v>9.0226000000000004E-3</v>
      </c>
      <c r="Y60">
        <v>8.9061999999999995E-3</v>
      </c>
      <c r="AG60">
        <v>1.3285999999999999E-2</v>
      </c>
    </row>
    <row r="61" spans="1:33">
      <c r="A61" t="s">
        <v>13</v>
      </c>
      <c r="B61" s="3">
        <f>AVERAGE(E61/E$9,I61/I$9,M61/M$9,Q61/Q$9,U61/U$9,Y61/Y$9,AG61/AG$9)</f>
        <v>0.16591618178706952</v>
      </c>
      <c r="C61" s="3">
        <f>STDEV(E61/E$9,I61/I$9,M61/M$9,Q61/Q$9,U61/U$9,Y61/Y$9,AG61/AG$9)/SQRT(D61)</f>
        <v>3.0185050341950449E-2</v>
      </c>
      <c r="D61">
        <f t="shared" si="7"/>
        <v>7</v>
      </c>
      <c r="E61">
        <v>8.7179000000000006E-3</v>
      </c>
      <c r="I61">
        <v>2.4697E-3</v>
      </c>
      <c r="M61">
        <v>7.8875999999999998E-3</v>
      </c>
      <c r="Q61">
        <v>1.4708000000000001E-2</v>
      </c>
      <c r="U61">
        <v>1.3100000000000001E-2</v>
      </c>
      <c r="Y61">
        <v>1.2843E-2</v>
      </c>
      <c r="AG61">
        <v>1.3996E-2</v>
      </c>
    </row>
    <row r="62" spans="1:33">
      <c r="A62" t="s">
        <v>14</v>
      </c>
      <c r="B62" s="3">
        <f>AVERAGE(E62/E$9,I62/I$9,M62/M$9,Q62/Q$9,U62/U$9,Y62/Y$9,AG62/AG$9)</f>
        <v>0.24505069308480049</v>
      </c>
      <c r="C62" s="3">
        <f>STDEV(E62/E$9,I62/I$9,M62/M$9,Q62/Q$9,U62/U$9,Y62/Y$9,AG62/AG$9)/SQRT(D62)</f>
        <v>2.6410025103939371E-2</v>
      </c>
      <c r="D62">
        <f t="shared" si="7"/>
        <v>7</v>
      </c>
      <c r="E62">
        <v>1.1619000000000001E-2</v>
      </c>
      <c r="I62">
        <v>1.0732999999999999E-2</v>
      </c>
      <c r="M62">
        <v>1.0815E-2</v>
      </c>
      <c r="Q62">
        <v>1.9354E-2</v>
      </c>
      <c r="U62">
        <v>2.0315E-2</v>
      </c>
      <c r="Y62">
        <v>1.8834E-2</v>
      </c>
      <c r="AG62">
        <v>1.7228E-2</v>
      </c>
    </row>
    <row r="63" spans="1:33">
      <c r="A63" t="s">
        <v>56</v>
      </c>
      <c r="B63" s="3">
        <f>AVERAGE(E63/E$9,I63/I$9,M63/M$9,Q63/Q$9,U63/U$9,Y63/Y$9,AG63/AG$9)</f>
        <v>5.5802656543334259E-2</v>
      </c>
      <c r="C63" s="3">
        <f>STDEV(E63/E$9,I63/I$9,M63/M$9,Q63/Q$9,U63/U$9,Y63/Y$9,AG63/AG$9)/SQRT(D63)</f>
        <v>1.2888069211575136E-2</v>
      </c>
      <c r="D63">
        <f t="shared" si="7"/>
        <v>7</v>
      </c>
      <c r="E63">
        <v>3.5273000000000001E-3</v>
      </c>
      <c r="I63">
        <v>5.9559000000000001E-4</v>
      </c>
      <c r="M63">
        <v>3.8157999999999998E-3</v>
      </c>
      <c r="Q63">
        <v>5.9113000000000004E-3</v>
      </c>
      <c r="U63">
        <v>3.2709000000000002E-3</v>
      </c>
      <c r="Y63">
        <v>3.6031000000000001E-3</v>
      </c>
      <c r="AG63">
        <v>2.7729E-3</v>
      </c>
    </row>
    <row r="64" spans="1:33">
      <c r="A64" t="s">
        <v>57</v>
      </c>
      <c r="B64" s="3">
        <f>AVERAGE(U64/U$9,Y64/Y$9)</f>
        <v>5.3817557453363279E-2</v>
      </c>
      <c r="C64" s="3">
        <f>STDEV(U64/U$9,Y64/Y$9)/SQRT(D64)</f>
        <v>1.3821044770651698E-2</v>
      </c>
      <c r="D64">
        <f t="shared" si="7"/>
        <v>2</v>
      </c>
      <c r="U64">
        <v>5.8144E-3</v>
      </c>
      <c r="Y64">
        <v>6.6759000000000002E-3</v>
      </c>
    </row>
    <row r="65" spans="1:33">
      <c r="A65" t="s">
        <v>15</v>
      </c>
      <c r="B65" s="3">
        <f>AVERAGE(E65/E$9,I65/I$9,M65/M$9,Q65/Q$9,U65/U$9,Y65/Y$9,AG65/AG$9)</f>
        <v>0.18094436378132614</v>
      </c>
      <c r="C65" s="3">
        <f>STDEV(E65/E$9,I65/I$9,M65/M$9,Q65/Q$9,U65/U$9,Y65/Y$9,AG65/AG$9)/SQRT(D65)</f>
        <v>4.1583457482759045E-2</v>
      </c>
      <c r="D65">
        <f t="shared" si="7"/>
        <v>7</v>
      </c>
      <c r="E65">
        <v>7.2973999999999999E-3</v>
      </c>
      <c r="I65">
        <v>1.0083E-2</v>
      </c>
      <c r="M65">
        <v>6.6341000000000004E-3</v>
      </c>
      <c r="Q65">
        <v>1.7221E-2</v>
      </c>
      <c r="U65">
        <v>1.1201E-3</v>
      </c>
      <c r="Y65">
        <v>1.0106E-2</v>
      </c>
      <c r="AG65">
        <v>1.9016999999999999E-2</v>
      </c>
    </row>
    <row r="66" spans="1:33">
      <c r="A66" t="s">
        <v>22</v>
      </c>
      <c r="B66" s="3">
        <f>AVERAGE(U66/U$9,Y66/Y$9,AG66/AG$9)</f>
        <v>0.12501434064099923</v>
      </c>
      <c r="C66" s="3">
        <f>STDEV(U66/U$9,Y66/Y$9,AG66/AG$9)/SQRT(D66)</f>
        <v>5.5976744895312791E-2</v>
      </c>
      <c r="D66">
        <f>COUNT(E66:AZ66)</f>
        <v>3</v>
      </c>
      <c r="U66">
        <v>7.2404000000000001E-3</v>
      </c>
      <c r="Y66">
        <v>8.9619000000000001E-3</v>
      </c>
      <c r="AG66">
        <v>1.2378999999999999E-2</v>
      </c>
    </row>
    <row r="67" spans="1:33">
      <c r="A67" t="s">
        <v>59</v>
      </c>
      <c r="B67" s="3" t="s">
        <v>30</v>
      </c>
      <c r="C67" s="3" t="s">
        <v>30</v>
      </c>
      <c r="D67">
        <f t="shared" ref="D67:D68" si="8">COUNT(E67:AZ67)</f>
        <v>0</v>
      </c>
    </row>
    <row r="68" spans="1:33">
      <c r="A68" t="s">
        <v>58</v>
      </c>
      <c r="B68" s="3" t="s">
        <v>30</v>
      </c>
      <c r="C68" s="3" t="s">
        <v>30</v>
      </c>
      <c r="D68">
        <f t="shared" si="8"/>
        <v>0</v>
      </c>
    </row>
    <row r="81" spans="1:29">
      <c r="A81" s="1" t="s">
        <v>32</v>
      </c>
      <c r="E81" s="74">
        <v>43181</v>
      </c>
      <c r="I81" s="74">
        <v>43181</v>
      </c>
      <c r="M81" s="74">
        <v>43194</v>
      </c>
      <c r="Q81" s="74">
        <v>43184</v>
      </c>
      <c r="U81" s="8"/>
      <c r="Y81" s="74">
        <v>43184</v>
      </c>
      <c r="AC81" s="74">
        <v>43184</v>
      </c>
    </row>
    <row r="82" spans="1:29">
      <c r="A82" s="1" t="s">
        <v>33</v>
      </c>
      <c r="E82" s="75" t="s">
        <v>39</v>
      </c>
      <c r="I82" s="75" t="s">
        <v>39</v>
      </c>
      <c r="M82" s="75" t="s">
        <v>39</v>
      </c>
      <c r="Q82" s="75" t="s">
        <v>39</v>
      </c>
      <c r="U82" s="9"/>
      <c r="Y82" s="75" t="s">
        <v>39</v>
      </c>
      <c r="AC82" s="75" t="s">
        <v>39</v>
      </c>
    </row>
    <row r="83" spans="1:29">
      <c r="A83" s="1" t="s">
        <v>34</v>
      </c>
      <c r="E83" s="79" t="s">
        <v>40</v>
      </c>
      <c r="I83" s="79" t="s">
        <v>73</v>
      </c>
      <c r="M83" s="79" t="s">
        <v>51</v>
      </c>
      <c r="Q83" s="79" t="s">
        <v>75</v>
      </c>
      <c r="U83" s="25"/>
      <c r="Y83" s="79" t="s">
        <v>90</v>
      </c>
      <c r="AC83" s="79" t="s">
        <v>92</v>
      </c>
    </row>
    <row r="84" spans="1:29">
      <c r="A84" s="1" t="s">
        <v>35</v>
      </c>
      <c r="E84" s="75" t="s">
        <v>52</v>
      </c>
      <c r="I84" s="75" t="s">
        <v>52</v>
      </c>
      <c r="M84" s="75" t="s">
        <v>52</v>
      </c>
      <c r="Q84" s="75" t="s">
        <v>52</v>
      </c>
      <c r="U84" s="9"/>
      <c r="Y84" s="75" t="s">
        <v>52</v>
      </c>
      <c r="AC84" s="75" t="s">
        <v>52</v>
      </c>
    </row>
    <row r="85" spans="1:29">
      <c r="A85" s="1" t="s">
        <v>36</v>
      </c>
      <c r="E85" s="75" t="s">
        <v>89</v>
      </c>
      <c r="I85" s="75" t="s">
        <v>89</v>
      </c>
      <c r="M85" s="75" t="s">
        <v>89</v>
      </c>
      <c r="Q85" s="75" t="s">
        <v>89</v>
      </c>
      <c r="U85" s="9"/>
      <c r="Y85" s="75" t="s">
        <v>89</v>
      </c>
      <c r="AC85" s="75" t="s">
        <v>89</v>
      </c>
    </row>
    <row r="86" spans="1:29">
      <c r="A86" s="1" t="s">
        <v>37</v>
      </c>
      <c r="E86" s="44">
        <v>8</v>
      </c>
      <c r="I86" s="44">
        <v>8</v>
      </c>
      <c r="M86" s="44">
        <v>8</v>
      </c>
      <c r="Q86" s="44">
        <v>8</v>
      </c>
      <c r="Y86" s="44">
        <v>8</v>
      </c>
      <c r="AC86" s="44">
        <v>8</v>
      </c>
    </row>
    <row r="87" spans="1:29">
      <c r="A87" s="1" t="s">
        <v>38</v>
      </c>
      <c r="E87" s="44">
        <v>0.4</v>
      </c>
      <c r="I87" s="44">
        <v>0.4</v>
      </c>
      <c r="M87" s="44">
        <v>0.3</v>
      </c>
      <c r="Q87" s="44">
        <v>0.3</v>
      </c>
      <c r="Y87" s="44">
        <v>0.3</v>
      </c>
      <c r="AC87" s="44">
        <v>0.3</v>
      </c>
    </row>
    <row r="88" spans="1:29">
      <c r="A88" s="1" t="s">
        <v>43</v>
      </c>
      <c r="E88">
        <f>E106</f>
        <v>8.7487999999999996E-2</v>
      </c>
      <c r="I88">
        <f>I106</f>
        <v>0.14649000000000001</v>
      </c>
      <c r="M88">
        <f>N106</f>
        <v>8.1777000000000002E-2</v>
      </c>
      <c r="Q88">
        <f>Q106</f>
        <v>7.4421268407040997E-2</v>
      </c>
      <c r="Y88">
        <f>Y106</f>
        <v>8.0160425152272299E-2</v>
      </c>
      <c r="AC88">
        <f>AC106</f>
        <v>6.5030880147512002E-2</v>
      </c>
    </row>
    <row r="89" spans="1:29">
      <c r="A89" s="1" t="s">
        <v>54</v>
      </c>
      <c r="E89">
        <f>E88</f>
        <v>8.7487999999999996E-2</v>
      </c>
      <c r="I89">
        <f>I88</f>
        <v>0.14649000000000001</v>
      </c>
      <c r="M89">
        <f>M88</f>
        <v>8.1777000000000002E-2</v>
      </c>
      <c r="Q89">
        <f>Q88</f>
        <v>7.4421268407040997E-2</v>
      </c>
      <c r="Y89">
        <f>Y88</f>
        <v>8.0160425152272299E-2</v>
      </c>
      <c r="AC89">
        <f>AC88</f>
        <v>6.5030880147512002E-2</v>
      </c>
    </row>
    <row r="90" spans="1:29">
      <c r="A90" s="1" t="s">
        <v>44</v>
      </c>
      <c r="B90" s="22">
        <f>AVERAGE(E90,I90,M90,Q90,U90,Y90,AC90)</f>
        <v>28.477232499523833</v>
      </c>
      <c r="C90" s="22">
        <f>STDEV(E90,I90,M90,Q90,U90,Y90,AC90)/SQRT(D90)</f>
        <v>2.1522319722549854</v>
      </c>
      <c r="D90" s="1">
        <v>7</v>
      </c>
      <c r="E90" s="21">
        <f>E86*E87*(1-E88)/E88</f>
        <v>33.376444769568401</v>
      </c>
      <c r="I90" s="21">
        <f>I86*I87*(1-I88)/I88</f>
        <v>18.644494504744351</v>
      </c>
      <c r="M90" s="21">
        <f>M86*M87*(1-M88)/M88</f>
        <v>26.948105212957188</v>
      </c>
      <c r="Q90" s="21">
        <f>Q86*Q87*(1-Q88)/Q88</f>
        <v>29.848845677735532</v>
      </c>
      <c r="U90" s="21"/>
      <c r="Y90" s="21">
        <f>Y86*Y87*(1-Y88)/Y88</f>
        <v>27.539960965039459</v>
      </c>
      <c r="AC90" s="21">
        <f>AC86*AC87*(1-AC88)/AC88</f>
        <v>34.505543867098048</v>
      </c>
    </row>
    <row r="91" spans="1:29">
      <c r="A91" s="1"/>
    </row>
    <row r="92" spans="1:29">
      <c r="A92" s="1" t="s">
        <v>33</v>
      </c>
      <c r="E92" t="s">
        <v>39</v>
      </c>
      <c r="F92" t="s">
        <v>39</v>
      </c>
      <c r="I92" t="s">
        <v>39</v>
      </c>
      <c r="J92" t="s">
        <v>113</v>
      </c>
      <c r="M92" t="s">
        <v>39</v>
      </c>
      <c r="N92" t="s">
        <v>39</v>
      </c>
      <c r="O92" t="s">
        <v>39</v>
      </c>
      <c r="P92" t="s">
        <v>113</v>
      </c>
      <c r="Q92" t="s">
        <v>39</v>
      </c>
      <c r="R92" t="s">
        <v>113</v>
      </c>
      <c r="S92" t="s">
        <v>39</v>
      </c>
      <c r="Y92" t="s">
        <v>39</v>
      </c>
      <c r="Z92" t="s">
        <v>113</v>
      </c>
      <c r="AA92" t="s">
        <v>39</v>
      </c>
      <c r="AC92" t="s">
        <v>39</v>
      </c>
    </row>
    <row r="93" spans="1:29">
      <c r="A93" s="1" t="s">
        <v>45</v>
      </c>
      <c r="E93" t="s">
        <v>47</v>
      </c>
      <c r="F93" t="s">
        <v>85</v>
      </c>
      <c r="I93" t="s">
        <v>47</v>
      </c>
      <c r="M93" t="s">
        <v>268</v>
      </c>
      <c r="N93" t="s">
        <v>98</v>
      </c>
      <c r="O93" t="s">
        <v>85</v>
      </c>
      <c r="Q93" t="s">
        <v>98</v>
      </c>
      <c r="S93" t="s">
        <v>85</v>
      </c>
      <c r="Y93" t="s">
        <v>98</v>
      </c>
      <c r="AA93" t="s">
        <v>85</v>
      </c>
      <c r="AC93" t="s">
        <v>98</v>
      </c>
    </row>
    <row r="94" spans="1:29" ht="68">
      <c r="A94" s="12" t="s">
        <v>31</v>
      </c>
      <c r="E94" s="11" t="s">
        <v>96</v>
      </c>
      <c r="F94" s="11" t="s">
        <v>81</v>
      </c>
      <c r="G94" s="47"/>
      <c r="I94" s="11" t="s">
        <v>96</v>
      </c>
      <c r="J94" s="47">
        <v>43672</v>
      </c>
      <c r="M94" s="11" t="s">
        <v>267</v>
      </c>
      <c r="N94" s="11" t="s">
        <v>97</v>
      </c>
      <c r="O94" s="11" t="s">
        <v>81</v>
      </c>
      <c r="P94" s="47">
        <v>43672</v>
      </c>
      <c r="Q94" s="11" t="s">
        <v>99</v>
      </c>
      <c r="R94" s="47">
        <v>43672</v>
      </c>
      <c r="S94" s="10" t="s">
        <v>279</v>
      </c>
      <c r="U94" s="11"/>
      <c r="Y94" s="11" t="s">
        <v>99</v>
      </c>
      <c r="Z94" s="47">
        <v>43672</v>
      </c>
      <c r="AA94" s="10" t="s">
        <v>279</v>
      </c>
      <c r="AC94" s="11" t="s">
        <v>99</v>
      </c>
    </row>
    <row r="96" spans="1:29">
      <c r="A96" s="1" t="s">
        <v>50</v>
      </c>
      <c r="E96" t="s">
        <v>275</v>
      </c>
      <c r="I96" t="s">
        <v>275</v>
      </c>
    </row>
    <row r="98" spans="1:29">
      <c r="A98" s="1" t="s">
        <v>0</v>
      </c>
    </row>
    <row r="99" spans="1:29">
      <c r="A99" t="s">
        <v>60</v>
      </c>
      <c r="B99">
        <f>AVERAGE(E99/E$89,I99/I$89,M99/M$89)</f>
        <v>4.1605182819817448E-2</v>
      </c>
      <c r="C99">
        <f>STDEV(E99/E$89,I99/I$89,M99/M$89)/SQRT(D99)</f>
        <v>5.6100614039667701E-3</v>
      </c>
      <c r="D99">
        <f>COUNT(E99:AZ99)</f>
        <v>3</v>
      </c>
      <c r="E99">
        <v>2.6757999999999999E-3</v>
      </c>
      <c r="I99">
        <v>7.1693E-3</v>
      </c>
      <c r="M99">
        <v>3.7036999999999999E-3</v>
      </c>
    </row>
    <row r="100" spans="1:29">
      <c r="A100" t="s">
        <v>61</v>
      </c>
      <c r="B100">
        <f t="shared" ref="B100:B105" si="9">AVERAGE(E100/E$89,I100/I$89,M100/M$89)</f>
        <v>4.9747237706361337E-2</v>
      </c>
      <c r="C100">
        <f t="shared" ref="C100:C105" si="10">STDEV(E100/E$89,I100/I$89,M100/M$89)/SQRT(D100)</f>
        <v>5.7814284446422058E-3</v>
      </c>
      <c r="D100">
        <f t="shared" ref="D100:D113" si="11">COUNT(E100:AZ100)</f>
        <v>3</v>
      </c>
      <c r="E100">
        <v>3.4754999999999999E-3</v>
      </c>
      <c r="I100">
        <v>8.7531999999999992E-3</v>
      </c>
      <c r="M100">
        <v>4.0695000000000002E-3</v>
      </c>
    </row>
    <row r="101" spans="1:29">
      <c r="A101" t="s">
        <v>62</v>
      </c>
      <c r="B101">
        <f t="shared" si="9"/>
        <v>0.10010959376351732</v>
      </c>
      <c r="C101">
        <f t="shared" si="10"/>
        <v>6.6001343528708607E-3</v>
      </c>
      <c r="D101">
        <f t="shared" si="11"/>
        <v>3</v>
      </c>
      <c r="E101">
        <v>9.6673000000000002E-3</v>
      </c>
      <c r="I101">
        <v>1.2871E-2</v>
      </c>
      <c r="M101">
        <v>8.3385999999999998E-3</v>
      </c>
    </row>
    <row r="102" spans="1:29">
      <c r="A102" t="s">
        <v>63</v>
      </c>
      <c r="B102">
        <f t="shared" si="9"/>
        <v>1.1765337228941799E-2</v>
      </c>
      <c r="C102">
        <f t="shared" si="10"/>
        <v>4.8533385498397107E-3</v>
      </c>
      <c r="D102">
        <f t="shared" si="11"/>
        <v>3</v>
      </c>
      <c r="E102">
        <v>1.7114999999999999E-3</v>
      </c>
      <c r="I102">
        <v>1.8858E-3</v>
      </c>
      <c r="M102">
        <v>2.3389E-4</v>
      </c>
    </row>
    <row r="103" spans="1:29">
      <c r="A103" t="s">
        <v>64</v>
      </c>
      <c r="B103">
        <f t="shared" si="9"/>
        <v>0.19484424018856061</v>
      </c>
      <c r="C103">
        <f t="shared" si="10"/>
        <v>3.4609606074530813E-2</v>
      </c>
      <c r="D103">
        <f t="shared" si="11"/>
        <v>3</v>
      </c>
      <c r="E103">
        <v>1.4666999999999999E-2</v>
      </c>
      <c r="I103">
        <v>3.8609999999999998E-2</v>
      </c>
      <c r="M103">
        <v>1.2538000000000001E-2</v>
      </c>
    </row>
    <row r="104" spans="1:29">
      <c r="A104" t="s">
        <v>65</v>
      </c>
      <c r="B104">
        <f t="shared" si="9"/>
        <v>3.4843859592867108E-3</v>
      </c>
      <c r="C104">
        <f t="shared" si="10"/>
        <v>1.4913388176943363E-3</v>
      </c>
      <c r="D104">
        <f t="shared" si="11"/>
        <v>3</v>
      </c>
      <c r="E104">
        <v>5.6159999999999999E-4</v>
      </c>
      <c r="I104">
        <v>3.6300999999999998E-4</v>
      </c>
      <c r="M104">
        <v>1.2724000000000001E-4</v>
      </c>
    </row>
    <row r="105" spans="1:29">
      <c r="A105" t="s">
        <v>66</v>
      </c>
      <c r="B105">
        <f t="shared" si="9"/>
        <v>5.3430755353332917E-3</v>
      </c>
      <c r="C105">
        <f t="shared" si="10"/>
        <v>1.6293773295940055E-3</v>
      </c>
      <c r="D105">
        <f t="shared" si="11"/>
        <v>3</v>
      </c>
      <c r="E105">
        <v>6.1048000000000005E-4</v>
      </c>
      <c r="I105">
        <v>1.0206E-3</v>
      </c>
      <c r="M105">
        <v>1.7045E-4</v>
      </c>
    </row>
    <row r="106" spans="1:29">
      <c r="A106" t="s">
        <v>67</v>
      </c>
      <c r="B106">
        <v>1</v>
      </c>
      <c r="C106">
        <v>0</v>
      </c>
      <c r="D106">
        <f t="shared" si="11"/>
        <v>7</v>
      </c>
      <c r="E106">
        <v>8.7487999999999996E-2</v>
      </c>
      <c r="I106">
        <v>0.14649000000000001</v>
      </c>
      <c r="M106">
        <v>6.2554999999999999E-2</v>
      </c>
      <c r="N106">
        <v>8.1777000000000002E-2</v>
      </c>
      <c r="Q106">
        <v>7.4421268407040997E-2</v>
      </c>
      <c r="Y106">
        <v>8.0160425152272299E-2</v>
      </c>
      <c r="AC106">
        <v>6.5030880147512002E-2</v>
      </c>
    </row>
    <row r="107" spans="1:29">
      <c r="A107" t="s">
        <v>71</v>
      </c>
      <c r="B107">
        <f t="shared" ref="B107:B109" si="12">AVERAGE(E107/E$89,I107/I$89,M107/M$89)</f>
        <v>5.4984413042983595E-4</v>
      </c>
      <c r="C107">
        <f t="shared" ref="C107:C109" si="13">STDEV(E107/E$89,I107/I$89,M107/M$89)/SQRT(D107)</f>
        <v>5.4984413042983584E-4</v>
      </c>
      <c r="D107">
        <f t="shared" si="11"/>
        <v>3</v>
      </c>
      <c r="E107">
        <v>0</v>
      </c>
      <c r="I107">
        <v>2.4164E-4</v>
      </c>
      <c r="M107">
        <v>0</v>
      </c>
    </row>
    <row r="108" spans="1:29">
      <c r="A108" t="s">
        <v>72</v>
      </c>
      <c r="B108">
        <f t="shared" si="12"/>
        <v>5.2996790862096799E-3</v>
      </c>
      <c r="C108">
        <f t="shared" si="13"/>
        <v>2.8053047704211776E-3</v>
      </c>
      <c r="D108">
        <f t="shared" si="11"/>
        <v>3</v>
      </c>
      <c r="E108" s="15">
        <v>3.8250000000000001E-5</v>
      </c>
      <c r="I108">
        <v>7.7738999999999998E-4</v>
      </c>
      <c r="M108">
        <v>8.3045000000000005E-4</v>
      </c>
    </row>
    <row r="109" spans="1:29">
      <c r="A109" t="s">
        <v>69</v>
      </c>
      <c r="B109">
        <f t="shared" si="12"/>
        <v>4.8788303762957515E-2</v>
      </c>
      <c r="C109">
        <f t="shared" si="13"/>
        <v>8.1795026084997158E-3</v>
      </c>
      <c r="D109">
        <f t="shared" si="11"/>
        <v>3</v>
      </c>
      <c r="E109">
        <v>3.228E-3</v>
      </c>
      <c r="I109">
        <v>9.4432000000000006E-3</v>
      </c>
      <c r="M109">
        <v>3.6803999999999999E-3</v>
      </c>
    </row>
    <row r="110" spans="1:29">
      <c r="A110" t="s">
        <v>68</v>
      </c>
      <c r="B110">
        <f>AVERAGE(J110/I89,P110/M89,R110/Q89,Z110/Y89)</f>
        <v>0.14220246588016869</v>
      </c>
      <c r="C110">
        <f>STDEV(J110/I89,P110/M89,R110/Q89,Z110/Y89)/SQRT(D110)</f>
        <v>3.6061211358493155E-2</v>
      </c>
      <c r="D110">
        <f t="shared" si="11"/>
        <v>4</v>
      </c>
      <c r="J110">
        <v>2.6695728162383529E-2</v>
      </c>
      <c r="P110">
        <v>1.8282782063926809E-2</v>
      </c>
      <c r="R110">
        <v>6.2541584424345986E-3</v>
      </c>
      <c r="Z110">
        <v>6.3301102917786307E-3</v>
      </c>
    </row>
    <row r="111" spans="1:29">
      <c r="A111" t="s">
        <v>70</v>
      </c>
      <c r="B111">
        <f>AVERAGE(F111/E89,O111/M89,S111/Q89,AA111/Y89)</f>
        <v>0</v>
      </c>
      <c r="C111">
        <f>STDEV(F111/E89,O111/M89,S111/Q89,AA111/Y89)/SQRT(D111)</f>
        <v>0</v>
      </c>
      <c r="D111">
        <f t="shared" si="11"/>
        <v>4</v>
      </c>
      <c r="F111">
        <v>0</v>
      </c>
      <c r="O111">
        <v>0</v>
      </c>
      <c r="S111">
        <v>0</v>
      </c>
      <c r="AA111">
        <v>0</v>
      </c>
    </row>
    <row r="112" spans="1:29">
      <c r="A112" t="s">
        <v>23</v>
      </c>
      <c r="B112">
        <f t="shared" ref="B112:B113" si="14">AVERAGE(E112/E$89,I112/I$89)</f>
        <v>0</v>
      </c>
      <c r="C112">
        <f t="shared" ref="C112" si="15">STDEV(E112/E$89,I112/I$89,M112/M$89)/SQRT(D112)</f>
        <v>0</v>
      </c>
      <c r="D112">
        <f t="shared" si="11"/>
        <v>3</v>
      </c>
      <c r="E112">
        <v>0</v>
      </c>
      <c r="I112">
        <v>0</v>
      </c>
      <c r="M112">
        <v>0</v>
      </c>
    </row>
    <row r="113" spans="1:13">
      <c r="A113" t="s">
        <v>24</v>
      </c>
      <c r="B113">
        <f t="shared" si="14"/>
        <v>0</v>
      </c>
      <c r="C113">
        <f t="shared" ref="C113" si="16">STDEV(E113/E$89,I113/I$89)/SQRT(D113)</f>
        <v>0</v>
      </c>
      <c r="D113">
        <f t="shared" si="11"/>
        <v>3</v>
      </c>
      <c r="E113">
        <v>0</v>
      </c>
      <c r="I113">
        <v>0</v>
      </c>
      <c r="M113">
        <v>0</v>
      </c>
    </row>
    <row r="116" spans="1:13">
      <c r="A116" s="1" t="s">
        <v>16</v>
      </c>
    </row>
    <row r="117" spans="1:13">
      <c r="A117" t="s">
        <v>7</v>
      </c>
      <c r="B117">
        <f>AVERAGE(E117/E$89,I117/I$89,M117/M$89)</f>
        <v>4.0262523682123186E-2</v>
      </c>
      <c r="C117">
        <f>STDEV(E117/E$89,I117/I$89,M117/M$89)/SQRT(D117)</f>
        <v>1.2441957008590427E-2</v>
      </c>
      <c r="D117">
        <f>COUNT(E117:AZ117)</f>
        <v>3</v>
      </c>
      <c r="E117">
        <v>1.6206E-3</v>
      </c>
      <c r="I117">
        <v>5.9541000000000004E-3</v>
      </c>
      <c r="M117">
        <v>5.0390000000000001E-3</v>
      </c>
    </row>
    <row r="118" spans="1:13">
      <c r="A118" t="s">
        <v>8</v>
      </c>
      <c r="B118">
        <f>AVERAGE(E118/E$89,I118/I$89,M118/M$89)</f>
        <v>0.10562087898711058</v>
      </c>
      <c r="C118">
        <f>STDEV(E118/E$89,I118/I$89,M118/M$89)/SQRT(D118)</f>
        <v>3.5001927556553639E-2</v>
      </c>
      <c r="D118">
        <f t="shared" ref="D118:D131" si="17">COUNT(E118:AZ118)</f>
        <v>3</v>
      </c>
      <c r="E118">
        <v>3.9505E-3</v>
      </c>
      <c r="I118">
        <v>1.5426E-2</v>
      </c>
      <c r="M118">
        <v>1.3608E-2</v>
      </c>
    </row>
    <row r="119" spans="1:13">
      <c r="A119" t="s">
        <v>9</v>
      </c>
      <c r="B119">
        <f t="shared" ref="B119:B121" si="18">AVERAGE(E119/E$89,I119/I$89,M119/M$89)</f>
        <v>0.17521998759523108</v>
      </c>
      <c r="C119">
        <f t="shared" ref="C119:C121" si="19">STDEV(E119/E$89,I119/I$89,M119/M$89)/SQRT(D119)</f>
        <v>1.5891859702221293E-2</v>
      </c>
      <c r="D119">
        <f t="shared" si="17"/>
        <v>3</v>
      </c>
      <c r="E119">
        <v>1.4168E-2</v>
      </c>
      <c r="I119">
        <v>2.2977000000000001E-2</v>
      </c>
      <c r="M119">
        <v>1.6917000000000001E-2</v>
      </c>
    </row>
    <row r="120" spans="1:13">
      <c r="A120" t="s">
        <v>10</v>
      </c>
      <c r="B120">
        <f t="shared" si="18"/>
        <v>9.902472479933265E-2</v>
      </c>
      <c r="C120">
        <f t="shared" si="19"/>
        <v>1.2684907389082151E-2</v>
      </c>
      <c r="D120">
        <f t="shared" si="17"/>
        <v>3</v>
      </c>
      <c r="E120">
        <v>6.5155999999999999E-3</v>
      </c>
      <c r="I120">
        <v>1.5493E-2</v>
      </c>
      <c r="M120">
        <v>9.5546999999999993E-3</v>
      </c>
    </row>
    <row r="121" spans="1:13">
      <c r="A121" t="s">
        <v>11</v>
      </c>
      <c r="B121">
        <f t="shared" si="18"/>
        <v>0.15839833547301838</v>
      </c>
      <c r="C121">
        <f t="shared" si="19"/>
        <v>1.4810021255141444E-2</v>
      </c>
      <c r="D121">
        <f t="shared" si="17"/>
        <v>3</v>
      </c>
      <c r="E121">
        <v>1.2309E-2</v>
      </c>
      <c r="I121">
        <v>2.1488E-2</v>
      </c>
      <c r="M121">
        <v>1.5358999999999999E-2</v>
      </c>
    </row>
    <row r="122" spans="1:13">
      <c r="A122" t="s">
        <v>49</v>
      </c>
      <c r="D122">
        <f t="shared" si="17"/>
        <v>0</v>
      </c>
    </row>
    <row r="123" spans="1:13">
      <c r="A123" t="s">
        <v>12</v>
      </c>
      <c r="B123">
        <f>AVERAGE(E123/E$89,I123/I$89,M123/M$89)</f>
        <v>9.8129215504859826E-2</v>
      </c>
      <c r="C123">
        <f>STDEV(E123/E$89,I123/I$89,M123/M$89)/SQRT(D123)</f>
        <v>1.4241957236922778E-2</v>
      </c>
      <c r="D123">
        <f t="shared" si="17"/>
        <v>3</v>
      </c>
      <c r="E123">
        <v>7.3521000000000003E-3</v>
      </c>
      <c r="I123">
        <v>1.2267E-2</v>
      </c>
      <c r="M123">
        <v>1.0354E-2</v>
      </c>
    </row>
    <row r="124" spans="1:13">
      <c r="A124" t="s">
        <v>13</v>
      </c>
      <c r="B124">
        <f>AVERAGE(E124/E$89,I124/I$89,M124/M$89)</f>
        <v>0.12458943165704987</v>
      </c>
      <c r="C124">
        <f>STDEV(E124/E$89,I124/I$89,M124/M$89)/SQRT(D124)</f>
        <v>2.1472628211957008E-2</v>
      </c>
      <c r="D124">
        <f t="shared" si="17"/>
        <v>3</v>
      </c>
      <c r="E124">
        <v>1.0055E-2</v>
      </c>
      <c r="I124">
        <v>1.3650000000000001E-2</v>
      </c>
      <c r="M124">
        <v>1.3547E-2</v>
      </c>
    </row>
    <row r="125" spans="1:13">
      <c r="A125" t="s">
        <v>14</v>
      </c>
      <c r="B125">
        <f t="shared" ref="B125:B127" si="20">AVERAGE(E125/E$89,I125/I$89,M125/M$89)</f>
        <v>0.1596185139902068</v>
      </c>
      <c r="C125">
        <f t="shared" ref="C125:C127" si="21">STDEV(E125/E$89,I125/I$89,M125/M$89)/SQRT(D125)</f>
        <v>1.9013604353549908E-2</v>
      </c>
      <c r="D125">
        <f t="shared" si="17"/>
        <v>3</v>
      </c>
      <c r="E125">
        <v>1.1246000000000001E-2</v>
      </c>
      <c r="I125">
        <v>2.2877999999999999E-2</v>
      </c>
      <c r="M125">
        <v>1.5876000000000001E-2</v>
      </c>
    </row>
    <row r="126" spans="1:13">
      <c r="A126" t="s">
        <v>56</v>
      </c>
      <c r="B126">
        <f t="shared" ref="B126" si="22">AVERAGE(E126/E$89,I126/I$89,M126/M$89)</f>
        <v>6.8504227254664277E-2</v>
      </c>
      <c r="C126">
        <f t="shared" ref="C126" si="23">STDEV(E126/E$89,I126/I$89,M126/M$89)/SQRT(D126)</f>
        <v>1.3200928236422564E-2</v>
      </c>
      <c r="D126">
        <f t="shared" si="17"/>
        <v>3</v>
      </c>
      <c r="E126">
        <v>5.3233866870169653E-3</v>
      </c>
      <c r="I126" s="31">
        <v>7.3905490114827502E-3</v>
      </c>
      <c r="M126">
        <v>7.7045999999999998E-3</v>
      </c>
    </row>
    <row r="127" spans="1:13">
      <c r="A127" t="s">
        <v>57</v>
      </c>
      <c r="B127">
        <f t="shared" si="20"/>
        <v>0</v>
      </c>
      <c r="C127" t="e">
        <f t="shared" si="21"/>
        <v>#DIV/0!</v>
      </c>
      <c r="D127">
        <f t="shared" si="17"/>
        <v>0</v>
      </c>
    </row>
    <row r="128" spans="1:13">
      <c r="A128" t="s">
        <v>15</v>
      </c>
      <c r="B128">
        <f>AVERAGE(E128/E$89,I128/I$89,M128/M$89)</f>
        <v>0.11225252361495526</v>
      </c>
      <c r="C128">
        <f>STDEV(E128/E$89,I128/I$89,M128/M$89)/SQRT(D128)</f>
        <v>1.0283438397108694E-2</v>
      </c>
      <c r="D128">
        <f>COUNT(E128:AZ128)</f>
        <v>3</v>
      </c>
      <c r="E128">
        <v>8.8363000000000001E-3</v>
      </c>
      <c r="I128">
        <v>1.5084E-2</v>
      </c>
      <c r="M128">
        <v>1.0859000000000001E-2</v>
      </c>
    </row>
    <row r="129" spans="1:13">
      <c r="A129" t="s">
        <v>22</v>
      </c>
      <c r="B129">
        <f t="shared" ref="B129" si="24">AVERAGE(E129/E$89,I129/I$89,M129/M$89)</f>
        <v>9.3967211319184452E-2</v>
      </c>
      <c r="C129">
        <f t="shared" ref="C129" si="25">STDEV(E129/E$89,I129/I$89,M129/M$89)/SQRT(D129)</f>
        <v>1.8302079893237205E-2</v>
      </c>
      <c r="D129">
        <f t="shared" si="17"/>
        <v>3</v>
      </c>
      <c r="E129">
        <v>5.7534999999999999E-3</v>
      </c>
      <c r="I129">
        <v>1.2871E-2</v>
      </c>
      <c r="M129">
        <v>1.0489999999999999E-2</v>
      </c>
    </row>
    <row r="130" spans="1:13">
      <c r="A130" t="s">
        <v>59</v>
      </c>
      <c r="B130" s="3" t="s">
        <v>30</v>
      </c>
      <c r="C130" s="3" t="s">
        <v>30</v>
      </c>
      <c r="D130">
        <f t="shared" si="17"/>
        <v>0</v>
      </c>
    </row>
    <row r="131" spans="1:13">
      <c r="A131" t="s">
        <v>58</v>
      </c>
      <c r="B131" s="3" t="s">
        <v>30</v>
      </c>
      <c r="C131" s="3" t="s">
        <v>30</v>
      </c>
      <c r="D131">
        <f t="shared" si="17"/>
        <v>0</v>
      </c>
    </row>
    <row r="133" spans="1:13">
      <c r="A133" s="1" t="s">
        <v>17</v>
      </c>
    </row>
    <row r="134" spans="1:13">
      <c r="A134" t="s">
        <v>7</v>
      </c>
      <c r="B134">
        <f>AVERAGE(E134/E$89,I134/I$89,M134/M$89)</f>
        <v>4.2617520743283933E-2</v>
      </c>
      <c r="C134">
        <f>STDEV(E134/E$89,I134/I$89,M134/M$89)/SQRT(D134)</f>
        <v>6.7389679639341662E-3</v>
      </c>
      <c r="D134">
        <f>COUNT(E134:AZ134)</f>
        <v>3</v>
      </c>
      <c r="E134">
        <v>2.8162999999999999E-3</v>
      </c>
      <c r="I134">
        <v>5.9233000000000003E-3</v>
      </c>
      <c r="M134">
        <v>4.5163E-3</v>
      </c>
    </row>
    <row r="135" spans="1:13">
      <c r="A135" t="s">
        <v>8</v>
      </c>
      <c r="B135">
        <f>AVERAGE(E135/E$89,I135/I$89,M135/M$89)</f>
        <v>0.16264431023301731</v>
      </c>
      <c r="C135">
        <f>STDEV(E135/E$89,I135/I$89,M135/M$89)/SQRT(D135)</f>
        <v>7.7132517077467171E-3</v>
      </c>
      <c r="D135">
        <f t="shared" ref="D135:D144" si="26">COUNT(E135:AZ135)</f>
        <v>3</v>
      </c>
      <c r="E135">
        <v>1.3528E-2</v>
      </c>
      <c r="I135">
        <v>2.6085000000000001E-2</v>
      </c>
      <c r="M135">
        <v>1.2695E-2</v>
      </c>
    </row>
    <row r="136" spans="1:13">
      <c r="A136" t="s">
        <v>9</v>
      </c>
      <c r="B136">
        <f t="shared" ref="B136:B138" si="27">AVERAGE(E136/E$89,I136/I$89,M136/M$89)</f>
        <v>0.25116776697673376</v>
      </c>
      <c r="C136">
        <f t="shared" ref="C136:C138" si="28">STDEV(E136/E$89,I136/I$89,M136/M$89)/SQRT(D136)</f>
        <v>5.2480568125080958E-2</v>
      </c>
      <c r="D136">
        <f t="shared" si="26"/>
        <v>3</v>
      </c>
      <c r="E136">
        <v>1.7253000000000001E-2</v>
      </c>
      <c r="I136">
        <v>2.9325E-2</v>
      </c>
      <c r="M136">
        <v>2.9121999999999999E-2</v>
      </c>
    </row>
    <row r="137" spans="1:13">
      <c r="A137" t="s">
        <v>10</v>
      </c>
      <c r="B137">
        <f t="shared" si="27"/>
        <v>0.13944001450939686</v>
      </c>
      <c r="C137">
        <f t="shared" si="28"/>
        <v>8.8264523353700358E-3</v>
      </c>
      <c r="D137">
        <f t="shared" si="26"/>
        <v>3</v>
      </c>
      <c r="E137">
        <v>1.0843999999999999E-2</v>
      </c>
      <c r="I137">
        <v>2.2634999999999999E-2</v>
      </c>
      <c r="M137">
        <v>1.1436999999999999E-2</v>
      </c>
    </row>
    <row r="138" spans="1:13">
      <c r="A138" t="s">
        <v>11</v>
      </c>
      <c r="B138">
        <f t="shared" si="27"/>
        <v>0.16126548033116339</v>
      </c>
      <c r="C138">
        <f t="shared" si="28"/>
        <v>2.2177523629696817E-2</v>
      </c>
      <c r="D138">
        <f t="shared" si="26"/>
        <v>3</v>
      </c>
      <c r="E138">
        <v>1.2089000000000001E-2</v>
      </c>
      <c r="I138">
        <v>2.051E-2</v>
      </c>
      <c r="M138">
        <v>1.6813999999999999E-2</v>
      </c>
    </row>
    <row r="139" spans="1:13">
      <c r="A139" t="s">
        <v>49</v>
      </c>
      <c r="D139">
        <f t="shared" si="26"/>
        <v>0</v>
      </c>
    </row>
    <row r="140" spans="1:13">
      <c r="A140" t="s">
        <v>12</v>
      </c>
      <c r="B140">
        <f>AVERAGE(E140/E$89,I140/I$89,M140/M$89)</f>
        <v>0.10828262362702258</v>
      </c>
      <c r="C140">
        <f>STDEV(E140/E$89,I140/I$89,M140/M$89)/SQRT(D140)</f>
        <v>5.6503203013134008E-3</v>
      </c>
      <c r="D140">
        <f t="shared" si="26"/>
        <v>3</v>
      </c>
      <c r="E140">
        <v>8.6292000000000001E-3</v>
      </c>
      <c r="I140">
        <v>1.5823E-2</v>
      </c>
      <c r="M140">
        <v>9.6661000000000004E-3</v>
      </c>
    </row>
    <row r="141" spans="1:13">
      <c r="A141" t="s">
        <v>13</v>
      </c>
      <c r="B141">
        <f>AVERAGE(E141/E$89,I141/I$89,M141/M$89)</f>
        <v>0.14939929483690895</v>
      </c>
      <c r="C141">
        <f>STDEV(E141/E$89,I141/I$89,M141/M$89)/SQRT(D141)</f>
        <v>2.7311753804391648E-2</v>
      </c>
      <c r="D141">
        <f t="shared" si="26"/>
        <v>3</v>
      </c>
      <c r="E141">
        <v>1.1204E-2</v>
      </c>
      <c r="I141">
        <v>1.7069000000000001E-2</v>
      </c>
      <c r="M141">
        <v>1.6650999999999999E-2</v>
      </c>
    </row>
    <row r="142" spans="1:13">
      <c r="A142" t="s">
        <v>14</v>
      </c>
      <c r="B142">
        <f t="shared" ref="B142" si="29">AVERAGE(E142/E$89,I142/I$89,M142/M$89)</f>
        <v>0.18260116793399142</v>
      </c>
      <c r="C142">
        <f t="shared" ref="C142:C144" si="30">STDEV(E142/E$89,I142/I$89,M142/M$89)/SQRT(D142)</f>
        <v>1.8127034438854613E-2</v>
      </c>
      <c r="D142">
        <f t="shared" si="26"/>
        <v>3</v>
      </c>
      <c r="E142">
        <v>1.4282E-2</v>
      </c>
      <c r="I142">
        <v>2.4278000000000001E-2</v>
      </c>
      <c r="M142">
        <v>1.7895000000000001E-2</v>
      </c>
    </row>
    <row r="143" spans="1:13">
      <c r="A143" t="s">
        <v>56</v>
      </c>
      <c r="B143">
        <f>AVERAGE(E143/E$89,M143/M$89)</f>
        <v>3.7177242685491538E-2</v>
      </c>
      <c r="C143">
        <f t="shared" si="30"/>
        <v>9.5891383079579201E-3</v>
      </c>
      <c r="D143">
        <f t="shared" si="26"/>
        <v>3</v>
      </c>
      <c r="E143">
        <v>4.7032000000000003E-3</v>
      </c>
      <c r="I143">
        <v>5.6902000000000003E-3</v>
      </c>
      <c r="M143">
        <v>1.6842999999999999E-3</v>
      </c>
    </row>
    <row r="144" spans="1:13">
      <c r="A144" t="s">
        <v>57</v>
      </c>
      <c r="B144">
        <f t="shared" ref="B144" si="31">AVERAGE(E144/E$89,I144/I$89,M144/M$89)</f>
        <v>0</v>
      </c>
      <c r="C144" t="e">
        <f t="shared" si="30"/>
        <v>#DIV/0!</v>
      </c>
      <c r="D144">
        <f t="shared" si="26"/>
        <v>0</v>
      </c>
    </row>
    <row r="145" spans="1:13">
      <c r="A145" t="s">
        <v>15</v>
      </c>
      <c r="B145">
        <f>AVERAGE(E145/E$89,I145/I$89,M145/M$89)</f>
        <v>0.1248613949167489</v>
      </c>
      <c r="C145">
        <f>STDEV(E145/E$89,I145/I$89,M145/M$89)/SQRT(D145)</f>
        <v>1.0550206283722887E-2</v>
      </c>
      <c r="D145">
        <f>COUNT(E145:AZ145)</f>
        <v>3</v>
      </c>
      <c r="E145">
        <v>9.8317999999999999E-3</v>
      </c>
      <c r="I145">
        <v>1.7047E-2</v>
      </c>
      <c r="M145">
        <v>1.1926000000000001E-2</v>
      </c>
    </row>
    <row r="146" spans="1:13">
      <c r="A146" t="s">
        <v>22</v>
      </c>
      <c r="B146">
        <f t="shared" ref="B146" si="32">AVERAGE(E146/E$89,I146/I$89,M146/M$89)</f>
        <v>0.10167304724666064</v>
      </c>
      <c r="C146">
        <f t="shared" ref="C146" si="33">STDEV(E146/E$89,I146/I$89,M146/M$89)/SQRT(D146)</f>
        <v>1.1885188688752128E-2</v>
      </c>
      <c r="D146">
        <f t="shared" ref="D146:D148" si="34">COUNT(E146:AZ146)</f>
        <v>3</v>
      </c>
      <c r="E146">
        <v>7.7129E-3</v>
      </c>
      <c r="I146">
        <v>1.3403E-2</v>
      </c>
      <c r="M146">
        <v>1.0252000000000001E-2</v>
      </c>
    </row>
    <row r="147" spans="1:13">
      <c r="A147" t="s">
        <v>59</v>
      </c>
      <c r="B147" s="3" t="s">
        <v>30</v>
      </c>
      <c r="C147" s="3" t="s">
        <v>30</v>
      </c>
      <c r="D147">
        <f t="shared" si="34"/>
        <v>0</v>
      </c>
    </row>
    <row r="148" spans="1:13">
      <c r="A148" t="s">
        <v>58</v>
      </c>
      <c r="B148" s="3" t="s">
        <v>30</v>
      </c>
      <c r="C148" s="3" t="s">
        <v>30</v>
      </c>
      <c r="D148">
        <f t="shared" si="34"/>
        <v>0</v>
      </c>
    </row>
  </sheetData>
  <pageMargins left="0.7" right="0.7" top="0.75" bottom="0.75" header="0.3" footer="0.3"/>
  <pageSetup orientation="portrait" horizontalDpi="0" verticalDpi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N149"/>
  <sheetViews>
    <sheetView topLeftCell="A97" workbookViewId="0">
      <selection activeCell="A11" sqref="A11:C11"/>
    </sheetView>
  </sheetViews>
  <sheetFormatPr baseColWidth="10" defaultRowHeight="16"/>
  <cols>
    <col min="1" max="1" width="17.6640625" bestFit="1" customWidth="1"/>
    <col min="5" max="5" width="20.6640625" customWidth="1"/>
    <col min="9" max="9" width="21.33203125" customWidth="1"/>
    <col min="13" max="13" width="22.33203125" customWidth="1"/>
  </cols>
  <sheetData>
    <row r="1" spans="1:10">
      <c r="A1" s="1" t="s">
        <v>32</v>
      </c>
      <c r="E1" s="13">
        <v>43573</v>
      </c>
      <c r="I1" s="13">
        <v>43573</v>
      </c>
    </row>
    <row r="2" spans="1:10">
      <c r="A2" s="1" t="s">
        <v>33</v>
      </c>
      <c r="E2" s="14" t="s">
        <v>113</v>
      </c>
      <c r="I2" s="14" t="s">
        <v>113</v>
      </c>
    </row>
    <row r="3" spans="1:10">
      <c r="A3" s="1" t="s">
        <v>34</v>
      </c>
      <c r="E3" s="28" t="s">
        <v>171</v>
      </c>
      <c r="I3" s="28" t="s">
        <v>174</v>
      </c>
    </row>
    <row r="4" spans="1:10">
      <c r="A4" s="1" t="s">
        <v>35</v>
      </c>
      <c r="E4" s="14" t="s">
        <v>41</v>
      </c>
      <c r="I4" s="14" t="s">
        <v>41</v>
      </c>
    </row>
    <row r="5" spans="1:10">
      <c r="A5" s="1" t="s">
        <v>36</v>
      </c>
      <c r="E5" s="38" t="s">
        <v>172</v>
      </c>
      <c r="I5" s="38" t="s">
        <v>172</v>
      </c>
    </row>
    <row r="6" spans="1:10">
      <c r="A6" s="1" t="s">
        <v>37</v>
      </c>
      <c r="E6" s="2">
        <v>50</v>
      </c>
      <c r="I6" s="2">
        <v>50</v>
      </c>
    </row>
    <row r="7" spans="1:10">
      <c r="A7" s="1" t="s">
        <v>38</v>
      </c>
      <c r="E7" s="2">
        <v>0.1</v>
      </c>
      <c r="I7" s="2">
        <v>0.1</v>
      </c>
    </row>
    <row r="8" spans="1:10">
      <c r="A8" s="1" t="s">
        <v>43</v>
      </c>
      <c r="E8">
        <v>0.25585886462709201</v>
      </c>
      <c r="I8">
        <v>0.14807104174398</v>
      </c>
    </row>
    <row r="9" spans="1:10">
      <c r="A9" s="1" t="s">
        <v>53</v>
      </c>
      <c r="E9">
        <f>E27</f>
        <v>0.28634999999999999</v>
      </c>
      <c r="I9">
        <f>I27</f>
        <v>0.16828000000000001</v>
      </c>
    </row>
    <row r="10" spans="1:10">
      <c r="A10" s="1" t="s">
        <v>44</v>
      </c>
      <c r="B10" s="22">
        <f>AVERAGE(E10,I10)</f>
        <v>21.654799331990873</v>
      </c>
      <c r="C10" s="22">
        <f>STDEV(E10,I10)/SQRT(D10)</f>
        <v>7.1127756179117156</v>
      </c>
      <c r="D10" s="1">
        <v>2</v>
      </c>
      <c r="E10" s="21">
        <f>E6*E7*(1-E8)/E8</f>
        <v>14.542023714079154</v>
      </c>
      <c r="I10" s="21">
        <f>I6*I7*(1-I8)/I8</f>
        <v>28.767574949902592</v>
      </c>
    </row>
    <row r="11" spans="1:10">
      <c r="A11" s="1" t="s">
        <v>292</v>
      </c>
      <c r="C11" s="43">
        <f>AVERAGE(E11:U11)</f>
        <v>0.85797108194258409</v>
      </c>
      <c r="E11">
        <f>(1-E9)*E8/E9/(1-E8)</f>
        <v>0.856906108022364</v>
      </c>
      <c r="I11">
        <f>(1-I9)*I8/I9/(1-I8)</f>
        <v>0.85903605586280407</v>
      </c>
    </row>
    <row r="12" spans="1:10">
      <c r="A12" s="1" t="s">
        <v>33</v>
      </c>
      <c r="E12" t="s">
        <v>113</v>
      </c>
      <c r="F12" t="s">
        <v>39</v>
      </c>
      <c r="I12" t="s">
        <v>113</v>
      </c>
      <c r="J12" t="s">
        <v>39</v>
      </c>
    </row>
    <row r="13" spans="1:10">
      <c r="A13" s="1" t="s">
        <v>45</v>
      </c>
      <c r="E13" t="s">
        <v>106</v>
      </c>
      <c r="F13" t="s">
        <v>85</v>
      </c>
      <c r="I13" t="s">
        <v>106</v>
      </c>
      <c r="J13" t="s">
        <v>85</v>
      </c>
    </row>
    <row r="14" spans="1:10" ht="57">
      <c r="A14" s="12" t="s">
        <v>31</v>
      </c>
      <c r="E14" s="20" t="s">
        <v>173</v>
      </c>
      <c r="F14" s="10" t="s">
        <v>287</v>
      </c>
      <c r="I14" s="20" t="s">
        <v>173</v>
      </c>
      <c r="J14" s="10" t="s">
        <v>287</v>
      </c>
    </row>
    <row r="16" spans="1:10">
      <c r="A16" s="1" t="s">
        <v>50</v>
      </c>
    </row>
    <row r="17" spans="1:10">
      <c r="B17" s="1" t="s">
        <v>5</v>
      </c>
      <c r="C17" s="1" t="s">
        <v>6</v>
      </c>
      <c r="D17" s="1" t="s">
        <v>55</v>
      </c>
    </row>
    <row r="18" spans="1:10">
      <c r="A18" s="1" t="s">
        <v>0</v>
      </c>
    </row>
    <row r="19" spans="1:10">
      <c r="A19" t="s">
        <v>60</v>
      </c>
      <c r="B19" s="3">
        <f>AVERAGE(E19/E$9,I19/I$9)</f>
        <v>1.5827762149765855E-2</v>
      </c>
      <c r="C19" s="3">
        <f>STDEV(E19/E$9,I19/I$9)/SQRT(D19)</f>
        <v>1.8707165761671111E-3</v>
      </c>
      <c r="D19">
        <f>COUNT(E19:AZ19)</f>
        <v>2</v>
      </c>
      <c r="E19">
        <v>3.9966000000000003E-3</v>
      </c>
      <c r="I19">
        <v>2.9783000000000001E-3</v>
      </c>
    </row>
    <row r="20" spans="1:10">
      <c r="A20" t="s">
        <v>61</v>
      </c>
      <c r="B20" s="3">
        <f t="shared" ref="B20:B29" si="0">AVERAGE(E20/E$9,I20/I$9)</f>
        <v>3.0673073397547362E-2</v>
      </c>
      <c r="C20" s="3">
        <f t="shared" ref="C20:C29" si="1">STDEV(E20/E$9,I20/I$9)/SQRT(D20)</f>
        <v>2.5491652060023354E-2</v>
      </c>
      <c r="D20">
        <f t="shared" ref="D20:D33" si="2">COUNT(E20:AZ20)</f>
        <v>2</v>
      </c>
      <c r="E20">
        <v>1.4836999999999999E-3</v>
      </c>
      <c r="I20">
        <v>9.4514000000000004E-3</v>
      </c>
    </row>
    <row r="21" spans="1:10">
      <c r="A21" t="s">
        <v>62</v>
      </c>
      <c r="B21" s="3">
        <f t="shared" si="0"/>
        <v>1.1697398288807404E-4</v>
      </c>
      <c r="C21" s="3">
        <f t="shared" si="1"/>
        <v>1.1697398288807404E-4</v>
      </c>
      <c r="D21">
        <f t="shared" si="2"/>
        <v>2</v>
      </c>
      <c r="E21" s="15">
        <v>6.6990999999999996E-5</v>
      </c>
      <c r="I21">
        <v>0</v>
      </c>
    </row>
    <row r="22" spans="1:10">
      <c r="A22" t="s">
        <v>63</v>
      </c>
      <c r="B22" s="3">
        <f t="shared" si="0"/>
        <v>2.3948943062999306E-3</v>
      </c>
      <c r="C22" s="3">
        <f t="shared" si="1"/>
        <v>1.238072342905587E-3</v>
      </c>
      <c r="D22">
        <f t="shared" si="2"/>
        <v>2</v>
      </c>
      <c r="E22">
        <v>1.0403000000000001E-3</v>
      </c>
      <c r="I22">
        <v>1.9467E-4</v>
      </c>
    </row>
    <row r="23" spans="1:10">
      <c r="A23" t="s">
        <v>64</v>
      </c>
      <c r="B23" s="3">
        <f t="shared" si="0"/>
        <v>2.3420639078051335E-4</v>
      </c>
      <c r="C23" s="3">
        <f t="shared" si="1"/>
        <v>2.3420639078051335E-4</v>
      </c>
      <c r="D23">
        <f t="shared" si="2"/>
        <v>2</v>
      </c>
      <c r="E23">
        <v>1.3412999999999999E-4</v>
      </c>
      <c r="I23">
        <v>0</v>
      </c>
    </row>
    <row r="24" spans="1:10">
      <c r="A24" t="s">
        <v>65</v>
      </c>
      <c r="B24" s="3">
        <f t="shared" si="0"/>
        <v>0</v>
      </c>
      <c r="C24" s="3">
        <f t="shared" si="1"/>
        <v>0</v>
      </c>
      <c r="D24">
        <f t="shared" si="2"/>
        <v>2</v>
      </c>
      <c r="E24">
        <v>0</v>
      </c>
      <c r="I24">
        <v>0</v>
      </c>
    </row>
    <row r="25" spans="1:10">
      <c r="A25" t="s">
        <v>66</v>
      </c>
      <c r="B25" s="3">
        <f t="shared" si="0"/>
        <v>3.4899002485692292E-4</v>
      </c>
      <c r="C25" s="3">
        <f t="shared" si="1"/>
        <v>5.2686245441662711E-5</v>
      </c>
      <c r="D25">
        <f t="shared" si="2"/>
        <v>2</v>
      </c>
      <c r="E25">
        <v>1.1502000000000001E-4</v>
      </c>
      <c r="F25" s="15"/>
      <c r="I25" s="15">
        <v>4.9861999999999998E-5</v>
      </c>
    </row>
    <row r="26" spans="1:10">
      <c r="A26" t="s">
        <v>67</v>
      </c>
      <c r="B26" s="3">
        <f t="shared" si="0"/>
        <v>3.1707700366684129E-5</v>
      </c>
      <c r="C26" s="3">
        <f t="shared" si="1"/>
        <v>3.1707700366684122E-5</v>
      </c>
      <c r="D26">
        <f t="shared" si="2"/>
        <v>2</v>
      </c>
      <c r="E26" s="15">
        <v>1.8159E-5</v>
      </c>
      <c r="I26">
        <v>0</v>
      </c>
    </row>
    <row r="27" spans="1:10">
      <c r="A27" t="s">
        <v>71</v>
      </c>
      <c r="B27" s="3">
        <f t="shared" si="0"/>
        <v>1</v>
      </c>
      <c r="C27" s="3">
        <f t="shared" si="1"/>
        <v>0</v>
      </c>
      <c r="D27">
        <f t="shared" si="2"/>
        <v>2</v>
      </c>
      <c r="E27">
        <v>0.28634999999999999</v>
      </c>
      <c r="I27">
        <v>0.16828000000000001</v>
      </c>
    </row>
    <row r="28" spans="1:10">
      <c r="A28" t="s">
        <v>72</v>
      </c>
      <c r="B28" s="3">
        <f t="shared" si="0"/>
        <v>0.24518448843170865</v>
      </c>
      <c r="C28" s="3">
        <f t="shared" si="1"/>
        <v>3.4218886895127511E-2</v>
      </c>
      <c r="D28">
        <f t="shared" si="2"/>
        <v>2</v>
      </c>
      <c r="E28">
        <v>6.0409999999999998E-2</v>
      </c>
      <c r="I28">
        <v>4.7017999999999997E-2</v>
      </c>
    </row>
    <row r="29" spans="1:10">
      <c r="A29" t="s">
        <v>69</v>
      </c>
      <c r="B29" s="3">
        <f t="shared" si="0"/>
        <v>2.8140347170142112E-2</v>
      </c>
      <c r="C29" s="3">
        <f t="shared" si="1"/>
        <v>8.3709152709265169E-3</v>
      </c>
      <c r="D29">
        <f t="shared" si="2"/>
        <v>2</v>
      </c>
      <c r="E29">
        <v>1.0455000000000001E-2</v>
      </c>
      <c r="I29">
        <v>3.3268E-3</v>
      </c>
    </row>
    <row r="30" spans="1:10">
      <c r="A30" t="s">
        <v>68</v>
      </c>
      <c r="B30" t="s">
        <v>30</v>
      </c>
      <c r="C30" t="s">
        <v>30</v>
      </c>
      <c r="D30">
        <f t="shared" si="2"/>
        <v>0</v>
      </c>
    </row>
    <row r="31" spans="1:10">
      <c r="A31" t="s">
        <v>70</v>
      </c>
      <c r="B31">
        <f>AVERAGE(F31/E9,J31/I9)</f>
        <v>0</v>
      </c>
      <c r="C31">
        <f>STDEV(F31/E9,J31/I9)/SQRT(D31)</f>
        <v>0</v>
      </c>
      <c r="D31">
        <f t="shared" si="2"/>
        <v>2</v>
      </c>
      <c r="F31">
        <v>0</v>
      </c>
      <c r="J31">
        <v>0</v>
      </c>
    </row>
    <row r="32" spans="1:10">
      <c r="A32" t="s">
        <v>23</v>
      </c>
      <c r="B32" s="3">
        <f t="shared" ref="B32:B33" si="3">AVERAGE(E32/E$9,I32/I$9)</f>
        <v>0</v>
      </c>
      <c r="C32" s="3">
        <f t="shared" ref="C32:C33" si="4">STDEV(E32/E$9,I32/I$9)/SQRT(D32)</f>
        <v>0</v>
      </c>
      <c r="D32">
        <f t="shared" si="2"/>
        <v>2</v>
      </c>
      <c r="E32">
        <v>0</v>
      </c>
      <c r="I32">
        <v>0</v>
      </c>
    </row>
    <row r="33" spans="1:9">
      <c r="A33" t="s">
        <v>24</v>
      </c>
      <c r="B33" s="3">
        <f t="shared" si="3"/>
        <v>0</v>
      </c>
      <c r="C33" s="3">
        <f t="shared" si="4"/>
        <v>0</v>
      </c>
      <c r="D33">
        <f t="shared" si="2"/>
        <v>2</v>
      </c>
      <c r="E33">
        <v>0</v>
      </c>
      <c r="I33">
        <v>0</v>
      </c>
    </row>
    <row r="36" spans="1:9">
      <c r="A36" s="1" t="s">
        <v>16</v>
      </c>
    </row>
    <row r="37" spans="1:9">
      <c r="A37" t="s">
        <v>7</v>
      </c>
      <c r="B37" s="3">
        <f>AVERAGE(E37/E$9,I37/I$9)</f>
        <v>1.2537287397437539E-2</v>
      </c>
      <c r="C37" s="3">
        <f>STDEV(E37/E$9,I37/I$9)/SQRT(D37)</f>
        <v>2.9535611882529774E-3</v>
      </c>
      <c r="D37">
        <f>COUNT(E37:AZ37)</f>
        <v>2</v>
      </c>
      <c r="E37">
        <v>2.7442999999999999E-3</v>
      </c>
      <c r="I37">
        <v>2.6067999999999998E-3</v>
      </c>
    </row>
    <row r="38" spans="1:9">
      <c r="A38" t="s">
        <v>8</v>
      </c>
      <c r="B38" s="3">
        <f>AVERAGE(E38/E$9,I38/I$9)</f>
        <v>1.2871938581622611E-3</v>
      </c>
      <c r="C38" s="3">
        <f>STDEV(E38/E$9,I38/I$9)/SQRT(D38)</f>
        <v>7.703231664579588E-4</v>
      </c>
      <c r="D38">
        <f>COUNT(E38:AZ38)</f>
        <v>2</v>
      </c>
      <c r="E38">
        <v>5.8916999999999997E-4</v>
      </c>
      <c r="I38" s="15">
        <v>8.6978999999999995E-5</v>
      </c>
    </row>
    <row r="39" spans="1:9">
      <c r="A39" t="s">
        <v>9</v>
      </c>
      <c r="B39" s="3">
        <f>AVERAGE(E39/E$9,I39/I$9)</f>
        <v>3.7951303991298232E-3</v>
      </c>
      <c r="C39" s="3">
        <f>STDEV(E39/E$9,I39/I$9)/SQRT(D39)</f>
        <v>3.8070749010240878E-4</v>
      </c>
      <c r="D39">
        <f>COUNT(E39:AZ39)</f>
        <v>2</v>
      </c>
      <c r="E39">
        <v>9.7772000000000006E-4</v>
      </c>
      <c r="I39">
        <v>7.0271000000000005E-4</v>
      </c>
    </row>
    <row r="40" spans="1:9">
      <c r="A40" t="s">
        <v>10</v>
      </c>
      <c r="B40" s="3">
        <f t="shared" ref="B40:B41" si="5">AVERAGE(E40/E$9,I40/I$9)</f>
        <v>1.3207579846571827E-2</v>
      </c>
      <c r="C40" s="3">
        <f t="shared" ref="C40:C41" si="6">STDEV(E40/E$9,I40/I$9)/SQRT(D40)</f>
        <v>2.2339461814766624E-3</v>
      </c>
      <c r="D40">
        <f t="shared" ref="D40:D42" si="7">COUNT(E40:AZ40)</f>
        <v>2</v>
      </c>
      <c r="E40">
        <v>3.1423000000000002E-3</v>
      </c>
      <c r="I40">
        <v>2.5985000000000001E-3</v>
      </c>
    </row>
    <row r="41" spans="1:9">
      <c r="A41" t="s">
        <v>11</v>
      </c>
      <c r="B41" s="3">
        <f t="shared" si="5"/>
        <v>5.0238802026555804E-3</v>
      </c>
      <c r="C41" s="3">
        <f t="shared" si="6"/>
        <v>1.7505433770924586E-3</v>
      </c>
      <c r="D41">
        <f t="shared" si="7"/>
        <v>2</v>
      </c>
      <c r="E41">
        <v>9.3731999999999995E-4</v>
      </c>
      <c r="I41">
        <v>1.14E-3</v>
      </c>
    </row>
    <row r="42" spans="1:9">
      <c r="A42" t="s">
        <v>49</v>
      </c>
      <c r="B42" t="s">
        <v>30</v>
      </c>
      <c r="C42" t="s">
        <v>30</v>
      </c>
      <c r="D42">
        <f t="shared" si="7"/>
        <v>0</v>
      </c>
    </row>
    <row r="43" spans="1:9">
      <c r="A43" t="s">
        <v>12</v>
      </c>
      <c r="B43" s="3">
        <f>AVERAGE(E43/E$9,I43/I$9)</f>
        <v>7.846796825482602E-3</v>
      </c>
      <c r="C43" s="3">
        <f>STDEV(E43/E$9,I43/I$9)/SQRT(D43)</f>
        <v>1.8632103054895867E-3</v>
      </c>
      <c r="D43">
        <f>COUNT(E43:AZ43)</f>
        <v>2</v>
      </c>
      <c r="E43">
        <v>1.7133999999999999E-3</v>
      </c>
      <c r="I43">
        <v>1.634E-3</v>
      </c>
    </row>
    <row r="44" spans="1:9">
      <c r="A44" t="s">
        <v>13</v>
      </c>
      <c r="B44" s="3">
        <f>AVERAGE(E44/E$9,I44/I$9)</f>
        <v>1.1228136582875148E-3</v>
      </c>
      <c r="C44" s="3">
        <f>STDEV(E44/E$9,I44/I$9)/SQRT(D44)</f>
        <v>3.1849942011304377E-4</v>
      </c>
      <c r="D44">
        <f>COUNT(E44:AZ44)</f>
        <v>2</v>
      </c>
      <c r="E44">
        <v>4.1271999999999999E-4</v>
      </c>
      <c r="I44">
        <v>1.3535000000000001E-4</v>
      </c>
    </row>
    <row r="45" spans="1:9">
      <c r="A45" t="s">
        <v>14</v>
      </c>
      <c r="B45" s="3">
        <f t="shared" ref="B45:B46" si="8">AVERAGE(E45/E$9,I45/I$9)</f>
        <v>1.50721245789682E-3</v>
      </c>
      <c r="C45" s="3">
        <f t="shared" ref="C45:C46" si="9">STDEV(E45/E$9,I45/I$9)/SQRT(D45)</f>
        <v>7.4670957680724424E-4</v>
      </c>
      <c r="D45">
        <f t="shared" ref="D45:D48" si="10">COUNT(E45:AZ45)</f>
        <v>2</v>
      </c>
      <c r="E45">
        <v>2.1777E-4</v>
      </c>
      <c r="I45">
        <v>3.7929000000000001E-4</v>
      </c>
    </row>
    <row r="46" spans="1:9">
      <c r="A46" t="s">
        <v>56</v>
      </c>
      <c r="B46" s="3">
        <f t="shared" si="8"/>
        <v>2.5526453640649556E-4</v>
      </c>
      <c r="C46" s="3">
        <f t="shared" si="9"/>
        <v>2.552645364064955E-4</v>
      </c>
      <c r="D46">
        <f t="shared" si="10"/>
        <v>2</v>
      </c>
      <c r="E46">
        <v>1.4619000000000001E-4</v>
      </c>
      <c r="I46">
        <v>0</v>
      </c>
    </row>
    <row r="47" spans="1:9">
      <c r="A47" t="s">
        <v>57</v>
      </c>
      <c r="B47" t="s">
        <v>30</v>
      </c>
      <c r="C47" t="s">
        <v>30</v>
      </c>
      <c r="D47">
        <f t="shared" si="10"/>
        <v>0</v>
      </c>
    </row>
    <row r="48" spans="1:9">
      <c r="A48" t="s">
        <v>15</v>
      </c>
      <c r="B48" s="3">
        <f t="shared" ref="B48" si="11">AVERAGE(E48/E$9,I48/I$9)</f>
        <v>2.0722940780805968E-3</v>
      </c>
      <c r="C48" s="3">
        <f t="shared" ref="C48" si="12">STDEV(E48/E$9,I48/I$9)/SQRT(D48)</f>
        <v>1.0511311655609522E-3</v>
      </c>
      <c r="D48">
        <f t="shared" si="10"/>
        <v>2</v>
      </c>
      <c r="E48">
        <v>2.9241E-4</v>
      </c>
      <c r="I48">
        <v>5.2561000000000003E-4</v>
      </c>
    </row>
    <row r="49" spans="1:9">
      <c r="A49" t="s">
        <v>22</v>
      </c>
      <c r="B49" s="3">
        <f t="shared" ref="B49" si="13">AVERAGE(E49/E$9,I49/I$9)</f>
        <v>3.2977689677904263E-3</v>
      </c>
      <c r="C49" s="3">
        <f t="shared" ref="C49" si="14">STDEV(E49/E$9,I49/I$9)/SQRT(D49)</f>
        <v>7.7627429344085427E-4</v>
      </c>
      <c r="D49">
        <f t="shared" ref="D49:D51" si="15">COUNT(E49:AZ49)</f>
        <v>2</v>
      </c>
      <c r="E49">
        <v>7.2203000000000002E-4</v>
      </c>
      <c r="I49">
        <v>6.8557999999999998E-4</v>
      </c>
    </row>
    <row r="50" spans="1:9">
      <c r="A50" t="s">
        <v>59</v>
      </c>
      <c r="B50" t="s">
        <v>30</v>
      </c>
      <c r="C50" t="s">
        <v>30</v>
      </c>
      <c r="D50">
        <f t="shared" si="15"/>
        <v>0</v>
      </c>
    </row>
    <row r="51" spans="1:9">
      <c r="A51" t="s">
        <v>58</v>
      </c>
      <c r="B51" t="s">
        <v>30</v>
      </c>
      <c r="C51" t="s">
        <v>30</v>
      </c>
      <c r="D51">
        <f t="shared" si="15"/>
        <v>0</v>
      </c>
    </row>
    <row r="52" spans="1:9">
      <c r="A52" t="s">
        <v>151</v>
      </c>
    </row>
    <row r="53" spans="1:9">
      <c r="A53" s="1" t="s">
        <v>17</v>
      </c>
    </row>
    <row r="54" spans="1:9">
      <c r="A54" t="s">
        <v>7</v>
      </c>
      <c r="B54" s="3">
        <f>AVERAGE(E54/E$9,I54/I$9)</f>
        <v>1.1439853408113701E-2</v>
      </c>
      <c r="C54" s="3">
        <f>STDEV(E54/E$9,I54/I$9)/SQRT(D54)</f>
        <v>4.8157919448694204E-3</v>
      </c>
      <c r="D54">
        <f>COUNT(E54:AZ54)</f>
        <v>2</v>
      </c>
      <c r="E54">
        <v>1.8967999999999999E-3</v>
      </c>
      <c r="I54">
        <v>2.7355000000000001E-3</v>
      </c>
    </row>
    <row r="55" spans="1:9">
      <c r="A55" t="s">
        <v>8</v>
      </c>
      <c r="B55" s="3">
        <f>AVERAGE(E55/E$9,I55/I$9)</f>
        <v>1.647335656741122E-3</v>
      </c>
      <c r="C55" s="3">
        <f>STDEV(E55/E$9,I55/I$9)/SQRT(D55)</f>
        <v>4.8452790399099095E-4</v>
      </c>
      <c r="D55">
        <f>COUNT(E55:AZ55)</f>
        <v>2</v>
      </c>
      <c r="E55">
        <v>3.3296999999999998E-4</v>
      </c>
      <c r="I55">
        <v>3.5875000000000002E-4</v>
      </c>
    </row>
    <row r="56" spans="1:9">
      <c r="A56" t="s">
        <v>9</v>
      </c>
      <c r="B56" s="3">
        <f>AVERAGE(E56/E$9,I56/I$9)</f>
        <v>3.6822721016038814E-3</v>
      </c>
      <c r="C56" s="3">
        <f>STDEV(E56/E$9,I56/I$9)/SQRT(D56)</f>
        <v>2.6605958771682561E-5</v>
      </c>
      <c r="D56">
        <f>COUNT(E56:AZ56)</f>
        <v>2</v>
      </c>
      <c r="E56">
        <v>1.0468000000000001E-3</v>
      </c>
      <c r="I56">
        <v>6.2412999999999998E-4</v>
      </c>
    </row>
    <row r="57" spans="1:9">
      <c r="A57" t="s">
        <v>10</v>
      </c>
      <c r="B57" s="3">
        <f t="shared" ref="B57:B58" si="16">AVERAGE(E57/E$9,I57/I$9)</f>
        <v>1.1495236347878052E-2</v>
      </c>
      <c r="C57" s="3">
        <f t="shared" ref="C57:C58" si="17">STDEV(E57/E$9,I57/I$9)/SQRT(D57)</f>
        <v>2.5991301840924681E-3</v>
      </c>
      <c r="D57">
        <f t="shared" ref="D57:D59" si="18">COUNT(E57:AZ57)</f>
        <v>2</v>
      </c>
      <c r="E57">
        <v>2.5474E-3</v>
      </c>
      <c r="I57">
        <v>2.3717999999999999E-3</v>
      </c>
    </row>
    <row r="58" spans="1:9">
      <c r="A58" t="s">
        <v>11</v>
      </c>
      <c r="B58" s="3">
        <f t="shared" si="16"/>
        <v>2.2200292307187224E-3</v>
      </c>
      <c r="C58" s="3">
        <f t="shared" si="17"/>
        <v>3.7061159344750768E-4</v>
      </c>
      <c r="D58">
        <f t="shared" si="18"/>
        <v>2</v>
      </c>
      <c r="E58">
        <v>7.4182999999999996E-4</v>
      </c>
      <c r="I58">
        <v>3.1122000000000002E-4</v>
      </c>
    </row>
    <row r="59" spans="1:9">
      <c r="A59" t="s">
        <v>49</v>
      </c>
      <c r="B59" t="s">
        <v>30</v>
      </c>
      <c r="C59" t="s">
        <v>30</v>
      </c>
      <c r="D59">
        <f t="shared" si="18"/>
        <v>0</v>
      </c>
    </row>
    <row r="60" spans="1:9">
      <c r="A60" t="s">
        <v>12</v>
      </c>
      <c r="B60" s="3">
        <f>AVERAGE(E60/E$9,I60/I$9)</f>
        <v>5.9246516973942634E-3</v>
      </c>
      <c r="C60" s="3">
        <f>STDEV(E60/E$9,I60/I$9)/SQRT(D60)</f>
        <v>2.0608486591543454E-3</v>
      </c>
      <c r="D60">
        <f>COUNT(E60:AZ60)</f>
        <v>2</v>
      </c>
      <c r="E60">
        <v>1.1064E-3</v>
      </c>
      <c r="I60">
        <v>1.3438E-3</v>
      </c>
    </row>
    <row r="61" spans="1:9">
      <c r="A61" t="s">
        <v>13</v>
      </c>
      <c r="B61" s="3">
        <f>AVERAGE(E61/E$9,I61/I$9)</f>
        <v>1.2071992134472511E-3</v>
      </c>
      <c r="C61" s="3">
        <f>STDEV(E61/E$9,I61/I$9)/SQRT(D61)</f>
        <v>9.3874801735854818E-4</v>
      </c>
      <c r="D61">
        <f>COUNT(E61:AZ61)</f>
        <v>2</v>
      </c>
      <c r="E61" s="15">
        <v>7.6871000000000003E-5</v>
      </c>
      <c r="I61">
        <v>3.6111999999999998E-4</v>
      </c>
    </row>
    <row r="62" spans="1:9">
      <c r="A62" t="s">
        <v>14</v>
      </c>
      <c r="B62" s="3">
        <f t="shared" ref="B62:B63" si="19">AVERAGE(E62/E$9,I62/I$9)</f>
        <v>1.3639082565003349E-3</v>
      </c>
      <c r="C62" s="3">
        <f t="shared" ref="C62:C63" si="20">STDEV(E62/E$9,I62/I$9)/SQRT(D62)</f>
        <v>6.0749038153004717E-4</v>
      </c>
      <c r="D62">
        <f t="shared" ref="D62:D68" si="21">COUNT(E62:AZ62)</f>
        <v>2</v>
      </c>
      <c r="E62">
        <v>5.6450999999999995E-4</v>
      </c>
      <c r="I62">
        <v>1.2729000000000001E-4</v>
      </c>
    </row>
    <row r="63" spans="1:9">
      <c r="A63" t="s">
        <v>56</v>
      </c>
      <c r="B63" s="3">
        <f t="shared" si="19"/>
        <v>5.6567138117688147E-5</v>
      </c>
      <c r="C63" s="3">
        <f t="shared" si="20"/>
        <v>5.656713811768814E-5</v>
      </c>
      <c r="D63">
        <f t="shared" si="21"/>
        <v>2</v>
      </c>
      <c r="E63" s="15">
        <v>3.2396E-5</v>
      </c>
      <c r="I63">
        <v>0</v>
      </c>
    </row>
    <row r="64" spans="1:9">
      <c r="A64" t="s">
        <v>57</v>
      </c>
      <c r="B64" t="s">
        <v>30</v>
      </c>
      <c r="C64" t="s">
        <v>30</v>
      </c>
      <c r="D64">
        <f t="shared" si="21"/>
        <v>0</v>
      </c>
    </row>
    <row r="65" spans="1:9">
      <c r="A65" t="s">
        <v>15</v>
      </c>
      <c r="B65" s="3">
        <f t="shared" ref="B65" si="22">AVERAGE(E65/E$9,I65/I$9)</f>
        <v>4.0529585565627288E-3</v>
      </c>
      <c r="C65" s="3">
        <f t="shared" ref="C65" si="23">STDEV(E65/E$9,I65/I$9)/SQRT(D65)</f>
        <v>2.076112040061944E-3</v>
      </c>
      <c r="D65">
        <f t="shared" si="21"/>
        <v>2</v>
      </c>
      <c r="E65">
        <v>5.6607000000000001E-4</v>
      </c>
      <c r="I65">
        <v>1.0314E-3</v>
      </c>
    </row>
    <row r="66" spans="1:9">
      <c r="A66" t="s">
        <v>22</v>
      </c>
      <c r="B66" s="3">
        <f t="shared" ref="B66" si="24">AVERAGE(E66/E$9,I66/I$9)</f>
        <v>2.024291103085983E-3</v>
      </c>
      <c r="C66" s="3">
        <f t="shared" ref="C66" si="25">STDEV(E66/E$9,I66/I$9)/SQRT(D66)</f>
        <v>6.5641961714220799E-4</v>
      </c>
      <c r="D66">
        <f t="shared" si="21"/>
        <v>2</v>
      </c>
      <c r="E66">
        <v>3.9168999999999999E-4</v>
      </c>
      <c r="I66">
        <v>4.5111000000000001E-4</v>
      </c>
    </row>
    <row r="67" spans="1:9">
      <c r="A67" t="s">
        <v>59</v>
      </c>
      <c r="B67" t="s">
        <v>30</v>
      </c>
      <c r="C67" t="s">
        <v>30</v>
      </c>
      <c r="D67">
        <f t="shared" si="21"/>
        <v>0</v>
      </c>
    </row>
    <row r="68" spans="1:9">
      <c r="A68" t="s">
        <v>58</v>
      </c>
      <c r="B68" t="s">
        <v>30</v>
      </c>
      <c r="C68" t="s">
        <v>30</v>
      </c>
      <c r="D68">
        <f t="shared" si="21"/>
        <v>0</v>
      </c>
    </row>
    <row r="69" spans="1:9">
      <c r="A69" t="s">
        <v>151</v>
      </c>
    </row>
    <row r="81" spans="1:14">
      <c r="A81" s="1" t="s">
        <v>32</v>
      </c>
      <c r="E81" s="13">
        <v>43597</v>
      </c>
      <c r="I81" s="13">
        <v>43597</v>
      </c>
      <c r="M81" s="13">
        <v>43597</v>
      </c>
    </row>
    <row r="82" spans="1:14">
      <c r="A82" s="1" t="s">
        <v>33</v>
      </c>
      <c r="E82" s="14" t="s">
        <v>113</v>
      </c>
      <c r="I82" s="14" t="s">
        <v>113</v>
      </c>
      <c r="M82" s="14" t="s">
        <v>113</v>
      </c>
    </row>
    <row r="83" spans="1:14">
      <c r="A83" s="1" t="s">
        <v>34</v>
      </c>
      <c r="E83" s="28" t="s">
        <v>235</v>
      </c>
      <c r="I83" s="28" t="s">
        <v>238</v>
      </c>
      <c r="M83" s="28" t="s">
        <v>239</v>
      </c>
    </row>
    <row r="84" spans="1:14">
      <c r="A84" s="1" t="s">
        <v>35</v>
      </c>
      <c r="E84" s="14" t="s">
        <v>52</v>
      </c>
      <c r="I84" s="14" t="s">
        <v>52</v>
      </c>
      <c r="M84" s="14" t="s">
        <v>52</v>
      </c>
    </row>
    <row r="85" spans="1:14">
      <c r="A85" s="1" t="s">
        <v>36</v>
      </c>
      <c r="E85" s="38" t="s">
        <v>172</v>
      </c>
      <c r="I85" s="38" t="s">
        <v>172</v>
      </c>
      <c r="M85" s="38" t="s">
        <v>172</v>
      </c>
    </row>
    <row r="86" spans="1:14">
      <c r="A86" s="1" t="s">
        <v>37</v>
      </c>
      <c r="E86" s="2">
        <v>80</v>
      </c>
      <c r="I86" s="2">
        <v>80</v>
      </c>
      <c r="M86" s="2">
        <v>80</v>
      </c>
    </row>
    <row r="87" spans="1:14">
      <c r="A87" s="1" t="s">
        <v>38</v>
      </c>
      <c r="E87" s="2">
        <v>0.1</v>
      </c>
      <c r="I87" s="2">
        <v>0.1</v>
      </c>
      <c r="M87" s="2">
        <v>0.1</v>
      </c>
    </row>
    <row r="88" spans="1:14">
      <c r="A88" s="1" t="s">
        <v>43</v>
      </c>
      <c r="E88">
        <v>0.269949638062214</v>
      </c>
      <c r="I88">
        <v>0.27511151429719299</v>
      </c>
      <c r="M88">
        <v>0.23291375927295799</v>
      </c>
    </row>
    <row r="89" spans="1:14">
      <c r="A89" s="1" t="s">
        <v>54</v>
      </c>
      <c r="E89">
        <f>E107</f>
        <v>0.29604000000000003</v>
      </c>
      <c r="I89">
        <f>I107</f>
        <v>0.30253999999999998</v>
      </c>
      <c r="M89">
        <f>M107</f>
        <v>0.26380999999999999</v>
      </c>
    </row>
    <row r="90" spans="1:14">
      <c r="A90" s="1" t="s">
        <v>44</v>
      </c>
      <c r="B90" s="22">
        <f>AVERAGE(E90,I90,M90)</f>
        <v>23.02058390378831</v>
      </c>
      <c r="C90" s="22">
        <f>STDEV(E90,I90,M90)/SQRT(D90)</f>
        <v>1.6711731015773343</v>
      </c>
      <c r="D90" s="1">
        <v>3</v>
      </c>
      <c r="E90" s="21">
        <f>E86*E87*(1-E88)/E88</f>
        <v>21.635157347965322</v>
      </c>
      <c r="I90" s="21">
        <f>I86*I87*(1-I88)/I88</f>
        <v>21.079117318797099</v>
      </c>
      <c r="M90" s="21">
        <f>M86*M87*(1-M88)/M88</f>
        <v>26.347477044602513</v>
      </c>
    </row>
    <row r="91" spans="1:14">
      <c r="A91" s="1" t="s">
        <v>292</v>
      </c>
      <c r="C91" s="43">
        <f>AVERAGE(E91:U91)</f>
        <v>0.86717879558637667</v>
      </c>
      <c r="E91">
        <f>(1-E89)*E88/E89/(1-E88)</f>
        <v>0.87928065017534862</v>
      </c>
      <c r="I91">
        <f>(1-I89)*I88/I89/(1-I88)</f>
        <v>0.8749315327712418</v>
      </c>
      <c r="M91">
        <f>(1-M89)*M88/M89/(1-M88)</f>
        <v>0.84732420381253959</v>
      </c>
    </row>
    <row r="92" spans="1:14">
      <c r="A92" s="1" t="s">
        <v>33</v>
      </c>
      <c r="E92" t="s">
        <v>236</v>
      </c>
      <c r="F92" t="s">
        <v>39</v>
      </c>
      <c r="I92" t="s">
        <v>236</v>
      </c>
      <c r="J92" t="s">
        <v>39</v>
      </c>
      <c r="M92" t="s">
        <v>236</v>
      </c>
      <c r="N92" t="s">
        <v>39</v>
      </c>
    </row>
    <row r="93" spans="1:14">
      <c r="A93" s="1" t="s">
        <v>45</v>
      </c>
      <c r="E93" t="s">
        <v>106</v>
      </c>
      <c r="F93" t="s">
        <v>85</v>
      </c>
      <c r="I93" t="s">
        <v>106</v>
      </c>
      <c r="J93" t="s">
        <v>85</v>
      </c>
      <c r="M93" t="s">
        <v>106</v>
      </c>
      <c r="N93" t="s">
        <v>85</v>
      </c>
    </row>
    <row r="94" spans="1:14" ht="71">
      <c r="A94" s="12" t="s">
        <v>31</v>
      </c>
      <c r="E94" s="20" t="s">
        <v>237</v>
      </c>
      <c r="F94" s="10" t="s">
        <v>287</v>
      </c>
      <c r="I94" s="20" t="s">
        <v>237</v>
      </c>
      <c r="J94" s="10" t="s">
        <v>287</v>
      </c>
      <c r="M94" s="20" t="s">
        <v>237</v>
      </c>
      <c r="N94" s="10" t="s">
        <v>287</v>
      </c>
    </row>
    <row r="96" spans="1:14">
      <c r="A96" s="1" t="s">
        <v>50</v>
      </c>
    </row>
    <row r="97" spans="1:14">
      <c r="B97" s="1" t="s">
        <v>5</v>
      </c>
      <c r="C97" s="1" t="s">
        <v>6</v>
      </c>
      <c r="D97" s="1" t="s">
        <v>55</v>
      </c>
    </row>
    <row r="98" spans="1:14">
      <c r="A98" s="1" t="s">
        <v>0</v>
      </c>
    </row>
    <row r="99" spans="1:14">
      <c r="A99" t="s">
        <v>60</v>
      </c>
      <c r="B99">
        <f>AVERAGE(E99/E$89,I99/I$89,M99/M$89)</f>
        <v>1.6000516744842309E-2</v>
      </c>
      <c r="C99">
        <f>STDEV(E99/E$89,I99/I$89,M99/M$89)/SQRT(D99)</f>
        <v>9.3592484717188991E-4</v>
      </c>
      <c r="D99">
        <f>COUNT(E99:Z99)</f>
        <v>3</v>
      </c>
      <c r="E99">
        <v>4.4504999999999996E-3</v>
      </c>
      <c r="I99">
        <v>5.4070000000000003E-3</v>
      </c>
      <c r="M99">
        <v>3.9824999999999999E-3</v>
      </c>
    </row>
    <row r="100" spans="1:14">
      <c r="A100" t="s">
        <v>61</v>
      </c>
      <c r="B100">
        <f>AVERAGE(E100/E$89,I100/I$89,M100/M$89)</f>
        <v>1.0549308750910888E-2</v>
      </c>
      <c r="C100">
        <f>STDEV(E100/E$89,I100/I$89,M100/M$89)/SQRT(D100)</f>
        <v>5.0127360234112055E-4</v>
      </c>
      <c r="D100">
        <f>COUNT(E100:Z100)</f>
        <v>3</v>
      </c>
      <c r="E100">
        <v>2.8586000000000002E-3</v>
      </c>
      <c r="I100">
        <v>3.4459999999999998E-3</v>
      </c>
      <c r="M100">
        <v>2.7967999999999999E-3</v>
      </c>
    </row>
    <row r="101" spans="1:14">
      <c r="A101" t="s">
        <v>62</v>
      </c>
      <c r="B101">
        <f>AVERAGE(E101/E$89,I101/I$89,M101/M$89)</f>
        <v>3.1266304989405734E-3</v>
      </c>
      <c r="C101">
        <f>STDEV(E101/E$89,I101/I$89,M101/M$89)/SQRT(D101)</f>
        <v>8.6095762515466206E-4</v>
      </c>
      <c r="D101">
        <f>COUNT(E101:Z101)</f>
        <v>3</v>
      </c>
      <c r="E101">
        <v>4.1670999999999999E-4</v>
      </c>
      <c r="I101">
        <v>1.1797999999999999E-3</v>
      </c>
      <c r="M101">
        <v>1.0744000000000001E-3</v>
      </c>
    </row>
    <row r="102" spans="1:14">
      <c r="A102" t="s">
        <v>63</v>
      </c>
      <c r="B102">
        <f t="shared" ref="B102:B108" si="26">AVERAGE(E102/E$89,I102/I$89,M102/M$89)</f>
        <v>3.5145015112411277E-3</v>
      </c>
      <c r="C102">
        <f t="shared" ref="C102:C108" si="27">STDEV(E102/E$89,I102/I$89,M102/M$89)/SQRT(D102)</f>
        <v>8.0642907387063097E-4</v>
      </c>
      <c r="D102">
        <f t="shared" ref="D102:D109" si="28">COUNT(E102:Z102)</f>
        <v>3</v>
      </c>
      <c r="E102">
        <v>7.3793000000000003E-4</v>
      </c>
      <c r="I102">
        <v>1.5448E-3</v>
      </c>
      <c r="M102">
        <v>7.7685000000000004E-4</v>
      </c>
    </row>
    <row r="103" spans="1:14">
      <c r="A103" t="s">
        <v>64</v>
      </c>
      <c r="B103">
        <f t="shared" si="26"/>
        <v>0</v>
      </c>
      <c r="C103">
        <f t="shared" si="27"/>
        <v>0</v>
      </c>
      <c r="D103">
        <f t="shared" si="28"/>
        <v>3</v>
      </c>
      <c r="E103">
        <v>0</v>
      </c>
      <c r="I103">
        <v>0</v>
      </c>
      <c r="M103">
        <v>0</v>
      </c>
    </row>
    <row r="104" spans="1:14">
      <c r="A104" t="s">
        <v>65</v>
      </c>
      <c r="B104">
        <f t="shared" si="26"/>
        <v>0</v>
      </c>
      <c r="C104">
        <f t="shared" si="27"/>
        <v>0</v>
      </c>
      <c r="D104">
        <f t="shared" si="28"/>
        <v>3</v>
      </c>
      <c r="E104">
        <v>0</v>
      </c>
      <c r="I104">
        <v>0</v>
      </c>
      <c r="M104">
        <v>0</v>
      </c>
    </row>
    <row r="105" spans="1:14">
      <c r="A105" t="s">
        <v>66</v>
      </c>
      <c r="B105">
        <f t="shared" si="26"/>
        <v>6.4238124672559823E-5</v>
      </c>
      <c r="C105">
        <f t="shared" si="27"/>
        <v>3.2329740421044566E-5</v>
      </c>
      <c r="D105">
        <f t="shared" si="28"/>
        <v>3</v>
      </c>
      <c r="E105" s="15">
        <v>3.0414999999999999E-5</v>
      </c>
      <c r="F105" s="15"/>
      <c r="I105" s="15">
        <v>2.7220999999999999E-5</v>
      </c>
      <c r="M105">
        <v>0</v>
      </c>
    </row>
    <row r="106" spans="1:14">
      <c r="A106" t="s">
        <v>67</v>
      </c>
      <c r="B106">
        <f t="shared" si="26"/>
        <v>0</v>
      </c>
      <c r="C106">
        <f t="shared" si="27"/>
        <v>0</v>
      </c>
      <c r="D106">
        <f t="shared" si="28"/>
        <v>3</v>
      </c>
      <c r="E106">
        <v>0</v>
      </c>
      <c r="I106">
        <v>0</v>
      </c>
      <c r="M106">
        <v>0</v>
      </c>
    </row>
    <row r="107" spans="1:14">
      <c r="A107" t="s">
        <v>71</v>
      </c>
      <c r="B107">
        <f t="shared" si="26"/>
        <v>1</v>
      </c>
      <c r="C107">
        <f t="shared" si="27"/>
        <v>0</v>
      </c>
      <c r="D107">
        <f t="shared" si="28"/>
        <v>3</v>
      </c>
      <c r="E107">
        <v>0.29604000000000003</v>
      </c>
      <c r="I107">
        <v>0.30253999999999998</v>
      </c>
      <c r="M107">
        <v>0.26380999999999999</v>
      </c>
    </row>
    <row r="108" spans="1:14">
      <c r="A108" t="s">
        <v>72</v>
      </c>
      <c r="B108">
        <f t="shared" si="26"/>
        <v>0.17924883474736641</v>
      </c>
      <c r="C108">
        <f t="shared" si="27"/>
        <v>1.4605995828039463E-2</v>
      </c>
      <c r="D108">
        <f t="shared" si="28"/>
        <v>3</v>
      </c>
      <c r="E108">
        <v>5.9542999999999999E-2</v>
      </c>
      <c r="I108">
        <v>5.5989999999999998E-2</v>
      </c>
      <c r="M108">
        <v>3.9980000000000002E-2</v>
      </c>
    </row>
    <row r="109" spans="1:14" s="44" customFormat="1">
      <c r="A109" s="44" t="s">
        <v>69</v>
      </c>
      <c r="B109" s="44" t="s">
        <v>30</v>
      </c>
      <c r="C109" s="44" t="s">
        <v>30</v>
      </c>
      <c r="D109" s="44">
        <f t="shared" si="28"/>
        <v>0</v>
      </c>
    </row>
    <row r="110" spans="1:14" s="44" customFormat="1">
      <c r="A110" s="44" t="s">
        <v>68</v>
      </c>
      <c r="B110" s="44" t="s">
        <v>30</v>
      </c>
      <c r="C110" s="44" t="s">
        <v>30</v>
      </c>
      <c r="D110" s="44">
        <f t="shared" ref="D110:D111" si="29">COUNT(E110:Z110)</f>
        <v>0</v>
      </c>
    </row>
    <row r="111" spans="1:14">
      <c r="A111" t="s">
        <v>70</v>
      </c>
      <c r="B111">
        <f>AVERAGE(F111/E89,J111/I89,N111/M89)</f>
        <v>0</v>
      </c>
      <c r="C111">
        <f>STDEV(F111/E89,J111/I89,N111/M89)/SQRT(D111)</f>
        <v>0</v>
      </c>
      <c r="D111">
        <f t="shared" si="29"/>
        <v>3</v>
      </c>
      <c r="F111">
        <v>0</v>
      </c>
      <c r="J111">
        <v>0</v>
      </c>
      <c r="N111">
        <v>0</v>
      </c>
    </row>
    <row r="112" spans="1:14">
      <c r="A112" t="s">
        <v>23</v>
      </c>
      <c r="B112">
        <f t="shared" ref="B112:B113" si="30">AVERAGE(E112/E$89,I112/I$89,M112/M$89)</f>
        <v>0</v>
      </c>
      <c r="C112">
        <f t="shared" ref="C112:C113" si="31">STDEV(E112/E$89,I112/I$89,M112/M$89)/SQRT(D112)</f>
        <v>0</v>
      </c>
      <c r="D112">
        <f t="shared" ref="D112:D113" si="32">COUNT(E112:Z112)</f>
        <v>3</v>
      </c>
      <c r="E112">
        <v>0</v>
      </c>
      <c r="I112">
        <v>0</v>
      </c>
      <c r="M112">
        <v>0</v>
      </c>
    </row>
    <row r="113" spans="1:13">
      <c r="A113" t="s">
        <v>24</v>
      </c>
      <c r="B113">
        <f t="shared" si="30"/>
        <v>0</v>
      </c>
      <c r="C113">
        <f t="shared" si="31"/>
        <v>0</v>
      </c>
      <c r="D113">
        <f t="shared" si="32"/>
        <v>3</v>
      </c>
      <c r="E113">
        <v>0</v>
      </c>
      <c r="I113">
        <v>0</v>
      </c>
      <c r="M113">
        <v>0</v>
      </c>
    </row>
    <row r="116" spans="1:13">
      <c r="A116" s="1" t="s">
        <v>16</v>
      </c>
    </row>
    <row r="117" spans="1:13">
      <c r="A117" t="s">
        <v>7</v>
      </c>
      <c r="B117">
        <f>AVERAGE(E117/E$89,I117/I$89,M117/M$89)</f>
        <v>1.4906985177973488E-2</v>
      </c>
      <c r="C117">
        <f>STDEV(E117/E$89,I117/I$89,M117/M$89)/SQRT(D117)</f>
        <v>9.2699609592684733E-4</v>
      </c>
      <c r="D117">
        <f>COUNT(E117:Z117)</f>
        <v>3</v>
      </c>
      <c r="E117">
        <v>3.9655999999999997E-3</v>
      </c>
      <c r="I117">
        <v>5.0198999999999999E-3</v>
      </c>
      <c r="M117">
        <v>3.8866999999999999E-3</v>
      </c>
    </row>
    <row r="118" spans="1:13">
      <c r="A118" t="s">
        <v>8</v>
      </c>
      <c r="B118">
        <f>AVERAGE(E118/E$89,I118/I$89,M118/M$89)</f>
        <v>5.0457324499438858E-3</v>
      </c>
      <c r="C118">
        <f>STDEV(E118/E$89,I118/I$89,M118/M$89)/SQRT(D118)</f>
        <v>4.5358928570275205E-4</v>
      </c>
      <c r="D118">
        <f>COUNT(E118:Z118)</f>
        <v>3</v>
      </c>
      <c r="E118">
        <v>1.3981E-3</v>
      </c>
      <c r="I118">
        <v>1.3533E-3</v>
      </c>
      <c r="M118">
        <v>1.5674E-3</v>
      </c>
    </row>
    <row r="119" spans="1:13">
      <c r="A119" t="s">
        <v>9</v>
      </c>
      <c r="B119">
        <f>AVERAGE(E119/E$89,I119/I$89,M119/M$89)</f>
        <v>6.4765307705707377E-3</v>
      </c>
      <c r="C119">
        <f>STDEV(E119/E$89,I119/I$89,M119/M$89)/SQRT(D119)</f>
        <v>2.8633783259465002E-4</v>
      </c>
      <c r="D119">
        <f>COUNT(E119:Z119)</f>
        <v>3</v>
      </c>
      <c r="E119">
        <v>1.797E-3</v>
      </c>
      <c r="I119">
        <v>2.1266000000000002E-3</v>
      </c>
      <c r="M119">
        <v>1.67E-3</v>
      </c>
    </row>
    <row r="120" spans="1:13">
      <c r="A120" t="s">
        <v>10</v>
      </c>
      <c r="B120">
        <f t="shared" ref="B120" si="33">AVERAGE(E120/E$89,I120/I$89,M120/M$89)</f>
        <v>1.3889228896249094E-2</v>
      </c>
      <c r="C120">
        <f t="shared" ref="C120" si="34">STDEV(E120/E$89,I120/I$89,M120/M$89)/SQRT(D120)</f>
        <v>3.3525870298117664E-4</v>
      </c>
      <c r="D120">
        <f t="shared" ref="D120" si="35">COUNT(E120:Z120)</f>
        <v>3</v>
      </c>
      <c r="E120">
        <v>4.0220999999999998E-3</v>
      </c>
      <c r="I120">
        <v>4.4045999999999998E-3</v>
      </c>
      <c r="M120">
        <v>3.5674000000000001E-3</v>
      </c>
    </row>
    <row r="121" spans="1:13">
      <c r="A121" t="s">
        <v>11</v>
      </c>
      <c r="B121">
        <f>AVERAGE(I121/I$89,M121/M$89)</f>
        <v>6.0003521929101813E-3</v>
      </c>
      <c r="C121">
        <f>STDEV(I121/I$89,M121/M$89)/SQRT(D121)</f>
        <v>4.7248810882212624E-4</v>
      </c>
      <c r="D121">
        <f t="shared" ref="D121" si="36">COUNT(E121:Z121)</f>
        <v>2</v>
      </c>
      <c r="I121">
        <v>1.6724000000000001E-3</v>
      </c>
      <c r="M121">
        <v>1.7076000000000001E-3</v>
      </c>
    </row>
    <row r="122" spans="1:13">
      <c r="A122" t="s">
        <v>49</v>
      </c>
      <c r="B122" t="s">
        <v>30</v>
      </c>
      <c r="C122" t="s">
        <v>30</v>
      </c>
      <c r="D122">
        <f>COUNT(E122:Z122)</f>
        <v>0</v>
      </c>
    </row>
    <row r="123" spans="1:13">
      <c r="A123" t="s">
        <v>12</v>
      </c>
      <c r="B123">
        <f>AVERAGE(E123/E$89,I123/I$89,M123/M$89)</f>
        <v>1.4762357127598486E-2</v>
      </c>
      <c r="C123">
        <f>STDEV(E123/E$89,I123/I$89,M123/M$89)/SQRT(D123)</f>
        <v>1.1004379635371178E-3</v>
      </c>
      <c r="D123">
        <f>COUNT(E123:Z123)</f>
        <v>3</v>
      </c>
      <c r="E123">
        <v>4.4923000000000003E-3</v>
      </c>
      <c r="I123">
        <v>3.8373999999999999E-3</v>
      </c>
      <c r="M123">
        <v>4.3340000000000002E-3</v>
      </c>
    </row>
    <row r="124" spans="1:13">
      <c r="A124" t="s">
        <v>13</v>
      </c>
      <c r="B124">
        <f>AVERAGE(E124/E$89,I124/I$89,M124/M$89)</f>
        <v>6.6241382032333007E-3</v>
      </c>
      <c r="C124">
        <f>STDEV(E124/E$89,I124/I$89,M124/M$89)/SQRT(D124)</f>
        <v>1.8284557286563029E-4</v>
      </c>
      <c r="D124">
        <f>COUNT(E124:Z124)</f>
        <v>3</v>
      </c>
      <c r="E124">
        <v>1.8804E-3</v>
      </c>
      <c r="I124">
        <v>1.9813000000000001E-3</v>
      </c>
      <c r="M124">
        <v>1.8392E-3</v>
      </c>
    </row>
    <row r="125" spans="1:13">
      <c r="A125" t="s">
        <v>14</v>
      </c>
      <c r="B125">
        <f>AVERAGE(E125/E$89,I125/I$89,M125/M$89)</f>
        <v>4.4373017549721753E-3</v>
      </c>
      <c r="C125">
        <f>STDEV(E125/E$89,I125/I$89,M125/M$89)/SQRT(D125)</f>
        <v>6.2941065349355816E-4</v>
      </c>
      <c r="D125">
        <f>COUNT(E125:Z125)</f>
        <v>3</v>
      </c>
      <c r="E125">
        <v>9.6926E-4</v>
      </c>
      <c r="I125">
        <v>1.6444999999999999E-3</v>
      </c>
      <c r="M125">
        <v>1.2141000000000001E-3</v>
      </c>
    </row>
    <row r="126" spans="1:13">
      <c r="A126" t="s">
        <v>56</v>
      </c>
      <c r="B126">
        <f t="shared" ref="B126" si="37">AVERAGE(E126/E$89,I126/I$89,M126/M$89)</f>
        <v>4.4718997634539638E-3</v>
      </c>
      <c r="C126">
        <f t="shared" ref="C126" si="38">STDEV(E126/E$89,I126/I$89,M126/M$89)/SQRT(D126)</f>
        <v>1.9553478559960241E-3</v>
      </c>
      <c r="D126">
        <f t="shared" ref="D126" si="39">COUNT(E126:Z126)</f>
        <v>3</v>
      </c>
      <c r="E126">
        <v>1.9851999999999999E-3</v>
      </c>
      <c r="I126">
        <v>1.74E-4</v>
      </c>
      <c r="M126">
        <v>1.6184000000000001E-3</v>
      </c>
    </row>
    <row r="127" spans="1:13">
      <c r="A127" t="s">
        <v>57</v>
      </c>
      <c r="B127" t="s">
        <v>30</v>
      </c>
      <c r="C127" t="s">
        <v>30</v>
      </c>
      <c r="D127">
        <f>COUNT(E127:Z127)</f>
        <v>0</v>
      </c>
    </row>
    <row r="128" spans="1:13">
      <c r="A128" t="s">
        <v>15</v>
      </c>
      <c r="B128">
        <f>AVERAGE(E128/E$89,I128/I$89,M128/M$89)</f>
        <v>6.142705034280725E-3</v>
      </c>
      <c r="C128">
        <f>STDEV(E128/E$89,I128/I$89,M128/M$89)/SQRT(D128)</f>
        <v>4.081020707885607E-4</v>
      </c>
      <c r="D128">
        <f>COUNT(E128:Z128)</f>
        <v>3</v>
      </c>
      <c r="E128">
        <v>1.8397000000000001E-3</v>
      </c>
      <c r="I128">
        <v>2.0606000000000001E-3</v>
      </c>
      <c r="M128">
        <v>1.4253E-3</v>
      </c>
    </row>
    <row r="129" spans="1:13">
      <c r="A129" t="s">
        <v>22</v>
      </c>
      <c r="B129">
        <f>AVERAGE(E129/E$89,I129/I$89,M129/M$89)</f>
        <v>6.5088684598983088E-3</v>
      </c>
      <c r="C129">
        <f>STDEV(E129/E$89,I129/I$89,M129/M$89)/SQRT(D129)</f>
        <v>3.5073584633152778E-4</v>
      </c>
      <c r="D129">
        <f>COUNT(E129:Z129)</f>
        <v>3</v>
      </c>
      <c r="E129">
        <v>2.003E-3</v>
      </c>
      <c r="I129">
        <v>1.7593000000000001E-3</v>
      </c>
      <c r="M129">
        <v>1.8323E-3</v>
      </c>
    </row>
    <row r="130" spans="1:13">
      <c r="A130" t="s">
        <v>59</v>
      </c>
      <c r="B130" t="s">
        <v>30</v>
      </c>
      <c r="C130" t="s">
        <v>30</v>
      </c>
      <c r="D130">
        <f>COUNT(E130:Z130)</f>
        <v>0</v>
      </c>
    </row>
    <row r="131" spans="1:13">
      <c r="A131" t="s">
        <v>58</v>
      </c>
      <c r="B131" t="s">
        <v>30</v>
      </c>
      <c r="C131" t="s">
        <v>30</v>
      </c>
      <c r="D131">
        <f>COUNT(E131:Z131)</f>
        <v>0</v>
      </c>
    </row>
    <row r="132" spans="1:13">
      <c r="A132" t="s">
        <v>151</v>
      </c>
    </row>
    <row r="133" spans="1:13">
      <c r="A133" s="1" t="s">
        <v>17</v>
      </c>
    </row>
    <row r="134" spans="1:13">
      <c r="A134" t="s">
        <v>7</v>
      </c>
      <c r="B134">
        <f>AVERAGE(E134/E$89,I134/I$89,M134/M$89)</f>
        <v>7.7594525238521032E-3</v>
      </c>
      <c r="C134">
        <f>STDEV(E134/E$89,I134/I$89,M134/M$89)/SQRT(D134)</f>
        <v>9.867172171987256E-4</v>
      </c>
      <c r="D134">
        <f>COUNT(E134:Z134)</f>
        <v>3</v>
      </c>
      <c r="E134">
        <v>2.1721000000000002E-3</v>
      </c>
      <c r="I134">
        <v>2.9164999999999998E-3</v>
      </c>
      <c r="M134">
        <v>1.6623E-3</v>
      </c>
    </row>
    <row r="135" spans="1:13">
      <c r="A135" t="s">
        <v>8</v>
      </c>
      <c r="B135">
        <f>AVERAGE(E135/E$89,I135/I$89,M135/M$89)</f>
        <v>1.1592957405081423E-4</v>
      </c>
      <c r="C135">
        <f>STDEV(E135/E$89,I135/I$89,M135/M$89)/SQRT(D135)</f>
        <v>1.1592957405081424E-4</v>
      </c>
      <c r="D135">
        <f>COUNT(E135:Z135)</f>
        <v>3</v>
      </c>
      <c r="E135">
        <v>0</v>
      </c>
      <c r="I135">
        <v>1.0522E-4</v>
      </c>
      <c r="M135">
        <v>0</v>
      </c>
    </row>
    <row r="136" spans="1:13">
      <c r="A136" t="s">
        <v>9</v>
      </c>
      <c r="B136">
        <f>AVERAGE(E136/E$89,I136/I$89,M136/M$89)</f>
        <v>2.4728038015254892E-3</v>
      </c>
      <c r="C136">
        <f>STDEV(E136/E$89,I136/I$89,M136/M$89)/SQRT(D136)</f>
        <v>2.5518936958275493E-4</v>
      </c>
      <c r="D136">
        <f>COUNT(E136:Z136)</f>
        <v>3</v>
      </c>
      <c r="E136">
        <v>6.5583000000000004E-4</v>
      </c>
      <c r="I136">
        <v>9.0253000000000002E-4</v>
      </c>
      <c r="M136">
        <v>5.8562999999999996E-4</v>
      </c>
    </row>
    <row r="137" spans="1:13">
      <c r="A137" t="s">
        <v>10</v>
      </c>
      <c r="B137">
        <f t="shared" ref="B137" si="40">AVERAGE(E137/E$89,I137/I$89,M137/M$89)</f>
        <v>1.0646029836931734E-2</v>
      </c>
      <c r="C137">
        <f t="shared" ref="C137" si="41">STDEV(E137/E$89,I137/I$89,M137/M$89)/SQRT(D137)</f>
        <v>2.2073836217638862E-4</v>
      </c>
      <c r="D137">
        <f t="shared" ref="D137:D138" si="42">COUNT(E137:Z137)</f>
        <v>3</v>
      </c>
      <c r="E137">
        <v>3.0799999999999998E-3</v>
      </c>
      <c r="I137">
        <v>3.3541999999999999E-3</v>
      </c>
      <c r="M137">
        <v>2.7561E-3</v>
      </c>
    </row>
    <row r="138" spans="1:13">
      <c r="A138" t="s">
        <v>11</v>
      </c>
      <c r="B138">
        <f>AVERAGE(I138/I$89,M138/M$89)</f>
        <v>0</v>
      </c>
      <c r="C138">
        <f>STDEV(I138/I$89,M138/M$89)/SQRT(D138)</f>
        <v>0</v>
      </c>
      <c r="D138">
        <f t="shared" si="42"/>
        <v>3</v>
      </c>
      <c r="E138">
        <v>0</v>
      </c>
      <c r="I138">
        <v>0</v>
      </c>
      <c r="M138">
        <v>0</v>
      </c>
    </row>
    <row r="139" spans="1:13">
      <c r="A139" t="s">
        <v>49</v>
      </c>
      <c r="B139" t="s">
        <v>30</v>
      </c>
      <c r="C139" t="s">
        <v>30</v>
      </c>
      <c r="D139">
        <f>COUNT(E139:Z139)</f>
        <v>0</v>
      </c>
    </row>
    <row r="140" spans="1:13">
      <c r="A140" t="s">
        <v>12</v>
      </c>
      <c r="B140">
        <f>AVERAGE(E140/E$89,I140/I$89,M140/M$89)</f>
        <v>5.0996368075923405E-3</v>
      </c>
      <c r="C140">
        <f>STDEV(E140/E$89,I140/I$89,M140/M$89)/SQRT(D140)</f>
        <v>2.2464445327351075E-3</v>
      </c>
      <c r="D140">
        <f>COUNT(E140:Z140)</f>
        <v>3</v>
      </c>
      <c r="E140">
        <v>4.8616000000000002E-4</v>
      </c>
      <c r="I140">
        <v>1.3140999999999999E-3</v>
      </c>
      <c r="M140">
        <v>2.4569000000000001E-3</v>
      </c>
    </row>
    <row r="141" spans="1:13">
      <c r="A141" t="s">
        <v>13</v>
      </c>
      <c r="B141">
        <f>AVERAGE(E141/E$89,I141/I$89,M141/M$89)</f>
        <v>1.3521077102752254E-4</v>
      </c>
      <c r="C141">
        <f>STDEV(E141/E$89,I141/I$89,M141/M$89)/SQRT(D141)</f>
        <v>1.3521077102752254E-4</v>
      </c>
      <c r="D141">
        <f>COUNT(E141:Z141)</f>
        <v>3</v>
      </c>
      <c r="E141">
        <v>0</v>
      </c>
      <c r="I141">
        <v>1.2271999999999999E-4</v>
      </c>
      <c r="M141">
        <v>0</v>
      </c>
    </row>
    <row r="142" spans="1:13">
      <c r="A142" t="s">
        <v>14</v>
      </c>
      <c r="B142">
        <f>AVERAGE(E142/E$89,I142/I$89,M142/M$89)</f>
        <v>2.1591721294883723E-3</v>
      </c>
      <c r="C142">
        <f>STDEV(E142/E$89,I142/I$89,M142/M$89)/SQRT(D142)</f>
        <v>6.6157798195893387E-4</v>
      </c>
      <c r="D142">
        <f>COUNT(E142:Z142)</f>
        <v>3</v>
      </c>
      <c r="E142">
        <v>3.0302999999999998E-4</v>
      </c>
      <c r="I142">
        <v>6.4707000000000002E-4</v>
      </c>
      <c r="M142">
        <v>8.7456000000000003E-4</v>
      </c>
    </row>
    <row r="143" spans="1:13">
      <c r="A143" t="s">
        <v>56</v>
      </c>
      <c r="B143">
        <f t="shared" ref="B143" si="43">AVERAGE(E143/E$89,I143/I$89,M143/M$89)</f>
        <v>0</v>
      </c>
      <c r="C143">
        <f t="shared" ref="C143" si="44">STDEV(E143/E$89,I143/I$89,M143/M$89)/SQRT(D143)</f>
        <v>0</v>
      </c>
      <c r="D143">
        <f t="shared" ref="D143" si="45">COUNT(E143:Z143)</f>
        <v>3</v>
      </c>
      <c r="E143">
        <v>0</v>
      </c>
      <c r="I143">
        <v>0</v>
      </c>
      <c r="M143">
        <v>0</v>
      </c>
    </row>
    <row r="144" spans="1:13">
      <c r="A144" t="s">
        <v>57</v>
      </c>
      <c r="B144" t="s">
        <v>30</v>
      </c>
      <c r="C144" t="s">
        <v>30</v>
      </c>
      <c r="D144">
        <f>COUNT(E144:Z144)</f>
        <v>0</v>
      </c>
    </row>
    <row r="145" spans="1:13">
      <c r="A145" t="s">
        <v>15</v>
      </c>
      <c r="B145">
        <f>AVERAGE(E145/E$89,I145/I$89,M145/M$89)</f>
        <v>2.3187011242726298E-3</v>
      </c>
      <c r="C145">
        <f>STDEV(E145/E$89,I145/I$89,M145/M$89)/SQRT(D145)</f>
        <v>4.2329548403942591E-4</v>
      </c>
      <c r="D145">
        <f>COUNT(E145:Z145)</f>
        <v>3</v>
      </c>
      <c r="E145">
        <v>9.0985000000000003E-4</v>
      </c>
      <c r="I145">
        <v>6.8784E-4</v>
      </c>
      <c r="M145">
        <v>4.2451000000000001E-4</v>
      </c>
    </row>
    <row r="146" spans="1:13">
      <c r="A146" t="s">
        <v>22</v>
      </c>
      <c r="B146">
        <f>AVERAGE(E146/E$89,I146/I$89,M146/M$89)</f>
        <v>4.0177014192431413E-3</v>
      </c>
      <c r="C146">
        <f>STDEV(E146/E$89,I146/I$89,M146/M$89)/SQRT(D146)</f>
        <v>1.4396594776397716E-4</v>
      </c>
      <c r="D146">
        <f>COUNT(E146:Z146)</f>
        <v>3</v>
      </c>
      <c r="E146">
        <v>1.1249999999999999E-3</v>
      </c>
      <c r="I146">
        <v>1.199E-3</v>
      </c>
      <c r="M146">
        <v>1.1317E-3</v>
      </c>
    </row>
    <row r="147" spans="1:13">
      <c r="A147" t="s">
        <v>59</v>
      </c>
      <c r="B147" t="s">
        <v>30</v>
      </c>
      <c r="C147" t="s">
        <v>30</v>
      </c>
      <c r="D147">
        <f>COUNT(E147:Z147)</f>
        <v>0</v>
      </c>
    </row>
    <row r="148" spans="1:13">
      <c r="A148" t="s">
        <v>58</v>
      </c>
      <c r="B148" t="s">
        <v>30</v>
      </c>
      <c r="C148" t="s">
        <v>30</v>
      </c>
      <c r="D148">
        <f>COUNT(E148:Z148)</f>
        <v>0</v>
      </c>
    </row>
    <row r="149" spans="1:13">
      <c r="A149" t="s">
        <v>151</v>
      </c>
    </row>
  </sheetData>
  <pageMargins left="0.7" right="0.7" top="0.75" bottom="0.75" header="0.3" footer="0.3"/>
  <pageSetup orientation="portrait" horizontalDpi="0" verticalDpi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J149"/>
  <sheetViews>
    <sheetView topLeftCell="A67" workbookViewId="0">
      <selection activeCell="A91" sqref="A91:I91"/>
    </sheetView>
  </sheetViews>
  <sheetFormatPr baseColWidth="10" defaultRowHeight="16"/>
  <cols>
    <col min="1" max="1" width="17.6640625" bestFit="1" customWidth="1"/>
    <col min="5" max="5" width="18.6640625" customWidth="1"/>
    <col min="9" max="9" width="21.5" customWidth="1"/>
  </cols>
  <sheetData>
    <row r="1" spans="1:9">
      <c r="A1" s="1" t="s">
        <v>32</v>
      </c>
      <c r="E1" s="13">
        <v>43679</v>
      </c>
      <c r="I1" s="13">
        <v>43679</v>
      </c>
    </row>
    <row r="2" spans="1:9">
      <c r="A2" s="1" t="s">
        <v>33</v>
      </c>
      <c r="E2" s="14" t="s">
        <v>39</v>
      </c>
      <c r="I2" s="14" t="s">
        <v>39</v>
      </c>
    </row>
    <row r="3" spans="1:9">
      <c r="A3" s="1" t="s">
        <v>34</v>
      </c>
      <c r="E3" s="28" t="s">
        <v>40</v>
      </c>
      <c r="I3" s="28" t="s">
        <v>73</v>
      </c>
    </row>
    <row r="4" spans="1:9">
      <c r="A4" s="1" t="s">
        <v>35</v>
      </c>
      <c r="E4" s="14" t="s">
        <v>41</v>
      </c>
      <c r="I4" s="14" t="s">
        <v>41</v>
      </c>
    </row>
    <row r="5" spans="1:9">
      <c r="A5" s="1" t="s">
        <v>36</v>
      </c>
      <c r="E5" s="38" t="s">
        <v>265</v>
      </c>
      <c r="I5" s="38" t="s">
        <v>265</v>
      </c>
    </row>
    <row r="6" spans="1:9">
      <c r="A6" s="1" t="s">
        <v>37</v>
      </c>
      <c r="E6" s="2">
        <v>40</v>
      </c>
      <c r="I6" s="2">
        <v>40</v>
      </c>
    </row>
    <row r="7" spans="1:9">
      <c r="A7" s="1" t="s">
        <v>38</v>
      </c>
      <c r="E7" s="2">
        <v>0.1</v>
      </c>
      <c r="I7" s="2">
        <v>0.1</v>
      </c>
    </row>
    <row r="8" spans="1:9">
      <c r="A8" s="1" t="s">
        <v>43</v>
      </c>
      <c r="E8">
        <v>0.19352053647091</v>
      </c>
      <c r="I8">
        <v>0.21234556115302</v>
      </c>
    </row>
    <row r="9" spans="1:9">
      <c r="A9" s="1" t="s">
        <v>53</v>
      </c>
      <c r="E9">
        <f>E28</f>
        <v>0.19461999999999999</v>
      </c>
      <c r="I9">
        <f>I28</f>
        <v>0.21379999999999999</v>
      </c>
    </row>
    <row r="10" spans="1:9">
      <c r="A10" s="1" t="s">
        <v>44</v>
      </c>
      <c r="E10" s="21">
        <f>E6*E7*(1-E8)/E8</f>
        <v>16.669640922586424</v>
      </c>
      <c r="I10" s="21">
        <f>I6*I7*(1-I8)/I8</f>
        <v>14.837219757645551</v>
      </c>
    </row>
    <row r="11" spans="1:9">
      <c r="A11" s="1" t="s">
        <v>292</v>
      </c>
      <c r="C11" s="43">
        <f>AVERAGE(E11:U11)</f>
        <v>0.99217917344970652</v>
      </c>
      <c r="E11">
        <f>(1-E9)*E8/E9/(1-E8)</f>
        <v>0.99299513053521582</v>
      </c>
      <c r="I11">
        <f>(1-I9)*I8/I9/(1-I8)</f>
        <v>0.99136321636419733</v>
      </c>
    </row>
    <row r="12" spans="1:9">
      <c r="A12" s="1" t="s">
        <v>33</v>
      </c>
      <c r="E12" t="s">
        <v>39</v>
      </c>
      <c r="I12" t="s">
        <v>39</v>
      </c>
    </row>
    <row r="13" spans="1:9">
      <c r="A13" s="1" t="s">
        <v>45</v>
      </c>
      <c r="E13" t="s">
        <v>47</v>
      </c>
      <c r="I13" t="s">
        <v>47</v>
      </c>
    </row>
    <row r="14" spans="1:9" ht="29">
      <c r="A14" s="12" t="s">
        <v>31</v>
      </c>
      <c r="E14" s="20" t="s">
        <v>291</v>
      </c>
      <c r="I14" s="20" t="s">
        <v>291</v>
      </c>
    </row>
    <row r="16" spans="1:9">
      <c r="A16" s="1" t="s">
        <v>50</v>
      </c>
    </row>
    <row r="17" spans="1:9">
      <c r="B17" s="1" t="s">
        <v>5</v>
      </c>
      <c r="C17" s="1" t="s">
        <v>6</v>
      </c>
      <c r="D17" s="1" t="s">
        <v>55</v>
      </c>
    </row>
    <row r="18" spans="1:9">
      <c r="A18" s="1" t="s">
        <v>0</v>
      </c>
    </row>
    <row r="19" spans="1:9">
      <c r="A19" t="s">
        <v>60</v>
      </c>
      <c r="B19">
        <f>AVERAGE(E19/E$9,I19/I$9)</f>
        <v>5.7040408263869663E-3</v>
      </c>
      <c r="C19">
        <f>STDEV(E19/E$9,I19/I$9)/SQRT(D19)</f>
        <v>1.645279294596202E-4</v>
      </c>
      <c r="D19">
        <f>COUNT(E19:Z19)</f>
        <v>2</v>
      </c>
      <c r="E19">
        <v>1.0781E-3</v>
      </c>
      <c r="I19">
        <v>1.2547000000000001E-3</v>
      </c>
    </row>
    <row r="20" spans="1:9">
      <c r="A20" t="s">
        <v>61</v>
      </c>
      <c r="B20">
        <f t="shared" ref="B20:B29" si="0">AVERAGE(E20/E$9,I20/I$9)</f>
        <v>8.0060356037656173E-3</v>
      </c>
      <c r="C20">
        <f t="shared" ref="C20:C29" si="1">STDEV(E20/E$9,I20/I$9)/SQRT(D20)</f>
        <v>1.2108999629798359E-3</v>
      </c>
      <c r="D20">
        <f t="shared" ref="D20:D29" si="2">COUNT(E20:Z20)</f>
        <v>2</v>
      </c>
      <c r="E20">
        <v>1.7937999999999999E-3</v>
      </c>
      <c r="I20">
        <v>1.4528E-3</v>
      </c>
    </row>
    <row r="21" spans="1:9">
      <c r="A21" t="s">
        <v>62</v>
      </c>
      <c r="B21">
        <f t="shared" si="0"/>
        <v>4.0809891531207246E-3</v>
      </c>
      <c r="C21">
        <f t="shared" si="1"/>
        <v>1.1344625524840632E-5</v>
      </c>
      <c r="D21">
        <f t="shared" si="2"/>
        <v>2</v>
      </c>
      <c r="E21">
        <v>7.9644999999999998E-4</v>
      </c>
      <c r="I21">
        <v>8.7009000000000001E-4</v>
      </c>
    </row>
    <row r="22" spans="1:9">
      <c r="A22" t="s">
        <v>63</v>
      </c>
      <c r="B22">
        <f t="shared" si="0"/>
        <v>2.1865987005547451E-2</v>
      </c>
      <c r="C22">
        <f t="shared" si="1"/>
        <v>1.14368466856668E-4</v>
      </c>
      <c r="D22">
        <f t="shared" si="2"/>
        <v>2</v>
      </c>
      <c r="E22">
        <v>4.2332999999999997E-3</v>
      </c>
      <c r="I22">
        <v>4.6994000000000003E-3</v>
      </c>
    </row>
    <row r="23" spans="1:9">
      <c r="A23" t="s">
        <v>64</v>
      </c>
      <c r="B23">
        <f t="shared" si="0"/>
        <v>2.5638423594697363E-3</v>
      </c>
      <c r="C23">
        <f t="shared" si="1"/>
        <v>2.5638423594697359E-3</v>
      </c>
      <c r="D23">
        <f t="shared" si="2"/>
        <v>2</v>
      </c>
      <c r="E23">
        <v>9.9795000000000005E-4</v>
      </c>
      <c r="I23">
        <v>0</v>
      </c>
    </row>
    <row r="24" spans="1:9">
      <c r="A24" t="s">
        <v>65</v>
      </c>
      <c r="B24">
        <f t="shared" si="0"/>
        <v>0</v>
      </c>
      <c r="C24">
        <f t="shared" si="1"/>
        <v>0</v>
      </c>
      <c r="D24">
        <f t="shared" si="2"/>
        <v>2</v>
      </c>
      <c r="E24">
        <v>0</v>
      </c>
      <c r="I24">
        <v>0</v>
      </c>
    </row>
    <row r="25" spans="1:9">
      <c r="A25" t="s">
        <v>66</v>
      </c>
      <c r="B25">
        <f t="shared" si="0"/>
        <v>0</v>
      </c>
      <c r="C25">
        <f t="shared" si="1"/>
        <v>0</v>
      </c>
      <c r="D25">
        <f t="shared" si="2"/>
        <v>2</v>
      </c>
      <c r="E25">
        <v>0</v>
      </c>
      <c r="I25">
        <v>0</v>
      </c>
    </row>
    <row r="26" spans="1:9">
      <c r="A26" t="s">
        <v>67</v>
      </c>
      <c r="B26">
        <f t="shared" si="0"/>
        <v>2.7221750230883354E-3</v>
      </c>
      <c r="C26">
        <f t="shared" si="1"/>
        <v>3.4373152776959355E-5</v>
      </c>
      <c r="D26">
        <f t="shared" si="2"/>
        <v>2</v>
      </c>
      <c r="E26">
        <v>5.2309999999999998E-4</v>
      </c>
      <c r="I26">
        <v>5.8934999999999999E-4</v>
      </c>
    </row>
    <row r="27" spans="1:9">
      <c r="A27" t="s">
        <v>71</v>
      </c>
      <c r="B27">
        <f t="shared" si="0"/>
        <v>0.11363167762867921</v>
      </c>
      <c r="C27">
        <f t="shared" si="1"/>
        <v>3.7252229981833973E-3</v>
      </c>
      <c r="D27">
        <f t="shared" si="2"/>
        <v>2</v>
      </c>
      <c r="E27">
        <v>2.2839999999999999E-2</v>
      </c>
      <c r="I27">
        <v>2.3498000000000002E-2</v>
      </c>
    </row>
    <row r="28" spans="1:9">
      <c r="A28" t="s">
        <v>72</v>
      </c>
      <c r="B28">
        <f t="shared" si="0"/>
        <v>1</v>
      </c>
      <c r="C28">
        <f t="shared" si="1"/>
        <v>0</v>
      </c>
      <c r="D28">
        <f t="shared" si="2"/>
        <v>2</v>
      </c>
      <c r="E28">
        <v>0.19461999999999999</v>
      </c>
      <c r="I28">
        <v>0.21379999999999999</v>
      </c>
    </row>
    <row r="29" spans="1:9">
      <c r="A29" t="s">
        <v>69</v>
      </c>
      <c r="B29">
        <f t="shared" si="0"/>
        <v>3.9447255542666489E-2</v>
      </c>
      <c r="C29">
        <f t="shared" si="1"/>
        <v>1.2161006711983604E-2</v>
      </c>
      <c r="D29">
        <f t="shared" si="2"/>
        <v>2</v>
      </c>
      <c r="E29">
        <v>1.0044000000000001E-2</v>
      </c>
      <c r="I29">
        <v>5.8338000000000001E-3</v>
      </c>
    </row>
    <row r="30" spans="1:9">
      <c r="A30" t="s">
        <v>68</v>
      </c>
      <c r="B30" t="s">
        <v>30</v>
      </c>
      <c r="C30" t="s">
        <v>30</v>
      </c>
      <c r="D30">
        <f t="shared" ref="D30:D31" si="3">COUNT(E30:Z30)</f>
        <v>0</v>
      </c>
    </row>
    <row r="31" spans="1:9">
      <c r="A31" t="s">
        <v>70</v>
      </c>
      <c r="B31" t="s">
        <v>30</v>
      </c>
      <c r="C31" t="s">
        <v>30</v>
      </c>
      <c r="D31">
        <f t="shared" si="3"/>
        <v>0</v>
      </c>
    </row>
    <row r="32" spans="1:9">
      <c r="A32" t="s">
        <v>23</v>
      </c>
      <c r="B32">
        <f>AVERAGE(E32/E$9,I32/I$9)</f>
        <v>0</v>
      </c>
      <c r="C32">
        <f>STDEV(E32/E$9,I32/I$9)/SQRT(D32)</f>
        <v>0</v>
      </c>
      <c r="D32">
        <f>COUNT(E32:Z32)</f>
        <v>2</v>
      </c>
      <c r="E32">
        <v>0</v>
      </c>
      <c r="I32">
        <v>0</v>
      </c>
    </row>
    <row r="33" spans="1:9">
      <c r="A33" t="s">
        <v>24</v>
      </c>
      <c r="B33">
        <f>AVERAGE(E33/E$9,I33/I$9)</f>
        <v>0</v>
      </c>
      <c r="C33">
        <f>STDEV(E33/E$9,I33/I$9)/SQRT(D33)</f>
        <v>0</v>
      </c>
      <c r="D33">
        <f>COUNT(E33:Z33)</f>
        <v>2</v>
      </c>
      <c r="E33">
        <v>0</v>
      </c>
      <c r="I33">
        <v>0</v>
      </c>
    </row>
    <row r="36" spans="1:9">
      <c r="A36" s="1" t="s">
        <v>16</v>
      </c>
    </row>
    <row r="37" spans="1:9">
      <c r="A37" t="s">
        <v>7</v>
      </c>
      <c r="B37">
        <f>AVERAGE(E37/E$9,I37/I$9)</f>
        <v>5.268247523489443E-3</v>
      </c>
      <c r="C37">
        <f>STDEV(E37/E$9,I37/I$9)/SQRT(D37)</f>
        <v>2.8976295847541128E-4</v>
      </c>
      <c r="D37">
        <f>COUNT(E37:Z37)</f>
        <v>2</v>
      </c>
      <c r="E37">
        <v>1.0816999999999999E-3</v>
      </c>
      <c r="I37">
        <v>1.0644000000000001E-3</v>
      </c>
    </row>
    <row r="38" spans="1:9">
      <c r="A38" t="s">
        <v>8</v>
      </c>
      <c r="B38">
        <f>AVERAGE(E38/E$9,I38/I$9)</f>
        <v>8.4609444309166337E-3</v>
      </c>
      <c r="C38">
        <f>STDEV(E38/E$9,I38/I$9)/SQRT(D38)</f>
        <v>6.2559397536481589E-3</v>
      </c>
      <c r="D38">
        <f>COUNT(E38:Z38)</f>
        <v>2</v>
      </c>
      <c r="E38">
        <v>2.8641999999999999E-3</v>
      </c>
      <c r="I38">
        <v>4.7143E-4</v>
      </c>
    </row>
    <row r="39" spans="1:9">
      <c r="A39" t="s">
        <v>9</v>
      </c>
      <c r="B39">
        <f t="shared" ref="B39:B41" si="4">AVERAGE(E39/E$9,I39/I$9)</f>
        <v>5.9318481055260219E-3</v>
      </c>
      <c r="C39">
        <f t="shared" ref="C39:C41" si="5">STDEV(E39/E$9,I39/I$9)/SQRT(D39)</f>
        <v>1.3793223805494074E-3</v>
      </c>
      <c r="D39">
        <f t="shared" ref="D39:D42" si="6">COUNT(E39:Z39)</f>
        <v>2</v>
      </c>
      <c r="E39">
        <v>1.4228999999999999E-3</v>
      </c>
      <c r="I39">
        <v>9.7333000000000001E-4</v>
      </c>
    </row>
    <row r="40" spans="1:9">
      <c r="A40" t="s">
        <v>10</v>
      </c>
      <c r="B40">
        <f t="shared" si="4"/>
        <v>9.5118807714229328E-3</v>
      </c>
      <c r="C40">
        <f t="shared" si="5"/>
        <v>7.5378807796902178E-4</v>
      </c>
      <c r="D40">
        <f t="shared" si="6"/>
        <v>2</v>
      </c>
      <c r="E40">
        <v>1.7045000000000001E-3</v>
      </c>
      <c r="I40">
        <v>2.1947999999999998E-3</v>
      </c>
    </row>
    <row r="41" spans="1:9">
      <c r="A41" t="s">
        <v>11</v>
      </c>
      <c r="B41">
        <f t="shared" si="4"/>
        <v>1.3319447823726726E-3</v>
      </c>
      <c r="C41">
        <f t="shared" si="5"/>
        <v>4.2268571341778596E-4</v>
      </c>
      <c r="D41">
        <f t="shared" si="6"/>
        <v>2</v>
      </c>
      <c r="E41">
        <v>1.7696000000000001E-4</v>
      </c>
      <c r="I41">
        <v>3.7513999999999999E-4</v>
      </c>
    </row>
    <row r="42" spans="1:9">
      <c r="A42" t="s">
        <v>49</v>
      </c>
      <c r="B42" t="s">
        <v>30</v>
      </c>
      <c r="C42" t="s">
        <v>30</v>
      </c>
      <c r="D42">
        <f t="shared" si="6"/>
        <v>0</v>
      </c>
    </row>
    <row r="43" spans="1:9">
      <c r="A43" t="s">
        <v>12</v>
      </c>
      <c r="B43">
        <f>AVERAGE(E43/E$9,I43/I$9)</f>
        <v>1.294959408077279E-3</v>
      </c>
      <c r="C43">
        <f>STDEV(E43/E$9,I43/I$9)/SQRT(D43)</f>
        <v>1.2949594080772788E-3</v>
      </c>
      <c r="D43">
        <f>COUNT(E43:Z43)</f>
        <v>2</v>
      </c>
      <c r="E43">
        <v>5.0405000000000003E-4</v>
      </c>
      <c r="I43">
        <v>0</v>
      </c>
    </row>
    <row r="44" spans="1:9">
      <c r="A44" t="s">
        <v>13</v>
      </c>
      <c r="B44">
        <f t="shared" ref="B44:B46" si="7">AVERAGE(E44/E$9,I44/I$9)</f>
        <v>6.9024372793726552E-3</v>
      </c>
      <c r="C44">
        <f t="shared" ref="C44:C46" si="8">STDEV(E44/E$9,I44/I$9)/SQRT(D44)</f>
        <v>7.1394335982167233E-4</v>
      </c>
      <c r="D44">
        <f t="shared" ref="D44:D46" si="9">COUNT(E44:Z44)</f>
        <v>2</v>
      </c>
      <c r="E44">
        <v>1.4823E-3</v>
      </c>
      <c r="I44">
        <v>1.3231E-3</v>
      </c>
    </row>
    <row r="45" spans="1:9">
      <c r="A45" t="s">
        <v>14</v>
      </c>
      <c r="B45">
        <f t="shared" si="7"/>
        <v>3.8361539466850035E-3</v>
      </c>
      <c r="C45">
        <f t="shared" si="8"/>
        <v>2.899893068346762E-4</v>
      </c>
      <c r="D45">
        <f t="shared" si="9"/>
        <v>2</v>
      </c>
      <c r="E45">
        <v>8.0303000000000004E-4</v>
      </c>
      <c r="I45">
        <v>7.5816999999999996E-4</v>
      </c>
    </row>
    <row r="46" spans="1:9">
      <c r="A46" t="s">
        <v>56</v>
      </c>
      <c r="B46">
        <f t="shared" si="7"/>
        <v>1.999757501582081E-3</v>
      </c>
      <c r="C46">
        <f t="shared" si="8"/>
        <v>1.9233791469481346E-4</v>
      </c>
      <c r="D46">
        <f t="shared" si="9"/>
        <v>2</v>
      </c>
      <c r="E46">
        <v>3.5176000000000001E-4</v>
      </c>
      <c r="I46">
        <v>4.6867000000000002E-4</v>
      </c>
    </row>
    <row r="47" spans="1:9">
      <c r="A47" t="s">
        <v>57</v>
      </c>
      <c r="B47">
        <f>AVERAGE(E47/E$9,I47/I$9)</f>
        <v>2.6596806647940932E-3</v>
      </c>
      <c r="C47">
        <f>STDEV(E47/E$9,I47/I$9)/SQRT(D47)</f>
        <v>1.108092955411707E-3</v>
      </c>
      <c r="D47">
        <f>COUNT(E47:Z47)</f>
        <v>2</v>
      </c>
      <c r="E47">
        <v>3.0196999999999998E-4</v>
      </c>
      <c r="I47">
        <v>8.0555000000000004E-4</v>
      </c>
    </row>
    <row r="48" spans="1:9">
      <c r="A48" t="s">
        <v>15</v>
      </c>
      <c r="B48">
        <f t="shared" ref="B48:B49" si="10">AVERAGE(E48/E$9,I48/I$9)</f>
        <v>3.6043197273254862E-3</v>
      </c>
      <c r="C48">
        <f t="shared" ref="C48:C49" si="11">STDEV(E48/E$9,I48/I$9)/SQRT(D48)</f>
        <v>1.1364057890654296E-3</v>
      </c>
      <c r="D48">
        <f t="shared" ref="D48:D51" si="12">COUNT(E48:Z48)</f>
        <v>2</v>
      </c>
      <c r="E48">
        <v>9.2263999999999996E-4</v>
      </c>
      <c r="I48">
        <v>5.2764000000000001E-4</v>
      </c>
    </row>
    <row r="49" spans="1:9">
      <c r="A49" t="s">
        <v>22</v>
      </c>
      <c r="B49">
        <f t="shared" si="10"/>
        <v>9.2813858365331438E-4</v>
      </c>
      <c r="C49">
        <f t="shared" si="11"/>
        <v>7.8746628555091732E-5</v>
      </c>
      <c r="D49">
        <f t="shared" si="12"/>
        <v>2</v>
      </c>
      <c r="E49">
        <v>1.9595999999999999E-4</v>
      </c>
      <c r="I49">
        <v>1.816E-4</v>
      </c>
    </row>
    <row r="50" spans="1:9">
      <c r="A50" t="s">
        <v>59</v>
      </c>
      <c r="B50" t="s">
        <v>30</v>
      </c>
      <c r="C50" t="s">
        <v>30</v>
      </c>
      <c r="D50">
        <f t="shared" si="12"/>
        <v>0</v>
      </c>
    </row>
    <row r="51" spans="1:9">
      <c r="A51" t="s">
        <v>58</v>
      </c>
      <c r="B51" t="s">
        <v>30</v>
      </c>
      <c r="C51" t="s">
        <v>30</v>
      </c>
      <c r="D51">
        <f t="shared" si="12"/>
        <v>0</v>
      </c>
    </row>
    <row r="52" spans="1:9">
      <c r="A52" t="s">
        <v>151</v>
      </c>
      <c r="B52" t="s">
        <v>30</v>
      </c>
      <c r="C52" t="s">
        <v>30</v>
      </c>
      <c r="D52">
        <f t="shared" ref="D52" si="13">COUNT(E52:Z52)</f>
        <v>0</v>
      </c>
    </row>
    <row r="53" spans="1:9">
      <c r="A53" s="1" t="s">
        <v>17</v>
      </c>
    </row>
    <row r="54" spans="1:9">
      <c r="A54" t="s">
        <v>7</v>
      </c>
      <c r="B54">
        <f>AVERAGE(E54/E$9,I54/I$9)</f>
        <v>3.7381761383075644E-3</v>
      </c>
      <c r="C54">
        <f>STDEV(E54/E$9,I54/I$9)/SQRT(D54)</f>
        <v>1.2244057138907523E-3</v>
      </c>
      <c r="D54">
        <f>COUNT(E54:Z54)</f>
        <v>2</v>
      </c>
      <c r="E54">
        <v>4.8923E-4</v>
      </c>
      <c r="I54">
        <v>1.0610000000000001E-3</v>
      </c>
    </row>
    <row r="55" spans="1:9">
      <c r="A55" t="s">
        <v>8</v>
      </c>
      <c r="B55">
        <f>AVERAGE(E55/E$9,I55/I$9)</f>
        <v>1.0408813308109761E-3</v>
      </c>
      <c r="C55">
        <f>STDEV(E55/E$9,I55/I$9)/SQRT(D55)</f>
        <v>2.4331351041808553E-4</v>
      </c>
      <c r="D55">
        <f>COUNT(E55:Z55)</f>
        <v>2</v>
      </c>
      <c r="E55">
        <v>2.4992999999999999E-4</v>
      </c>
      <c r="I55">
        <v>1.7051999999999999E-4</v>
      </c>
    </row>
    <row r="56" spans="1:9">
      <c r="A56" t="s">
        <v>9</v>
      </c>
      <c r="B56">
        <f t="shared" ref="B56:B58" si="14">AVERAGE(E56/E$9,I56/I$9)</f>
        <v>4.5410905966379615E-3</v>
      </c>
      <c r="C56">
        <f t="shared" ref="C56:C58" si="15">STDEV(E56/E$9,I56/I$9)/SQRT(D56)</f>
        <v>1.3087706714742567E-3</v>
      </c>
      <c r="D56">
        <f t="shared" ref="D56:D59" si="16">COUNT(E56:Z56)</f>
        <v>2</v>
      </c>
      <c r="E56">
        <v>1.1385E-3</v>
      </c>
      <c r="I56">
        <v>6.9107000000000001E-4</v>
      </c>
    </row>
    <row r="57" spans="1:9">
      <c r="A57" t="s">
        <v>10</v>
      </c>
      <c r="B57">
        <f t="shared" si="14"/>
        <v>9.2900299871981964E-3</v>
      </c>
      <c r="C57">
        <f t="shared" si="15"/>
        <v>8.9854261582307787E-4</v>
      </c>
      <c r="D57">
        <f t="shared" si="16"/>
        <v>2</v>
      </c>
      <c r="E57">
        <v>1.9829000000000001E-3</v>
      </c>
      <c r="I57">
        <v>1.7941000000000001E-3</v>
      </c>
    </row>
    <row r="58" spans="1:9">
      <c r="A58" t="s">
        <v>11</v>
      </c>
      <c r="B58">
        <f t="shared" si="14"/>
        <v>1.2282143567484511E-3</v>
      </c>
      <c r="C58">
        <f t="shared" si="15"/>
        <v>1.8859789276341827E-4</v>
      </c>
      <c r="D58">
        <f t="shared" si="16"/>
        <v>2</v>
      </c>
      <c r="E58">
        <v>2.7574000000000001E-4</v>
      </c>
      <c r="I58">
        <v>2.2227E-4</v>
      </c>
    </row>
    <row r="59" spans="1:9">
      <c r="A59" t="s">
        <v>49</v>
      </c>
      <c r="B59" t="s">
        <v>30</v>
      </c>
      <c r="C59" t="s">
        <v>30</v>
      </c>
      <c r="D59">
        <f t="shared" si="16"/>
        <v>0</v>
      </c>
    </row>
    <row r="60" spans="1:9">
      <c r="A60" t="s">
        <v>12</v>
      </c>
      <c r="B60">
        <f>AVERAGE(E60/E$9,I60/I$9)</f>
        <v>4.2918502093595556E-4</v>
      </c>
      <c r="C60">
        <f>STDEV(E60/E$9,I60/I$9)/SQRT(D60)</f>
        <v>9.6259319569189512E-5</v>
      </c>
      <c r="D60">
        <f>COUNT(E60:Z60)</f>
        <v>2</v>
      </c>
      <c r="E60" s="15">
        <v>6.4794000000000003E-5</v>
      </c>
      <c r="I60">
        <v>1.1234E-4</v>
      </c>
    </row>
    <row r="61" spans="1:9">
      <c r="A61" t="s">
        <v>13</v>
      </c>
      <c r="B61">
        <f t="shared" ref="B61:B63" si="17">AVERAGE(E61/E$9,I61/I$9)</f>
        <v>2.3610877242346727E-3</v>
      </c>
      <c r="C61">
        <f t="shared" ref="C61:C63" si="18">STDEV(E61/E$9,I61/I$9)/SQRT(D61)</f>
        <v>3.0163964191474708E-4</v>
      </c>
      <c r="D61">
        <f t="shared" ref="D61:D63" si="19">COUNT(E61:Z61)</f>
        <v>2</v>
      </c>
      <c r="E61">
        <v>5.1822000000000001E-4</v>
      </c>
      <c r="I61">
        <v>4.4031000000000002E-4</v>
      </c>
    </row>
    <row r="62" spans="1:9">
      <c r="A62" t="s">
        <v>14</v>
      </c>
      <c r="B62">
        <f t="shared" si="17"/>
        <v>3.1988111850499677E-3</v>
      </c>
      <c r="C62">
        <f t="shared" si="18"/>
        <v>1.6764118972483396E-5</v>
      </c>
      <c r="D62">
        <f t="shared" si="19"/>
        <v>2</v>
      </c>
      <c r="E62">
        <v>6.1928999999999999E-4</v>
      </c>
      <c r="I62">
        <v>6.8749000000000002E-4</v>
      </c>
    </row>
    <row r="63" spans="1:9">
      <c r="A63" t="s">
        <v>56</v>
      </c>
      <c r="B63">
        <f t="shared" si="17"/>
        <v>2.6991186802441235E-3</v>
      </c>
      <c r="C63">
        <f t="shared" si="18"/>
        <v>5.9822999923383373E-4</v>
      </c>
      <c r="D63">
        <f t="shared" si="19"/>
        <v>2</v>
      </c>
      <c r="E63">
        <v>6.4172999999999997E-4</v>
      </c>
      <c r="I63">
        <v>4.4916999999999998E-4</v>
      </c>
    </row>
    <row r="64" spans="1:9">
      <c r="A64" t="s">
        <v>57</v>
      </c>
      <c r="B64">
        <f>AVERAGE(E64/E$9,I64/I$9)</f>
        <v>5.2272938346478171E-3</v>
      </c>
      <c r="C64">
        <f>STDEV(E64/E$9,I64/I$9)/SQRT(D64)</f>
        <v>2.173548073677721E-3</v>
      </c>
      <c r="D64">
        <f>COUNT(E64:Z64)</f>
        <v>2</v>
      </c>
      <c r="E64">
        <v>5.9431999999999996E-4</v>
      </c>
      <c r="I64">
        <v>1.5823E-3</v>
      </c>
    </row>
    <row r="65" spans="1:9">
      <c r="A65" t="s">
        <v>15</v>
      </c>
      <c r="B65">
        <f t="shared" ref="B65:B66" si="20">AVERAGE(E65/E$9,I65/I$9)</f>
        <v>2.8015724797809437E-3</v>
      </c>
      <c r="C65">
        <f t="shared" ref="C65:C66" si="21">STDEV(E65/E$9,I65/I$9)/SQRT(D65)</f>
        <v>4.6653973890161738E-4</v>
      </c>
      <c r="D65">
        <f t="shared" ref="D65:D69" si="22">COUNT(E65:Z65)</f>
        <v>2</v>
      </c>
      <c r="E65">
        <v>6.3604000000000004E-4</v>
      </c>
      <c r="I65">
        <v>4.9923000000000003E-4</v>
      </c>
    </row>
    <row r="66" spans="1:9">
      <c r="A66" t="s">
        <v>22</v>
      </c>
      <c r="B66">
        <f t="shared" si="20"/>
        <v>3.7201994070813586E-3</v>
      </c>
      <c r="C66">
        <f t="shared" si="21"/>
        <v>1.1263734014686367E-3</v>
      </c>
      <c r="D66">
        <f t="shared" si="22"/>
        <v>2</v>
      </c>
      <c r="E66">
        <v>9.4324000000000003E-4</v>
      </c>
      <c r="I66">
        <v>5.5455999999999995E-4</v>
      </c>
    </row>
    <row r="67" spans="1:9">
      <c r="A67" t="s">
        <v>59</v>
      </c>
      <c r="B67" t="s">
        <v>30</v>
      </c>
      <c r="C67" t="s">
        <v>30</v>
      </c>
      <c r="D67">
        <f t="shared" si="22"/>
        <v>0</v>
      </c>
    </row>
    <row r="68" spans="1:9">
      <c r="A68" t="s">
        <v>58</v>
      </c>
      <c r="B68" t="s">
        <v>30</v>
      </c>
      <c r="C68" t="s">
        <v>30</v>
      </c>
      <c r="D68">
        <f t="shared" si="22"/>
        <v>0</v>
      </c>
    </row>
    <row r="69" spans="1:9">
      <c r="A69" t="s">
        <v>151</v>
      </c>
      <c r="B69" t="s">
        <v>30</v>
      </c>
      <c r="C69" t="s">
        <v>30</v>
      </c>
      <c r="D69">
        <f t="shared" si="22"/>
        <v>0</v>
      </c>
    </row>
    <row r="81" spans="1:10">
      <c r="A81" s="1" t="s">
        <v>32</v>
      </c>
      <c r="E81" s="13">
        <v>43669</v>
      </c>
      <c r="I81" s="13">
        <v>43669</v>
      </c>
    </row>
    <row r="82" spans="1:10">
      <c r="A82" s="1" t="s">
        <v>33</v>
      </c>
      <c r="E82" s="14" t="s">
        <v>39</v>
      </c>
      <c r="I82" s="14" t="s">
        <v>39</v>
      </c>
    </row>
    <row r="83" spans="1:10">
      <c r="A83" s="1" t="s">
        <v>34</v>
      </c>
      <c r="E83" s="28" t="s">
        <v>40</v>
      </c>
      <c r="I83" s="28" t="s">
        <v>73</v>
      </c>
    </row>
    <row r="84" spans="1:10">
      <c r="A84" s="1" t="s">
        <v>35</v>
      </c>
      <c r="E84" s="14" t="s">
        <v>52</v>
      </c>
      <c r="I84" s="14" t="s">
        <v>52</v>
      </c>
    </row>
    <row r="85" spans="1:10">
      <c r="A85" s="1" t="s">
        <v>36</v>
      </c>
      <c r="E85" s="38" t="s">
        <v>265</v>
      </c>
      <c r="I85" s="38" t="s">
        <v>265</v>
      </c>
    </row>
    <row r="86" spans="1:10">
      <c r="A86" s="1" t="s">
        <v>37</v>
      </c>
      <c r="E86" s="2">
        <v>40</v>
      </c>
      <c r="I86" s="2">
        <v>40</v>
      </c>
    </row>
    <row r="87" spans="1:10">
      <c r="A87" s="1" t="s">
        <v>38</v>
      </c>
      <c r="E87" s="2">
        <v>0.1</v>
      </c>
      <c r="I87" s="2">
        <v>0.1</v>
      </c>
    </row>
    <row r="88" spans="1:10">
      <c r="A88" s="1" t="s">
        <v>43</v>
      </c>
      <c r="E88">
        <v>0.12642040021204001</v>
      </c>
      <c r="I88">
        <v>0.150573060568719</v>
      </c>
    </row>
    <row r="89" spans="1:10">
      <c r="A89" s="1" t="s">
        <v>54</v>
      </c>
      <c r="E89">
        <f>E108</f>
        <v>0.12642</v>
      </c>
      <c r="I89">
        <f>I108</f>
        <v>0.15057000000000001</v>
      </c>
    </row>
    <row r="90" spans="1:10">
      <c r="A90" s="1" t="s">
        <v>44</v>
      </c>
      <c r="B90" s="58">
        <f>AVERAGE(E90,I90)</f>
        <v>25.102820000310771</v>
      </c>
      <c r="C90" s="58">
        <f>STDEV(E90,I90)/SQRT(D90)</f>
        <v>2.5376430364376952</v>
      </c>
      <c r="D90">
        <v>2</v>
      </c>
      <c r="E90" s="21">
        <f>E86*E87*(1-E88)/E88</f>
        <v>27.640463036748464</v>
      </c>
      <c r="I90" s="21">
        <f>I86*I87*(1-I88)/I88</f>
        <v>22.565176963873082</v>
      </c>
    </row>
    <row r="91" spans="1:10">
      <c r="A91" s="1" t="s">
        <v>292</v>
      </c>
      <c r="C91" s="43">
        <f>AVERAGE(E91:U91)</f>
        <v>1.0000137767929846</v>
      </c>
      <c r="E91">
        <f>(1-E89)*E88/E89/(1-E88)</f>
        <v>1.0000036238639127</v>
      </c>
      <c r="I91">
        <f>(1-I89)*I88/I89/(1-I88)</f>
        <v>1.0000239297220563</v>
      </c>
    </row>
    <row r="92" spans="1:10">
      <c r="A92" s="1" t="s">
        <v>33</v>
      </c>
      <c r="E92" t="s">
        <v>39</v>
      </c>
      <c r="F92" t="s">
        <v>39</v>
      </c>
      <c r="I92" t="s">
        <v>39</v>
      </c>
      <c r="J92" t="s">
        <v>39</v>
      </c>
    </row>
    <row r="93" spans="1:10">
      <c r="A93" s="1" t="s">
        <v>45</v>
      </c>
      <c r="E93" t="s">
        <v>106</v>
      </c>
      <c r="F93" t="s">
        <v>85</v>
      </c>
      <c r="I93" t="s">
        <v>106</v>
      </c>
      <c r="J93" t="s">
        <v>85</v>
      </c>
    </row>
    <row r="94" spans="1:10" ht="29">
      <c r="A94" s="12" t="s">
        <v>31</v>
      </c>
      <c r="E94" s="20" t="s">
        <v>266</v>
      </c>
      <c r="F94" t="s">
        <v>287</v>
      </c>
      <c r="I94" s="20" t="s">
        <v>266</v>
      </c>
      <c r="J94" t="s">
        <v>287</v>
      </c>
    </row>
    <row r="96" spans="1:10">
      <c r="A96" s="1" t="s">
        <v>50</v>
      </c>
    </row>
    <row r="97" spans="1:10">
      <c r="B97" s="1" t="s">
        <v>5</v>
      </c>
      <c r="C97" s="1" t="s">
        <v>6</v>
      </c>
      <c r="D97" s="1" t="s">
        <v>55</v>
      </c>
    </row>
    <row r="98" spans="1:10">
      <c r="A98" s="1" t="s">
        <v>0</v>
      </c>
    </row>
    <row r="99" spans="1:10">
      <c r="A99" t="s">
        <v>60</v>
      </c>
      <c r="B99">
        <f>AVERAGE(E99/E$89,I99/I$89)</f>
        <v>2.3734533578602859E-3</v>
      </c>
      <c r="C99">
        <f>STDEV(E99/E$89,I99/I$89)/SQRT(D99)</f>
        <v>9.8479691899464191E-4</v>
      </c>
      <c r="D99">
        <f>COUNT(E99:Z99)</f>
        <v>2</v>
      </c>
      <c r="E99">
        <v>4.2454999999999999E-4</v>
      </c>
      <c r="I99">
        <v>2.0908999999999999E-4</v>
      </c>
    </row>
    <row r="100" spans="1:10">
      <c r="A100" t="s">
        <v>61</v>
      </c>
      <c r="B100">
        <f t="shared" ref="B100:B109" si="23">AVERAGE(E100/E$89,I100/I$89)</f>
        <v>6.591285507099599E-3</v>
      </c>
      <c r="C100">
        <f t="shared" ref="C100:C109" si="24">STDEV(E100/E$89,I100/I$89)/SQRT(D100)</f>
        <v>8.6046263401731238E-4</v>
      </c>
      <c r="D100">
        <f t="shared" ref="D100:D109" si="25">COUNT(E100:Z100)</f>
        <v>2</v>
      </c>
      <c r="E100">
        <v>9.4205000000000005E-4</v>
      </c>
      <c r="I100">
        <v>8.6288999999999995E-4</v>
      </c>
    </row>
    <row r="101" spans="1:10">
      <c r="A101" t="s">
        <v>62</v>
      </c>
      <c r="B101">
        <f t="shared" si="23"/>
        <v>5.8724885302958389E-4</v>
      </c>
      <c r="C101">
        <f t="shared" si="24"/>
        <v>5.8724885302958378E-4</v>
      </c>
      <c r="D101">
        <f t="shared" si="25"/>
        <v>2</v>
      </c>
      <c r="E101">
        <v>1.4847999999999999E-4</v>
      </c>
      <c r="I101">
        <v>0</v>
      </c>
    </row>
    <row r="102" spans="1:10">
      <c r="A102" t="s">
        <v>63</v>
      </c>
      <c r="B102">
        <f t="shared" si="23"/>
        <v>2.4477539613036352E-3</v>
      </c>
      <c r="C102">
        <f t="shared" si="24"/>
        <v>5.0407328122128157E-4</v>
      </c>
      <c r="D102">
        <f t="shared" si="25"/>
        <v>2</v>
      </c>
      <c r="E102">
        <v>3.7316999999999998E-4</v>
      </c>
      <c r="I102">
        <v>2.9265999999999998E-4</v>
      </c>
    </row>
    <row r="103" spans="1:10">
      <c r="A103" t="s">
        <v>64</v>
      </c>
      <c r="B103">
        <f t="shared" si="23"/>
        <v>0</v>
      </c>
      <c r="C103">
        <f t="shared" si="24"/>
        <v>0</v>
      </c>
      <c r="D103">
        <f t="shared" si="25"/>
        <v>2</v>
      </c>
      <c r="E103">
        <v>0</v>
      </c>
      <c r="I103">
        <v>0</v>
      </c>
    </row>
    <row r="104" spans="1:10">
      <c r="A104" t="s">
        <v>65</v>
      </c>
      <c r="B104">
        <f t="shared" si="23"/>
        <v>1.3011224015408115E-3</v>
      </c>
      <c r="C104">
        <f t="shared" si="24"/>
        <v>1.3011224015408113E-3</v>
      </c>
      <c r="D104">
        <f t="shared" si="25"/>
        <v>2</v>
      </c>
      <c r="E104">
        <v>0</v>
      </c>
      <c r="I104">
        <v>3.9182000000000003E-4</v>
      </c>
    </row>
    <row r="105" spans="1:10">
      <c r="A105" t="s">
        <v>66</v>
      </c>
      <c r="B105">
        <f t="shared" si="23"/>
        <v>0</v>
      </c>
      <c r="C105">
        <f t="shared" si="24"/>
        <v>0</v>
      </c>
      <c r="D105">
        <f t="shared" si="25"/>
        <v>2</v>
      </c>
      <c r="E105">
        <v>0</v>
      </c>
      <c r="I105">
        <v>0</v>
      </c>
    </row>
    <row r="106" spans="1:10">
      <c r="A106" t="s">
        <v>67</v>
      </c>
      <c r="B106">
        <f t="shared" si="23"/>
        <v>0</v>
      </c>
      <c r="C106">
        <f t="shared" si="24"/>
        <v>0</v>
      </c>
      <c r="D106">
        <f t="shared" si="25"/>
        <v>2</v>
      </c>
      <c r="E106">
        <v>0</v>
      </c>
      <c r="I106">
        <v>0</v>
      </c>
    </row>
    <row r="107" spans="1:10">
      <c r="A107" t="s">
        <v>71</v>
      </c>
      <c r="B107">
        <f t="shared" si="23"/>
        <v>4.4840854476135755E-2</v>
      </c>
      <c r="C107">
        <f t="shared" si="24"/>
        <v>5.4810882544447962E-3</v>
      </c>
      <c r="D107">
        <f t="shared" si="25"/>
        <v>2</v>
      </c>
      <c r="E107">
        <v>6.3616999999999996E-3</v>
      </c>
      <c r="I107">
        <v>5.9264000000000001E-3</v>
      </c>
    </row>
    <row r="108" spans="1:10">
      <c r="A108" t="s">
        <v>72</v>
      </c>
      <c r="B108">
        <f t="shared" si="23"/>
        <v>1</v>
      </c>
      <c r="C108">
        <f t="shared" si="24"/>
        <v>0</v>
      </c>
      <c r="D108">
        <f t="shared" si="25"/>
        <v>2</v>
      </c>
      <c r="E108">
        <v>0.12642</v>
      </c>
      <c r="I108">
        <v>0.15057000000000001</v>
      </c>
    </row>
    <row r="109" spans="1:10">
      <c r="A109" t="s">
        <v>69</v>
      </c>
      <c r="B109">
        <f t="shared" si="23"/>
        <v>2.217600636959399E-3</v>
      </c>
      <c r="C109">
        <f t="shared" si="24"/>
        <v>4.7176813380472019E-4</v>
      </c>
      <c r="D109">
        <f t="shared" si="25"/>
        <v>2</v>
      </c>
      <c r="E109">
        <v>3.3998999999999998E-4</v>
      </c>
      <c r="I109">
        <v>2.6287000000000001E-4</v>
      </c>
    </row>
    <row r="110" spans="1:10">
      <c r="A110" s="44" t="s">
        <v>68</v>
      </c>
      <c r="B110" t="s">
        <v>30</v>
      </c>
      <c r="C110" t="s">
        <v>30</v>
      </c>
      <c r="D110">
        <f t="shared" ref="D110:D113" si="26">COUNT(E110:Z110)</f>
        <v>0</v>
      </c>
    </row>
    <row r="111" spans="1:10">
      <c r="A111" s="44" t="s">
        <v>70</v>
      </c>
      <c r="B111">
        <f>AVERAGE(F111/E89)</f>
        <v>0</v>
      </c>
      <c r="C111">
        <f>STDEV(F111/E89,J111/I89)/SQRT(D111)</f>
        <v>0</v>
      </c>
      <c r="D111">
        <f t="shared" si="26"/>
        <v>2</v>
      </c>
      <c r="F111">
        <v>0</v>
      </c>
      <c r="J111">
        <v>0</v>
      </c>
    </row>
    <row r="112" spans="1:10">
      <c r="A112" t="s">
        <v>23</v>
      </c>
      <c r="B112">
        <f t="shared" ref="B112:B113" si="27">AVERAGE(E112/E$89,I112/I$89)</f>
        <v>0</v>
      </c>
      <c r="C112">
        <f t="shared" ref="C112:C113" si="28">STDEV(E112/E$89,I112/I$89)/SQRT(D112)</f>
        <v>0</v>
      </c>
      <c r="D112">
        <f t="shared" si="26"/>
        <v>2</v>
      </c>
      <c r="E112">
        <v>0</v>
      </c>
      <c r="I112">
        <v>0</v>
      </c>
    </row>
    <row r="113" spans="1:9">
      <c r="A113" t="s">
        <v>24</v>
      </c>
      <c r="B113">
        <f t="shared" si="27"/>
        <v>0</v>
      </c>
      <c r="C113">
        <f t="shared" si="28"/>
        <v>0</v>
      </c>
      <c r="D113">
        <f t="shared" si="26"/>
        <v>2</v>
      </c>
      <c r="E113">
        <v>0</v>
      </c>
      <c r="I113">
        <v>0</v>
      </c>
    </row>
    <row r="116" spans="1:9">
      <c r="A116" s="1" t="s">
        <v>16</v>
      </c>
    </row>
    <row r="117" spans="1:9">
      <c r="A117" t="s">
        <v>7</v>
      </c>
      <c r="B117">
        <f>AVERAGE(E117/E$89,I117/I$89)</f>
        <v>6.3207410952444941E-3</v>
      </c>
      <c r="C117">
        <f>STDEV(E117/E$89,I117/I$89)/SQRT(D117)</f>
        <v>2.0584710547317735E-3</v>
      </c>
      <c r="D117">
        <f>COUNT(E117:Z117)</f>
        <v>2</v>
      </c>
      <c r="E117">
        <v>1.0593E-3</v>
      </c>
      <c r="I117">
        <v>6.4176999999999995E-4</v>
      </c>
    </row>
    <row r="118" spans="1:9">
      <c r="A118" t="s">
        <v>8</v>
      </c>
      <c r="B118">
        <f>AVERAGE(E118/E$89,I118/I$89)</f>
        <v>3.9551965543117764E-3</v>
      </c>
      <c r="C118">
        <f>STDEV(E118/E$89,I118/I$89)/SQRT(D118)</f>
        <v>1.6588035785168086E-3</v>
      </c>
      <c r="D118">
        <f>COUNT(E118:Z118)</f>
        <v>2</v>
      </c>
      <c r="E118">
        <v>2.9031E-4</v>
      </c>
      <c r="I118">
        <v>8.453E-4</v>
      </c>
    </row>
    <row r="119" spans="1:9">
      <c r="A119" t="s">
        <v>9</v>
      </c>
      <c r="B119">
        <f t="shared" ref="B119:B121" si="29">AVERAGE(E119/E$89,I119/I$89)</f>
        <v>7.101770746247316E-3</v>
      </c>
      <c r="C119">
        <f t="shared" ref="C119:C121" si="30">STDEV(E119/E$89,I119/I$89)/SQRT(D119)</f>
        <v>1.824823147123985E-3</v>
      </c>
      <c r="D119">
        <f t="shared" ref="D119:D121" si="31">COUNT(E119:Z119)</f>
        <v>2</v>
      </c>
      <c r="E119">
        <v>1.1284999999999999E-3</v>
      </c>
      <c r="I119">
        <v>7.9454999999999999E-4</v>
      </c>
    </row>
    <row r="120" spans="1:9">
      <c r="A120" t="s">
        <v>10</v>
      </c>
      <c r="B120">
        <f t="shared" si="29"/>
        <v>8.2301462636885699E-3</v>
      </c>
      <c r="C120">
        <f t="shared" si="30"/>
        <v>2.6549984918880758E-3</v>
      </c>
      <c r="D120">
        <f t="shared" si="31"/>
        <v>2</v>
      </c>
      <c r="E120">
        <v>1.3760999999999999E-3</v>
      </c>
      <c r="I120">
        <v>8.3945000000000005E-4</v>
      </c>
    </row>
    <row r="121" spans="1:9">
      <c r="A121" t="s">
        <v>11</v>
      </c>
      <c r="B121">
        <f t="shared" si="29"/>
        <v>4.8271516741366198E-3</v>
      </c>
      <c r="C121">
        <f t="shared" si="30"/>
        <v>3.8663593295642666E-4</v>
      </c>
      <c r="D121">
        <f t="shared" si="31"/>
        <v>2</v>
      </c>
      <c r="E121">
        <v>5.6136999999999995E-4</v>
      </c>
      <c r="I121">
        <v>7.8503999999999998E-4</v>
      </c>
    </row>
    <row r="122" spans="1:9">
      <c r="A122" t="s">
        <v>49</v>
      </c>
    </row>
    <row r="123" spans="1:9">
      <c r="A123" t="s">
        <v>12</v>
      </c>
      <c r="B123">
        <f>AVERAGE(E123/E$89,I123/I$89)</f>
        <v>8.3810242010592308E-3</v>
      </c>
      <c r="C123">
        <f>STDEV(E123/E$89,I123/I$89)/SQRT(D123)</f>
        <v>5.9461256527520989E-4</v>
      </c>
      <c r="D123">
        <f>COUNT(E123:Z123)</f>
        <v>2</v>
      </c>
      <c r="E123">
        <v>1.1347E-3</v>
      </c>
      <c r="I123">
        <v>1.1724000000000001E-3</v>
      </c>
    </row>
    <row r="124" spans="1:9">
      <c r="A124" t="s">
        <v>13</v>
      </c>
      <c r="B124">
        <f t="shared" ref="B124:B126" si="32">AVERAGE(E124/E$89,I124/I$89)</f>
        <v>5.4603570110214623E-3</v>
      </c>
      <c r="C124">
        <f t="shared" ref="C124:C126" si="33">STDEV(E124/E$89,I124/I$89)/SQRT(D124)</f>
        <v>1.2540078046722563E-3</v>
      </c>
      <c r="D124">
        <f t="shared" ref="D124:D126" si="34">COUNT(E124:Z124)</f>
        <v>2</v>
      </c>
      <c r="E124">
        <v>8.4882999999999996E-4</v>
      </c>
      <c r="I124">
        <v>6.3334999999999997E-4</v>
      </c>
    </row>
    <row r="125" spans="1:9">
      <c r="A125" t="s">
        <v>14</v>
      </c>
      <c r="B125">
        <f t="shared" si="32"/>
        <v>6.6866829635425255E-3</v>
      </c>
      <c r="C125">
        <f t="shared" si="33"/>
        <v>1.1989364004821547E-3</v>
      </c>
      <c r="D125">
        <f t="shared" si="34"/>
        <v>2</v>
      </c>
      <c r="E125">
        <v>9.969E-4</v>
      </c>
      <c r="I125">
        <v>8.2629000000000003E-4</v>
      </c>
    </row>
    <row r="126" spans="1:9">
      <c r="A126" t="s">
        <v>56</v>
      </c>
      <c r="B126">
        <f t="shared" si="32"/>
        <v>0</v>
      </c>
      <c r="C126">
        <f t="shared" si="33"/>
        <v>0</v>
      </c>
      <c r="D126">
        <f t="shared" si="34"/>
        <v>2</v>
      </c>
      <c r="E126">
        <v>0</v>
      </c>
      <c r="I126">
        <v>0</v>
      </c>
    </row>
    <row r="127" spans="1:9">
      <c r="A127" t="s">
        <v>57</v>
      </c>
    </row>
    <row r="128" spans="1:9">
      <c r="A128" t="s">
        <v>15</v>
      </c>
      <c r="B128">
        <f>AVERAGE(E128/E$89,I128/I$89)</f>
        <v>6.0588692095176755E-3</v>
      </c>
      <c r="C128">
        <f>STDEV(E128/E$89,I128/I$89)/SQRT(D128)</f>
        <v>3.4094483046372874E-4</v>
      </c>
      <c r="D128">
        <f>COUNT(E128:Z128)</f>
        <v>2</v>
      </c>
      <c r="E128">
        <v>7.2285999999999997E-4</v>
      </c>
      <c r="I128">
        <v>9.6361999999999999E-4</v>
      </c>
    </row>
    <row r="129" spans="1:9">
      <c r="A129" t="s">
        <v>22</v>
      </c>
      <c r="B129">
        <f t="shared" ref="B129" si="35">AVERAGE(E129/E$89,I129/I$89)</f>
        <v>5.8637230020937049E-3</v>
      </c>
      <c r="C129">
        <f t="shared" ref="C129" si="36">STDEV(E129/E$89,I129/I$89)/SQRT(D129)</f>
        <v>6.6143505178659599E-5</v>
      </c>
      <c r="D129">
        <f t="shared" ref="D129:D131" si="37">COUNT(E129:Z129)</f>
        <v>2</v>
      </c>
      <c r="E129">
        <v>7.3293000000000002E-4</v>
      </c>
      <c r="I129">
        <v>8.9285999999999999E-4</v>
      </c>
    </row>
    <row r="130" spans="1:9">
      <c r="A130" t="s">
        <v>59</v>
      </c>
      <c r="B130" t="s">
        <v>30</v>
      </c>
      <c r="C130" t="s">
        <v>30</v>
      </c>
      <c r="D130">
        <f t="shared" si="37"/>
        <v>0</v>
      </c>
    </row>
    <row r="131" spans="1:9">
      <c r="A131" t="s">
        <v>58</v>
      </c>
      <c r="B131" t="s">
        <v>30</v>
      </c>
      <c r="C131" t="s">
        <v>30</v>
      </c>
      <c r="D131">
        <f t="shared" si="37"/>
        <v>0</v>
      </c>
    </row>
    <row r="132" spans="1:9">
      <c r="A132" t="s">
        <v>151</v>
      </c>
    </row>
    <row r="133" spans="1:9">
      <c r="A133" s="1" t="s">
        <v>17</v>
      </c>
    </row>
    <row r="134" spans="1:9">
      <c r="A134" t="s">
        <v>7</v>
      </c>
      <c r="B134">
        <f>AVERAGE(E134/E$89,I134/I$89)</f>
        <v>0</v>
      </c>
      <c r="C134">
        <f>STDEV(E134/E$89,I134/I$89)/SQRT(D134)</f>
        <v>0</v>
      </c>
      <c r="D134">
        <f>COUNT(E134:Z134)</f>
        <v>2</v>
      </c>
      <c r="E134">
        <v>0</v>
      </c>
      <c r="I134">
        <v>0</v>
      </c>
    </row>
    <row r="135" spans="1:9">
      <c r="A135" t="s">
        <v>8</v>
      </c>
      <c r="B135">
        <f>AVERAGE(E135/E$89,I135/I$89)</f>
        <v>1.523510659493923E-4</v>
      </c>
      <c r="C135">
        <f>STDEV(E135/E$89,I135/I$89)/SQRT(D135)</f>
        <v>1.5235106594939227E-4</v>
      </c>
      <c r="D135">
        <f>COUNT(E135:Z135)</f>
        <v>2</v>
      </c>
      <c r="E135">
        <v>0</v>
      </c>
      <c r="I135" s="15">
        <v>4.5878999999999999E-5</v>
      </c>
    </row>
    <row r="136" spans="1:9">
      <c r="A136" t="s">
        <v>9</v>
      </c>
      <c r="B136">
        <f t="shared" ref="B136:B138" si="38">AVERAGE(E136/E$89,I136/I$89)</f>
        <v>3.5268715315908078E-3</v>
      </c>
      <c r="C136">
        <f t="shared" ref="C136:C138" si="39">STDEV(E136/E$89,I136/I$89)/SQRT(D136)</f>
        <v>4.017331041267988E-4</v>
      </c>
      <c r="D136">
        <f t="shared" ref="D136:D138" si="40">COUNT(E136:Z136)</f>
        <v>2</v>
      </c>
      <c r="E136">
        <v>3.9508000000000002E-4</v>
      </c>
      <c r="I136">
        <v>5.9153000000000005E-4</v>
      </c>
    </row>
    <row r="137" spans="1:9">
      <c r="A137" t="s">
        <v>10</v>
      </c>
      <c r="B137">
        <f t="shared" si="38"/>
        <v>5.54375372477167E-3</v>
      </c>
      <c r="C137">
        <f t="shared" si="39"/>
        <v>1.3786477939753631E-3</v>
      </c>
      <c r="D137">
        <f t="shared" si="40"/>
        <v>2</v>
      </c>
      <c r="E137">
        <v>8.7513000000000001E-4</v>
      </c>
      <c r="I137">
        <v>6.2713999999999999E-4</v>
      </c>
    </row>
    <row r="138" spans="1:9">
      <c r="A138" t="s">
        <v>11</v>
      </c>
      <c r="B138">
        <f t="shared" si="38"/>
        <v>5.9459870873846603E-4</v>
      </c>
      <c r="C138">
        <f t="shared" si="39"/>
        <v>3.6972655625125081E-4</v>
      </c>
      <c r="D138">
        <f t="shared" si="40"/>
        <v>2</v>
      </c>
      <c r="E138">
        <v>1.2191E-4</v>
      </c>
      <c r="I138" s="15">
        <v>3.3859000000000002E-5</v>
      </c>
    </row>
    <row r="139" spans="1:9">
      <c r="A139" t="s">
        <v>49</v>
      </c>
    </row>
    <row r="140" spans="1:9">
      <c r="A140" t="s">
        <v>12</v>
      </c>
      <c r="B140">
        <f>AVERAGE(E140/E$89,I140/I$89)</f>
        <v>1.9302219781883107E-3</v>
      </c>
      <c r="C140">
        <f>STDEV(E140/E$89,I140/I$89)/SQRT(D140)</f>
        <v>1.6390813358848776E-3</v>
      </c>
      <c r="D140">
        <f>COUNT(E140:Z140)</f>
        <v>2</v>
      </c>
      <c r="E140" s="15">
        <v>3.6806E-5</v>
      </c>
      <c r="I140">
        <v>5.3742999999999998E-4</v>
      </c>
    </row>
    <row r="141" spans="1:9">
      <c r="A141" t="s">
        <v>13</v>
      </c>
      <c r="B141">
        <f t="shared" ref="B141:B143" si="41">AVERAGE(E141/E$89,I141/I$89)</f>
        <v>0</v>
      </c>
      <c r="C141">
        <f t="shared" ref="C141:C143" si="42">STDEV(E141/E$89,I141/I$89)/SQRT(D141)</f>
        <v>0</v>
      </c>
      <c r="D141">
        <f t="shared" ref="D141:D143" si="43">COUNT(E141:Z141)</f>
        <v>2</v>
      </c>
      <c r="E141">
        <v>0</v>
      </c>
      <c r="I141">
        <v>0</v>
      </c>
    </row>
    <row r="142" spans="1:9">
      <c r="A142" t="s">
        <v>14</v>
      </c>
      <c r="B142">
        <f t="shared" si="41"/>
        <v>8.1509538394190664E-4</v>
      </c>
      <c r="C142">
        <f t="shared" si="42"/>
        <v>2.4566062031831665E-5</v>
      </c>
      <c r="D142">
        <f t="shared" si="43"/>
        <v>2</v>
      </c>
      <c r="E142">
        <v>1.0615000000000001E-4</v>
      </c>
      <c r="I142">
        <v>1.1903E-4</v>
      </c>
    </row>
    <row r="143" spans="1:9">
      <c r="A143" t="s">
        <v>56</v>
      </c>
      <c r="B143">
        <f t="shared" si="41"/>
        <v>0</v>
      </c>
      <c r="C143">
        <f t="shared" si="42"/>
        <v>0</v>
      </c>
      <c r="D143">
        <f t="shared" si="43"/>
        <v>2</v>
      </c>
      <c r="E143">
        <v>0</v>
      </c>
      <c r="I143">
        <v>0</v>
      </c>
    </row>
    <row r="144" spans="1:9">
      <c r="A144" t="s">
        <v>57</v>
      </c>
    </row>
    <row r="145" spans="1:9">
      <c r="A145" t="s">
        <v>15</v>
      </c>
      <c r="B145">
        <f>AVERAGE(E145/E$89,I145/I$89)</f>
        <v>0</v>
      </c>
      <c r="C145">
        <f>STDEV(E145/E$89,I145/I$89)/SQRT(D145)</f>
        <v>0</v>
      </c>
      <c r="D145">
        <f>COUNT(E145:Z145)</f>
        <v>2</v>
      </c>
      <c r="E145">
        <v>0</v>
      </c>
      <c r="I145">
        <v>0</v>
      </c>
    </row>
    <row r="146" spans="1:9">
      <c r="A146" t="s">
        <v>22</v>
      </c>
      <c r="B146">
        <f t="shared" ref="B146" si="44">AVERAGE(E146/E$89,I146/I$89)</f>
        <v>2.9835950630130422E-3</v>
      </c>
      <c r="C146">
        <f t="shared" ref="C146" si="45">STDEV(E146/E$89,I146/I$89)/SQRT(D146)</f>
        <v>7.2770200811666478E-4</v>
      </c>
      <c r="D146">
        <f t="shared" ref="D146:D148" si="46">COUNT(E146:Z146)</f>
        <v>2</v>
      </c>
      <c r="E146">
        <v>2.8519E-4</v>
      </c>
      <c r="I146">
        <v>5.5880999999999997E-4</v>
      </c>
    </row>
    <row r="147" spans="1:9">
      <c r="A147" t="s">
        <v>59</v>
      </c>
      <c r="B147" t="s">
        <v>30</v>
      </c>
      <c r="C147" t="s">
        <v>30</v>
      </c>
      <c r="D147">
        <f t="shared" si="46"/>
        <v>0</v>
      </c>
    </row>
    <row r="148" spans="1:9">
      <c r="A148" t="s">
        <v>58</v>
      </c>
      <c r="B148" t="s">
        <v>30</v>
      </c>
      <c r="C148" t="s">
        <v>30</v>
      </c>
      <c r="D148">
        <f t="shared" si="46"/>
        <v>0</v>
      </c>
    </row>
    <row r="149" spans="1:9">
      <c r="A149" t="s">
        <v>151</v>
      </c>
    </row>
  </sheetData>
  <pageMargins left="0.7" right="0.7" top="0.75" bottom="0.75" header="0.3" footer="0.3"/>
  <pageSetup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F149"/>
  <sheetViews>
    <sheetView topLeftCell="J1" zoomScale="114" workbookViewId="0">
      <selection activeCell="F94" sqref="F94"/>
    </sheetView>
  </sheetViews>
  <sheetFormatPr baseColWidth="10" defaultRowHeight="16"/>
  <cols>
    <col min="1" max="1" width="17.6640625" bestFit="1" customWidth="1"/>
    <col min="5" max="5" width="21.5" bestFit="1" customWidth="1"/>
    <col min="6" max="6" width="15.83203125" customWidth="1"/>
    <col min="9" max="9" width="15" bestFit="1" customWidth="1"/>
    <col min="10" max="10" width="10.5" bestFit="1" customWidth="1"/>
    <col min="13" max="13" width="15" bestFit="1" customWidth="1"/>
    <col min="17" max="17" width="15" bestFit="1" customWidth="1"/>
    <col min="21" max="21" width="15" bestFit="1" customWidth="1"/>
    <col min="22" max="22" width="15.33203125" customWidth="1"/>
  </cols>
  <sheetData>
    <row r="1" spans="1:32">
      <c r="A1" s="1" t="s">
        <v>32</v>
      </c>
      <c r="E1" s="74">
        <v>43152</v>
      </c>
      <c r="I1" s="74">
        <v>43152</v>
      </c>
      <c r="M1" s="74">
        <v>43452</v>
      </c>
      <c r="Q1" s="74">
        <v>43452</v>
      </c>
      <c r="U1" s="2"/>
      <c r="V1" s="2"/>
      <c r="AC1" s="2"/>
      <c r="AD1" s="2"/>
      <c r="AE1" s="2"/>
      <c r="AF1" s="2"/>
    </row>
    <row r="2" spans="1:32">
      <c r="A2" s="1" t="s">
        <v>33</v>
      </c>
      <c r="E2" s="75" t="s">
        <v>39</v>
      </c>
      <c r="I2" s="75" t="s">
        <v>39</v>
      </c>
      <c r="M2" s="75" t="s">
        <v>116</v>
      </c>
      <c r="Q2" s="75" t="s">
        <v>116</v>
      </c>
      <c r="U2" s="2" t="s">
        <v>272</v>
      </c>
      <c r="V2" s="2" t="s">
        <v>272</v>
      </c>
      <c r="AC2" s="2" t="s">
        <v>113</v>
      </c>
      <c r="AD2" s="2" t="s">
        <v>113</v>
      </c>
      <c r="AE2" s="2" t="s">
        <v>113</v>
      </c>
      <c r="AF2" s="2"/>
    </row>
    <row r="3" spans="1:32">
      <c r="A3" s="1" t="s">
        <v>34</v>
      </c>
      <c r="E3" s="79" t="s">
        <v>40</v>
      </c>
      <c r="I3" s="79" t="s">
        <v>73</v>
      </c>
      <c r="M3" s="79" t="s">
        <v>40</v>
      </c>
      <c r="Q3" s="79" t="s">
        <v>73</v>
      </c>
      <c r="U3" s="2" t="s">
        <v>284</v>
      </c>
      <c r="V3" s="2" t="s">
        <v>285</v>
      </c>
      <c r="AC3" s="2"/>
      <c r="AD3" s="2"/>
      <c r="AE3" s="2"/>
      <c r="AF3" s="2"/>
    </row>
    <row r="4" spans="1:32">
      <c r="A4" s="1" t="s">
        <v>35</v>
      </c>
      <c r="E4" s="75" t="s">
        <v>41</v>
      </c>
      <c r="I4" s="75" t="s">
        <v>41</v>
      </c>
      <c r="M4" s="75" t="s">
        <v>41</v>
      </c>
      <c r="Q4" s="75" t="s">
        <v>41</v>
      </c>
      <c r="U4" s="14" t="s">
        <v>41</v>
      </c>
      <c r="V4" s="14" t="s">
        <v>41</v>
      </c>
      <c r="AC4" s="14" t="s">
        <v>41</v>
      </c>
      <c r="AD4" s="14" t="s">
        <v>41</v>
      </c>
      <c r="AE4" s="14" t="s">
        <v>41</v>
      </c>
      <c r="AF4" s="14"/>
    </row>
    <row r="5" spans="1:32">
      <c r="A5" s="1" t="s">
        <v>36</v>
      </c>
      <c r="E5" s="75" t="s">
        <v>114</v>
      </c>
      <c r="F5" s="9"/>
      <c r="G5" s="9"/>
      <c r="H5" s="9"/>
      <c r="I5" s="75" t="s">
        <v>114</v>
      </c>
      <c r="J5" s="9"/>
      <c r="K5" s="9"/>
      <c r="M5" s="75" t="s">
        <v>114</v>
      </c>
      <c r="Q5" s="75" t="s">
        <v>114</v>
      </c>
      <c r="U5" s="14" t="s">
        <v>114</v>
      </c>
      <c r="V5" s="14" t="s">
        <v>114</v>
      </c>
      <c r="AC5" s="14" t="s">
        <v>114</v>
      </c>
      <c r="AD5" s="14" t="s">
        <v>114</v>
      </c>
      <c r="AE5" s="14" t="s">
        <v>114</v>
      </c>
      <c r="AF5" s="14"/>
    </row>
    <row r="6" spans="1:32">
      <c r="A6" s="1" t="s">
        <v>37</v>
      </c>
      <c r="E6" s="44">
        <v>40</v>
      </c>
      <c r="I6" s="44">
        <v>40</v>
      </c>
      <c r="M6" s="44">
        <v>30</v>
      </c>
      <c r="Q6" s="44">
        <v>30</v>
      </c>
      <c r="U6" s="2">
        <v>50</v>
      </c>
      <c r="V6" s="2">
        <v>50</v>
      </c>
      <c r="AC6" s="2"/>
      <c r="AD6" s="2"/>
      <c r="AE6" s="2"/>
      <c r="AF6" s="2"/>
    </row>
    <row r="7" spans="1:32">
      <c r="A7" s="1" t="s">
        <v>38</v>
      </c>
      <c r="E7" s="44">
        <v>0.1</v>
      </c>
      <c r="I7" s="44">
        <v>0.1</v>
      </c>
      <c r="M7" s="44">
        <v>0.1</v>
      </c>
      <c r="Q7" s="44">
        <v>0.1</v>
      </c>
      <c r="U7" s="2">
        <v>0.1</v>
      </c>
      <c r="V7" s="2">
        <v>0.1</v>
      </c>
      <c r="AC7" s="2"/>
      <c r="AD7" s="2"/>
      <c r="AE7" s="2"/>
      <c r="AF7" s="2"/>
    </row>
    <row r="8" spans="1:32">
      <c r="A8" s="1" t="s">
        <v>43</v>
      </c>
      <c r="E8">
        <v>0.322202055351824</v>
      </c>
      <c r="I8">
        <v>0.29210173735203898</v>
      </c>
      <c r="M8">
        <v>0.218168894800155</v>
      </c>
      <c r="Q8">
        <v>0.23245228743663901</v>
      </c>
      <c r="U8">
        <v>0.31640690146550798</v>
      </c>
      <c r="V8">
        <v>0.31915563327899898</v>
      </c>
    </row>
    <row r="9" spans="1:32">
      <c r="A9" s="1" t="s">
        <v>53</v>
      </c>
      <c r="E9">
        <f>E29</f>
        <v>0.32368999999999998</v>
      </c>
      <c r="I9">
        <f>I29</f>
        <v>0.29348999999999997</v>
      </c>
      <c r="M9">
        <f>M29</f>
        <v>0.21843000000000001</v>
      </c>
      <c r="Q9">
        <f>Q29</f>
        <v>0.23304</v>
      </c>
      <c r="U9">
        <v>0.31868999999999997</v>
      </c>
      <c r="V9">
        <v>0.32168000000000002</v>
      </c>
      <c r="AC9">
        <v>0.27333025466363242</v>
      </c>
      <c r="AD9">
        <v>0.25124545300045092</v>
      </c>
      <c r="AE9">
        <v>0.28985423610392558</v>
      </c>
    </row>
    <row r="10" spans="1:32">
      <c r="A10" s="1" t="s">
        <v>44</v>
      </c>
      <c r="B10" s="22">
        <f>AVERAGE(E10:AZ10)</f>
        <v>10.03898206244005</v>
      </c>
      <c r="C10" s="22">
        <f>STDEV(E10:AZ10)/SQRT(D10)</f>
        <v>0.37677072939401274</v>
      </c>
      <c r="D10" s="1">
        <f>COUNT(E10:AZ10)</f>
        <v>6</v>
      </c>
      <c r="E10" s="21">
        <f>E6*E7*(1-E8)/E8</f>
        <v>8.41457009214996</v>
      </c>
      <c r="I10" s="21">
        <f>I6*I7*(1-I8)/I8</f>
        <v>9.6938589830406521</v>
      </c>
      <c r="M10" s="21">
        <f>M6*M7*(1-M8)/M8</f>
        <v>10.750814490525938</v>
      </c>
      <c r="Q10" s="21">
        <f>Q6*Q7*(1-Q8)/Q8</f>
        <v>9.9058742896549425</v>
      </c>
      <c r="U10" s="21">
        <f>U6*U7*(1-U8)/U8</f>
        <v>10.802436599332703</v>
      </c>
      <c r="V10" s="21">
        <f>V6*V7*(1-V8)/V8</f>
        <v>10.666337919936096</v>
      </c>
    </row>
    <row r="11" spans="1:32">
      <c r="A11" s="1"/>
    </row>
    <row r="12" spans="1:32">
      <c r="A12" s="1" t="s">
        <v>33</v>
      </c>
      <c r="E12" t="s">
        <v>39</v>
      </c>
      <c r="F12" t="s">
        <v>39</v>
      </c>
      <c r="I12" t="s">
        <v>39</v>
      </c>
      <c r="J12" t="s">
        <v>39</v>
      </c>
      <c r="M12" t="s">
        <v>116</v>
      </c>
      <c r="Q12" t="s">
        <v>116</v>
      </c>
      <c r="U12" t="s">
        <v>272</v>
      </c>
      <c r="V12" t="s">
        <v>272</v>
      </c>
    </row>
    <row r="13" spans="1:32">
      <c r="A13" s="1" t="s">
        <v>45</v>
      </c>
      <c r="E13" t="s">
        <v>47</v>
      </c>
      <c r="F13" t="s">
        <v>85</v>
      </c>
      <c r="I13" t="s">
        <v>47</v>
      </c>
      <c r="J13" t="s">
        <v>85</v>
      </c>
      <c r="M13" t="s">
        <v>47</v>
      </c>
      <c r="Q13" t="s">
        <v>47</v>
      </c>
      <c r="U13" t="s">
        <v>106</v>
      </c>
      <c r="V13" t="s">
        <v>106</v>
      </c>
    </row>
    <row r="14" spans="1:32" ht="51">
      <c r="A14" s="12" t="s">
        <v>31</v>
      </c>
      <c r="E14" s="11" t="s">
        <v>115</v>
      </c>
      <c r="F14" s="11" t="s">
        <v>81</v>
      </c>
      <c r="I14" s="11" t="s">
        <v>115</v>
      </c>
      <c r="J14" s="11" t="s">
        <v>81</v>
      </c>
      <c r="M14" s="11" t="s">
        <v>117</v>
      </c>
      <c r="Q14" s="11" t="s">
        <v>117</v>
      </c>
      <c r="U14" s="10" t="s">
        <v>280</v>
      </c>
      <c r="V14" s="10" t="s">
        <v>280</v>
      </c>
    </row>
    <row r="16" spans="1:32">
      <c r="A16" s="1" t="s">
        <v>50</v>
      </c>
    </row>
    <row r="17" spans="1:31">
      <c r="B17" s="1" t="s">
        <v>5</v>
      </c>
      <c r="C17" s="1" t="s">
        <v>6</v>
      </c>
      <c r="D17" s="1" t="s">
        <v>55</v>
      </c>
    </row>
    <row r="18" spans="1:31">
      <c r="A18" s="1" t="s">
        <v>0</v>
      </c>
    </row>
    <row r="19" spans="1:31">
      <c r="A19" t="s">
        <v>60</v>
      </c>
      <c r="B19" s="3">
        <f>AVERAGE(E19/E$9,I19/I$9,M19/M$9,Q19/Q$9)</f>
        <v>3.2813108394642514E-2</v>
      </c>
      <c r="C19" s="3">
        <f>STDEV(E19/E$9,I19/I$9,M19/M$9,Q19/Q$9)/SQRT(D19)</f>
        <v>5.3539999114710799E-3</v>
      </c>
      <c r="D19">
        <f>COUNT(E19:AZ19)</f>
        <v>4</v>
      </c>
      <c r="E19">
        <v>1.3491E-2</v>
      </c>
      <c r="I19">
        <v>1.242E-2</v>
      </c>
      <c r="M19">
        <v>4.7736000000000002E-3</v>
      </c>
      <c r="Q19">
        <v>5.9195000000000003E-3</v>
      </c>
    </row>
    <row r="20" spans="1:31">
      <c r="A20" t="s">
        <v>61</v>
      </c>
      <c r="B20" s="3">
        <f>AVERAGE(E20/E$9,I20/I$9,M20/M$9,Q20/Q$9)</f>
        <v>2.3710617283659172E-2</v>
      </c>
      <c r="C20" s="3">
        <f>STDEV(E20/E$9,I20/I$9,M20/M$9,Q20/Q$9)/SQRT(D20)</f>
        <v>1.1057455716147158E-3</v>
      </c>
      <c r="D20">
        <f t="shared" ref="D20:D30" si="0">COUNT(E20:AZ20)</f>
        <v>4</v>
      </c>
      <c r="E20">
        <v>6.6080000000000002E-3</v>
      </c>
      <c r="I20">
        <v>7.3089000000000001E-3</v>
      </c>
      <c r="M20">
        <v>5.4732000000000001E-3</v>
      </c>
      <c r="Q20">
        <v>5.7019000000000002E-3</v>
      </c>
    </row>
    <row r="21" spans="1:31">
      <c r="A21" t="s">
        <v>62</v>
      </c>
      <c r="B21" s="3">
        <f t="shared" ref="B21:B29" si="1">AVERAGE(E21/E$9,I21/I$9,M21/M$9,Q21/Q$9)</f>
        <v>2.3720332511547676E-2</v>
      </c>
      <c r="C21" s="3">
        <f t="shared" ref="C21:C29" si="2">STDEV(E21/E$9,I21/I$9,M21/M$9,Q21/Q$9)/SQRT(D21)</f>
        <v>1.7429740644683549E-3</v>
      </c>
      <c r="D21">
        <f t="shared" si="0"/>
        <v>4</v>
      </c>
      <c r="E21">
        <v>8.2974999999999993E-3</v>
      </c>
      <c r="I21">
        <v>8.1180999999999996E-3</v>
      </c>
      <c r="M21">
        <v>4.5982000000000002E-3</v>
      </c>
      <c r="Q21">
        <v>4.7856000000000001E-3</v>
      </c>
    </row>
    <row r="22" spans="1:31">
      <c r="A22" t="s">
        <v>63</v>
      </c>
      <c r="B22" s="3">
        <f t="shared" si="1"/>
        <v>8.089539222799107E-3</v>
      </c>
      <c r="C22" s="3">
        <f t="shared" si="2"/>
        <v>1.9070690593851554E-3</v>
      </c>
      <c r="D22">
        <f t="shared" si="0"/>
        <v>4</v>
      </c>
      <c r="E22">
        <v>3.1895999999999999E-3</v>
      </c>
      <c r="I22">
        <v>2.6741E-3</v>
      </c>
      <c r="M22">
        <v>5.4109000000000004E-4</v>
      </c>
      <c r="Q22">
        <v>2.5438000000000001E-3</v>
      </c>
    </row>
    <row r="23" spans="1:31">
      <c r="A23" t="s">
        <v>64</v>
      </c>
      <c r="B23" s="3">
        <f t="shared" si="1"/>
        <v>1.200868821746652E-3</v>
      </c>
      <c r="C23" s="3">
        <f t="shared" si="2"/>
        <v>5.9854090829584386E-4</v>
      </c>
      <c r="D23">
        <f t="shared" si="0"/>
        <v>4</v>
      </c>
      <c r="E23">
        <v>0</v>
      </c>
      <c r="I23">
        <v>1.5273000000000001E-4</v>
      </c>
      <c r="M23">
        <v>5.8980000000000002E-4</v>
      </c>
      <c r="Q23">
        <v>3.6887999999999998E-4</v>
      </c>
    </row>
    <row r="24" spans="1:31">
      <c r="A24" t="s">
        <v>65</v>
      </c>
      <c r="B24" s="3">
        <f t="shared" si="1"/>
        <v>1.459776907675065E-4</v>
      </c>
      <c r="C24" s="3">
        <f t="shared" si="2"/>
        <v>1.3866627217356072E-4</v>
      </c>
      <c r="D24">
        <f t="shared" si="0"/>
        <v>4</v>
      </c>
      <c r="E24">
        <v>1.8181E-4</v>
      </c>
      <c r="I24">
        <v>0</v>
      </c>
      <c r="M24" s="15">
        <v>4.8559999999999998E-6</v>
      </c>
      <c r="Q24">
        <v>0</v>
      </c>
    </row>
    <row r="25" spans="1:31">
      <c r="A25" t="s">
        <v>66</v>
      </c>
      <c r="B25" s="3">
        <f t="shared" si="1"/>
        <v>2.7748771973184222E-5</v>
      </c>
      <c r="C25" s="3">
        <f t="shared" si="2"/>
        <v>2.7748771973184222E-5</v>
      </c>
      <c r="D25">
        <f t="shared" si="0"/>
        <v>4</v>
      </c>
      <c r="E25" s="15">
        <v>3.5927999999999999E-5</v>
      </c>
      <c r="I25">
        <v>0</v>
      </c>
      <c r="M25">
        <v>0</v>
      </c>
      <c r="Q25">
        <v>0</v>
      </c>
    </row>
    <row r="26" spans="1:31">
      <c r="A26" t="s">
        <v>67</v>
      </c>
      <c r="B26" s="3">
        <f t="shared" si="1"/>
        <v>0</v>
      </c>
      <c r="C26" s="3">
        <f t="shared" si="2"/>
        <v>0</v>
      </c>
      <c r="D26">
        <f t="shared" si="0"/>
        <v>4</v>
      </c>
      <c r="E26">
        <v>0</v>
      </c>
      <c r="I26">
        <v>0</v>
      </c>
      <c r="M26">
        <v>0</v>
      </c>
      <c r="Q26">
        <v>0</v>
      </c>
    </row>
    <row r="27" spans="1:31">
      <c r="A27" t="s">
        <v>71</v>
      </c>
      <c r="B27" s="3">
        <f t="shared" si="1"/>
        <v>3.3259445766010688E-4</v>
      </c>
      <c r="C27" s="3">
        <f t="shared" si="2"/>
        <v>3.3259445766010688E-4</v>
      </c>
      <c r="D27">
        <f t="shared" si="0"/>
        <v>4</v>
      </c>
      <c r="E27">
        <v>4.3062999999999999E-4</v>
      </c>
      <c r="I27">
        <v>0</v>
      </c>
      <c r="M27">
        <v>0</v>
      </c>
      <c r="Q27">
        <v>0</v>
      </c>
    </row>
    <row r="28" spans="1:31">
      <c r="A28" t="s">
        <v>72</v>
      </c>
      <c r="B28" s="3">
        <f t="shared" si="1"/>
        <v>2.1954748105990625E-3</v>
      </c>
      <c r="C28" s="3">
        <f t="shared" si="2"/>
        <v>1.6737433956851796E-3</v>
      </c>
      <c r="D28">
        <f t="shared" si="0"/>
        <v>4</v>
      </c>
      <c r="E28">
        <v>0</v>
      </c>
      <c r="I28">
        <v>5.0292000000000002E-4</v>
      </c>
      <c r="M28">
        <v>0</v>
      </c>
      <c r="Q28">
        <v>1.6471999999999999E-3</v>
      </c>
    </row>
    <row r="29" spans="1:31">
      <c r="A29" t="s">
        <v>69</v>
      </c>
      <c r="B29" s="3">
        <f t="shared" si="1"/>
        <v>1</v>
      </c>
      <c r="C29" s="3">
        <f t="shared" si="2"/>
        <v>0</v>
      </c>
      <c r="D29">
        <f t="shared" si="0"/>
        <v>4</v>
      </c>
      <c r="E29">
        <v>0.32368999999999998</v>
      </c>
      <c r="I29">
        <v>0.29348999999999997</v>
      </c>
      <c r="M29">
        <v>0.21843000000000001</v>
      </c>
      <c r="Q29">
        <v>0.23304</v>
      </c>
    </row>
    <row r="30" spans="1:31">
      <c r="A30" t="s">
        <v>68</v>
      </c>
      <c r="B30" s="3">
        <f>AVERAGE(AC30/AC9,AD30/AD9,AE30/AE9)</f>
        <v>4.8783296987780146E-2</v>
      </c>
      <c r="C30" s="3">
        <f>STDEV(AC30/AC9,AD30/AD9,AE30/AE9)/SQRT(D30)</f>
        <v>3.0907491996584137E-2</v>
      </c>
      <c r="D30">
        <f t="shared" si="0"/>
        <v>3</v>
      </c>
      <c r="AC30">
        <v>8.3505242280933686E-3</v>
      </c>
      <c r="AD30">
        <v>2.7398627212355871E-2</v>
      </c>
      <c r="AE30">
        <v>1.9558240278238978E-3</v>
      </c>
    </row>
    <row r="31" spans="1:31">
      <c r="A31" t="s">
        <v>70</v>
      </c>
      <c r="B31" s="3">
        <f>AVERAGE(F31/E$9,J31/I$9,U31/U$9,V31/V$9)</f>
        <v>5.6725018269112729E-3</v>
      </c>
      <c r="C31" s="3">
        <f>STDEV(F31/E$9,J31/I$9,U31/U$9,V31/V$9)/SQRT(D31)</f>
        <v>4.1695411362882061E-3</v>
      </c>
      <c r="D31">
        <f t="shared" ref="D31:D33" si="3">COUNT(E31:AZ31)</f>
        <v>4</v>
      </c>
      <c r="F31">
        <v>0</v>
      </c>
      <c r="J31">
        <v>0</v>
      </c>
      <c r="U31">
        <v>5.6299999999999996E-3</v>
      </c>
      <c r="V31">
        <v>1.6161000000000001E-3</v>
      </c>
    </row>
    <row r="32" spans="1:31">
      <c r="A32" t="s">
        <v>23</v>
      </c>
      <c r="B32" s="3">
        <f t="shared" ref="B32:B33" si="4">AVERAGE(E32/E$9,I32/I$9,M32/M$9,Q32/Q$9)</f>
        <v>0</v>
      </c>
      <c r="C32" s="3">
        <f t="shared" ref="C32:C33" si="5">STDEV(E32/E$9,I32/I$9,M32/M$9,Q32/Q$9)/SQRT(D32)</f>
        <v>0</v>
      </c>
      <c r="D32">
        <f t="shared" si="3"/>
        <v>4</v>
      </c>
      <c r="E32">
        <v>0</v>
      </c>
      <c r="I32">
        <v>0</v>
      </c>
      <c r="M32">
        <v>0</v>
      </c>
      <c r="Q32">
        <v>0</v>
      </c>
    </row>
    <row r="33" spans="1:17">
      <c r="A33" t="s">
        <v>24</v>
      </c>
      <c r="B33" s="3">
        <f t="shared" si="4"/>
        <v>0</v>
      </c>
      <c r="C33" s="3">
        <f t="shared" si="5"/>
        <v>0</v>
      </c>
      <c r="D33">
        <f t="shared" si="3"/>
        <v>4</v>
      </c>
      <c r="E33">
        <v>0</v>
      </c>
      <c r="I33">
        <v>0</v>
      </c>
      <c r="M33">
        <v>0</v>
      </c>
      <c r="Q33">
        <v>0</v>
      </c>
    </row>
    <row r="36" spans="1:17">
      <c r="A36" s="1" t="s">
        <v>16</v>
      </c>
    </row>
    <row r="37" spans="1:17">
      <c r="A37" t="s">
        <v>7</v>
      </c>
      <c r="B37" s="3">
        <f>AVERAGE(E37/E$9,I37/I$9,M37/M$9,Q37/Q$9)</f>
        <v>2.3191080218312336E-2</v>
      </c>
      <c r="C37" s="3">
        <f>STDEV(E37/E$9,I37/I$9,M37/M$9,Q37/Q$9)/SQRT(D37)</f>
        <v>3.2838974958714104E-3</v>
      </c>
      <c r="D37">
        <f>COUNT(E37:AZ37)</f>
        <v>4</v>
      </c>
      <c r="E37">
        <v>8.7495000000000003E-3</v>
      </c>
      <c r="I37">
        <v>8.8822999999999992E-3</v>
      </c>
      <c r="M37">
        <v>3.5252999999999999E-3</v>
      </c>
      <c r="Q37">
        <v>4.5047000000000004E-3</v>
      </c>
    </row>
    <row r="38" spans="1:17">
      <c r="A38" t="s">
        <v>8</v>
      </c>
      <c r="B38" s="3">
        <f>AVERAGE(E38/E$9,I38/I$9,M38/M$9,Q38/Q$9)</f>
        <v>6.8080003938416327E-3</v>
      </c>
      <c r="C38" s="3">
        <f>STDEV(E38/E$9,I38/I$9,M38/M$9,Q38/Q$9)/SQRT(D38)</f>
        <v>1.0765159626651443E-3</v>
      </c>
      <c r="D38">
        <f t="shared" ref="D38:D51" si="6">COUNT(E38:AZ38)</f>
        <v>4</v>
      </c>
      <c r="E38">
        <v>1.7149999999999999E-3</v>
      </c>
      <c r="I38">
        <v>1.3641E-3</v>
      </c>
      <c r="M38">
        <v>1.9615000000000001E-3</v>
      </c>
      <c r="Q38">
        <v>1.9356E-3</v>
      </c>
    </row>
    <row r="39" spans="1:17">
      <c r="A39" t="s">
        <v>9</v>
      </c>
      <c r="B39" s="3">
        <f>AVERAGE(E39/E$9,I39/I$9,M39/M$9)</f>
        <v>0.13468064593935314</v>
      </c>
      <c r="C39" s="3">
        <f>STDEV(E39/E$9,I39/I$9,M39/M$9)/SQRT(D39)</f>
        <v>1.3410782158716682E-2</v>
      </c>
      <c r="D39">
        <f t="shared" si="6"/>
        <v>3</v>
      </c>
      <c r="E39">
        <v>4.9378999999999999E-2</v>
      </c>
      <c r="I39">
        <v>4.1988999999999999E-2</v>
      </c>
      <c r="M39">
        <v>2.3682999999999999E-2</v>
      </c>
      <c r="Q39" s="17" t="s">
        <v>30</v>
      </c>
    </row>
    <row r="40" spans="1:17">
      <c r="A40" t="s">
        <v>10</v>
      </c>
      <c r="B40" s="3">
        <f t="shared" ref="B40:B41" si="7">AVERAGE(E40/E$9,I40/I$9,M40/M$9,Q40/Q$9)</f>
        <v>1.1145258469393323E-2</v>
      </c>
      <c r="C40" s="3">
        <f t="shared" ref="C40:C41" si="8">STDEV(E40/E$9,I40/I$9,M40/M$9,Q40/Q$9)/SQRT(D40)</f>
        <v>6.8664907046989642E-4</v>
      </c>
      <c r="D40">
        <f t="shared" si="6"/>
        <v>4</v>
      </c>
      <c r="E40">
        <v>4.2027000000000002E-3</v>
      </c>
      <c r="I40">
        <v>3.3482E-3</v>
      </c>
      <c r="M40">
        <v>2.2092000000000001E-3</v>
      </c>
      <c r="Q40">
        <v>2.3479E-3</v>
      </c>
    </row>
    <row r="41" spans="1:17">
      <c r="A41" t="s">
        <v>11</v>
      </c>
      <c r="B41" s="3">
        <f t="shared" si="7"/>
        <v>9.6731230539614434E-3</v>
      </c>
      <c r="C41" s="3">
        <f t="shared" si="8"/>
        <v>9.1960072846084527E-4</v>
      </c>
      <c r="D41">
        <f t="shared" si="6"/>
        <v>4</v>
      </c>
      <c r="E41">
        <v>2.9134999999999999E-3</v>
      </c>
      <c r="I41">
        <v>3.6381E-3</v>
      </c>
      <c r="M41">
        <v>1.8235E-3</v>
      </c>
      <c r="Q41">
        <v>2.0850999999999999E-3</v>
      </c>
    </row>
    <row r="42" spans="1:17">
      <c r="A42" t="s">
        <v>49</v>
      </c>
      <c r="B42" s="3" t="s">
        <v>30</v>
      </c>
      <c r="C42" s="3" t="s">
        <v>30</v>
      </c>
      <c r="D42">
        <f t="shared" si="6"/>
        <v>0</v>
      </c>
    </row>
    <row r="43" spans="1:17">
      <c r="A43" t="s">
        <v>12</v>
      </c>
      <c r="B43" s="3">
        <f>AVERAGE(E43/E$9,I43/I$9,M43/M$9,Q43/Q$9)</f>
        <v>1.124667894564424E-2</v>
      </c>
      <c r="C43" s="3">
        <f>STDEV(E43/E$9,I43/I$9,M43/M$9,Q43/Q$9)/SQRT(D43)</f>
        <v>1.4587534258594448E-3</v>
      </c>
      <c r="D43">
        <f t="shared" si="6"/>
        <v>4</v>
      </c>
      <c r="E43">
        <v>4.7654999999999998E-3</v>
      </c>
      <c r="I43">
        <v>3.5109E-3</v>
      </c>
      <c r="M43">
        <v>1.6838999999999999E-3</v>
      </c>
      <c r="Q43">
        <v>2.4685000000000002E-3</v>
      </c>
    </row>
    <row r="44" spans="1:17">
      <c r="A44" t="s">
        <v>13</v>
      </c>
      <c r="B44" s="3">
        <f>AVERAGE(E44/E$9,I44/I$9,M44/M$9,Q44/Q$9)</f>
        <v>1.5284526241829077E-2</v>
      </c>
      <c r="C44" s="3">
        <f>STDEV(E44/E$9,I44/I$9,M44/M$9,Q44/Q$9)/SQRT(D44)</f>
        <v>4.2283598932294869E-4</v>
      </c>
      <c r="D44">
        <f t="shared" si="6"/>
        <v>4</v>
      </c>
      <c r="E44">
        <v>5.3143000000000001E-3</v>
      </c>
      <c r="I44">
        <v>4.5167999999999996E-3</v>
      </c>
      <c r="M44">
        <v>3.2477000000000001E-3</v>
      </c>
      <c r="Q44">
        <v>3.3701999999999998E-3</v>
      </c>
    </row>
    <row r="45" spans="1:17">
      <c r="A45" t="s">
        <v>14</v>
      </c>
      <c r="B45" s="3">
        <f t="shared" ref="B45" si="9">AVERAGE(E45/E$9,I45/I$9,M45/M$9,Q45/Q$9)</f>
        <v>4.0066115058808756E-3</v>
      </c>
      <c r="C45" s="3">
        <f t="shared" ref="C45" si="10">STDEV(E45/E$9,I45/I$9,M45/M$9,Q45/Q$9)/SQRT(D45)</f>
        <v>1.6875322415165991E-4</v>
      </c>
      <c r="D45">
        <f t="shared" si="6"/>
        <v>4</v>
      </c>
      <c r="E45">
        <v>1.2472E-3</v>
      </c>
      <c r="I45">
        <v>1.3235E-3</v>
      </c>
      <c r="M45">
        <v>8.2699E-4</v>
      </c>
      <c r="Q45">
        <v>9.0368000000000002E-4</v>
      </c>
    </row>
    <row r="46" spans="1:17">
      <c r="A46" t="s">
        <v>56</v>
      </c>
      <c r="B46" s="3">
        <f>AVERAGE(E46/E$9,I46/I$9,M46/M$9)</f>
        <v>2.1405081637280342E-2</v>
      </c>
      <c r="C46" s="3">
        <f>STDEV(E46/E$9,I46/I$9,M46/M$9)/SQRT(D46)</f>
        <v>1.8643372778008756E-2</v>
      </c>
      <c r="D46">
        <f t="shared" si="6"/>
        <v>3</v>
      </c>
      <c r="E46">
        <v>1.1825E-3</v>
      </c>
      <c r="I46">
        <v>5.53E-4</v>
      </c>
      <c r="M46">
        <v>1.2817E-2</v>
      </c>
      <c r="Q46" s="17" t="s">
        <v>30</v>
      </c>
    </row>
    <row r="47" spans="1:17">
      <c r="A47" t="s">
        <v>57</v>
      </c>
      <c r="B47" s="3" t="s">
        <v>30</v>
      </c>
      <c r="C47" s="3" t="s">
        <v>30</v>
      </c>
      <c r="D47">
        <f t="shared" si="6"/>
        <v>0</v>
      </c>
    </row>
    <row r="48" spans="1:17">
      <c r="A48" t="s">
        <v>15</v>
      </c>
      <c r="B48" s="3">
        <f t="shared" ref="B48" si="11">AVERAGE(E48/E$9,I48/I$9,M48/M$9,Q48/Q$9)</f>
        <v>1.4302456109388736E-2</v>
      </c>
      <c r="C48" s="3">
        <f t="shared" ref="C48" si="12">STDEV(E48/E$9,I48/I$9,M48/M$9,Q48/Q$9)/SQRT(D48)</f>
        <v>1.5445606194000822E-3</v>
      </c>
      <c r="D48">
        <f t="shared" si="6"/>
        <v>4</v>
      </c>
      <c r="E48">
        <v>5.1152000000000003E-3</v>
      </c>
      <c r="I48">
        <v>2.9727999999999998E-3</v>
      </c>
      <c r="M48">
        <v>3.0574999999999999E-3</v>
      </c>
      <c r="Q48">
        <v>4.0270000000000002E-3</v>
      </c>
    </row>
    <row r="49" spans="1:17">
      <c r="A49" t="s">
        <v>22</v>
      </c>
      <c r="B49" s="3">
        <f t="shared" ref="B49" si="13">AVERAGE(E49/E$9,I49/I$9,M49/M$9,Q49/Q$9)</f>
        <v>1.8440290194926927E-2</v>
      </c>
      <c r="C49" s="3">
        <f t="shared" ref="C49" si="14">STDEV(E49/E$9,I49/I$9,M49/M$9,Q49/Q$9)/SQRT(D49)</f>
        <v>5.78350074067075E-4</v>
      </c>
      <c r="D49">
        <f>COUNT(E49:AZ49)</f>
        <v>4</v>
      </c>
      <c r="E49">
        <v>5.4133999999999996E-3</v>
      </c>
      <c r="I49">
        <v>5.5655000000000001E-3</v>
      </c>
      <c r="M49">
        <v>4.1137999999999999E-3</v>
      </c>
      <c r="Q49">
        <v>4.4837999999999996E-3</v>
      </c>
    </row>
    <row r="50" spans="1:17">
      <c r="A50" t="s">
        <v>59</v>
      </c>
      <c r="B50" s="3" t="s">
        <v>30</v>
      </c>
      <c r="C50" s="3" t="s">
        <v>30</v>
      </c>
      <c r="D50">
        <f t="shared" si="6"/>
        <v>0</v>
      </c>
    </row>
    <row r="51" spans="1:17">
      <c r="A51" t="s">
        <v>58</v>
      </c>
      <c r="B51" s="3" t="s">
        <v>30</v>
      </c>
      <c r="C51" s="3" t="s">
        <v>30</v>
      </c>
      <c r="D51">
        <f t="shared" si="6"/>
        <v>0</v>
      </c>
    </row>
    <row r="53" spans="1:17">
      <c r="A53" s="1" t="s">
        <v>17</v>
      </c>
    </row>
    <row r="54" spans="1:17">
      <c r="A54" t="s">
        <v>7</v>
      </c>
      <c r="B54" s="3">
        <f>AVERAGE(E54/E$9,I54/I$9,M54/M$9,Q54/Q$9)</f>
        <v>2.3631953416751835E-2</v>
      </c>
      <c r="C54" s="3">
        <f>STDEV(E54/E$9,I54/I$9,M54/M$9,Q54/Q$9)/SQRT(D54)</f>
        <v>3.0980969760565015E-3</v>
      </c>
      <c r="D54">
        <f>COUNT(E54:AZ54)</f>
        <v>4</v>
      </c>
      <c r="E54">
        <v>9.4076000000000003E-3</v>
      </c>
      <c r="I54">
        <v>8.4653999999999997E-3</v>
      </c>
      <c r="M54">
        <v>3.7883999999999999E-3</v>
      </c>
      <c r="Q54">
        <v>4.4922E-3</v>
      </c>
    </row>
    <row r="55" spans="1:17">
      <c r="A55" t="s">
        <v>8</v>
      </c>
      <c r="B55" s="3">
        <f>AVERAGE(E55/E$9,I55/I$9,M55/M$9,Q55/Q$9)</f>
        <v>4.5727013879952637E-3</v>
      </c>
      <c r="C55" s="3">
        <f>STDEV(E55/E$9,I55/I$9,M55/M$9,Q55/Q$9)/SQRT(D55)</f>
        <v>1.2760537378169105E-3</v>
      </c>
      <c r="D55">
        <f t="shared" ref="D55:D65" si="15">COUNT(E55:AZ55)</f>
        <v>4</v>
      </c>
      <c r="E55">
        <v>7.0418E-4</v>
      </c>
      <c r="I55">
        <v>8.1382000000000004E-4</v>
      </c>
      <c r="M55">
        <v>1.6613000000000001E-3</v>
      </c>
      <c r="Q55">
        <v>1.3369E-3</v>
      </c>
    </row>
    <row r="56" spans="1:17">
      <c r="A56" t="s">
        <v>9</v>
      </c>
      <c r="B56" s="3">
        <f>AVERAGE(E56/E$9,I56/I$9,M56/M$9)</f>
        <v>0.16380369606008485</v>
      </c>
      <c r="C56" s="3">
        <f>STDEV(E56/E$9,I56/I$9,M56/M$9)/SQRT(D56)</f>
        <v>6.6677982839211287E-3</v>
      </c>
      <c r="D56">
        <f t="shared" si="15"/>
        <v>3</v>
      </c>
      <c r="E56">
        <v>5.4800000000000001E-2</v>
      </c>
      <c r="I56">
        <v>5.0356999999999999E-2</v>
      </c>
      <c r="M56">
        <v>3.2881000000000001E-2</v>
      </c>
      <c r="Q56" s="17" t="s">
        <v>30</v>
      </c>
    </row>
    <row r="57" spans="1:17">
      <c r="A57" t="s">
        <v>10</v>
      </c>
      <c r="B57" s="3">
        <f t="shared" ref="B57:B58" si="16">AVERAGE(E57/E$9,I57/I$9,M57/M$9,Q57/Q$9)</f>
        <v>9.3173145317285485E-3</v>
      </c>
      <c r="C57" s="3">
        <f t="shared" ref="C57:C58" si="17">STDEV(E57/E$9,I57/I$9,M57/M$9,Q57/Q$9)/SQRT(D57)</f>
        <v>1.2564412410971501E-3</v>
      </c>
      <c r="D57">
        <f t="shared" si="15"/>
        <v>4</v>
      </c>
      <c r="E57">
        <v>3.5820000000000001E-3</v>
      </c>
      <c r="I57">
        <v>3.4868E-3</v>
      </c>
      <c r="M57">
        <v>1.5855000000000001E-3</v>
      </c>
      <c r="Q57">
        <v>1.6462E-3</v>
      </c>
    </row>
    <row r="58" spans="1:17">
      <c r="A58" t="s">
        <v>11</v>
      </c>
      <c r="B58" s="3">
        <f t="shared" si="16"/>
        <v>6.6840428172836733E-3</v>
      </c>
      <c r="C58" s="3">
        <f t="shared" si="17"/>
        <v>1.1401202468528054E-3</v>
      </c>
      <c r="D58">
        <f t="shared" si="15"/>
        <v>4</v>
      </c>
      <c r="E58">
        <v>2.3809999999999999E-3</v>
      </c>
      <c r="I58">
        <v>2.6624999999999999E-3</v>
      </c>
      <c r="M58">
        <v>1.4630000000000001E-3</v>
      </c>
      <c r="Q58">
        <v>8.4144000000000005E-4</v>
      </c>
    </row>
    <row r="59" spans="1:17">
      <c r="A59" t="s">
        <v>49</v>
      </c>
      <c r="B59" s="3" t="s">
        <v>30</v>
      </c>
      <c r="C59" s="3" t="s">
        <v>30</v>
      </c>
      <c r="D59">
        <f t="shared" si="15"/>
        <v>0</v>
      </c>
    </row>
    <row r="60" spans="1:17">
      <c r="A60" t="s">
        <v>12</v>
      </c>
      <c r="B60" s="3">
        <f>AVERAGE(E60/E$9,I60/I$9,M60/M$9,Q60/Q$9)</f>
        <v>1.2791898582613027E-2</v>
      </c>
      <c r="C60" s="3">
        <f>STDEV(E60/E$9,I60/I$9,M60/M$9,Q60/Q$9)/SQRT(D60)</f>
        <v>3.1698075576186804E-4</v>
      </c>
      <c r="D60">
        <f t="shared" si="15"/>
        <v>4</v>
      </c>
      <c r="E60">
        <v>3.9493999999999996E-3</v>
      </c>
      <c r="I60">
        <v>4.0178999999999996E-3</v>
      </c>
      <c r="M60">
        <v>2.7523999999999999E-3</v>
      </c>
      <c r="Q60">
        <v>2.9539000000000002E-3</v>
      </c>
    </row>
    <row r="61" spans="1:17">
      <c r="A61" t="s">
        <v>13</v>
      </c>
      <c r="B61" s="3">
        <f>AVERAGE(E61/E$9,I61/I$9,M61/M$9,Q61/Q$9)</f>
        <v>1.1515107859274506E-2</v>
      </c>
      <c r="C61" s="3">
        <f>STDEV(E61/E$9,I61/I$9,M61/M$9,Q61/Q$9)/SQRT(D61)</f>
        <v>2.0578910960566106E-3</v>
      </c>
      <c r="D61">
        <f t="shared" si="15"/>
        <v>4</v>
      </c>
      <c r="E61">
        <v>5.1205000000000001E-3</v>
      </c>
      <c r="I61">
        <v>4.1818000000000003E-3</v>
      </c>
      <c r="M61">
        <v>1.7844E-3</v>
      </c>
      <c r="Q61">
        <v>1.8232000000000001E-3</v>
      </c>
    </row>
    <row r="62" spans="1:17">
      <c r="A62" t="s">
        <v>14</v>
      </c>
      <c r="B62" s="3">
        <f t="shared" ref="B62" si="18">AVERAGE(E62/E$9,I62/I$9,M62/M$9,Q62/Q$9)</f>
        <v>4.1492688997428178E-3</v>
      </c>
      <c r="C62" s="3">
        <f t="shared" ref="C62" si="19">STDEV(E62/E$9,I62/I$9,M62/M$9,Q62/Q$9)/SQRT(D62)</f>
        <v>4.3794396615787017E-4</v>
      </c>
      <c r="D62">
        <f t="shared" si="15"/>
        <v>4</v>
      </c>
      <c r="E62">
        <v>9.6913999999999995E-4</v>
      </c>
      <c r="I62">
        <v>1.4076E-3</v>
      </c>
      <c r="M62">
        <v>8.6182999999999995E-4</v>
      </c>
      <c r="Q62">
        <v>1.1329000000000001E-3</v>
      </c>
    </row>
    <row r="63" spans="1:17">
      <c r="A63" t="s">
        <v>56</v>
      </c>
      <c r="B63" s="3">
        <f t="shared" ref="B63" si="20">AVERAGE(E63/E$9,I63/I$9,M63/M$9,Q63/Q$9)</f>
        <v>3.1182986654228113E-3</v>
      </c>
      <c r="C63" s="3">
        <f t="shared" ref="C63" si="21">STDEV(E63/E$9,I63/I$9,M63/M$9,Q63/Q$9)/SQRT(D63)</f>
        <v>8.4536664260949758E-4</v>
      </c>
      <c r="D63">
        <f t="shared" si="15"/>
        <v>4</v>
      </c>
      <c r="E63">
        <v>6.2850000000000004E-4</v>
      </c>
      <c r="I63">
        <v>1.4174999999999999E-3</v>
      </c>
      <c r="M63">
        <v>9.3618E-4</v>
      </c>
      <c r="Q63">
        <v>3.2992999999999998E-4</v>
      </c>
    </row>
    <row r="64" spans="1:17">
      <c r="A64" t="s">
        <v>57</v>
      </c>
      <c r="B64" s="3" t="s">
        <v>30</v>
      </c>
      <c r="C64" s="3" t="s">
        <v>30</v>
      </c>
      <c r="D64">
        <f t="shared" si="15"/>
        <v>0</v>
      </c>
    </row>
    <row r="65" spans="1:17">
      <c r="A65" t="s">
        <v>15</v>
      </c>
      <c r="B65" s="3">
        <f t="shared" ref="B65:B66" si="22">AVERAGE(E65/E$9,I65/I$9,M65/M$9,Q65/Q$9)</f>
        <v>1.0942389536892699E-2</v>
      </c>
      <c r="C65" s="3">
        <f t="shared" ref="C65:C66" si="23">STDEV(E65/E$9,I65/I$9,M65/M$9,Q65/Q$9)/SQRT(D65)</f>
        <v>1.6575775656292426E-3</v>
      </c>
      <c r="D65">
        <f t="shared" si="15"/>
        <v>4</v>
      </c>
      <c r="E65">
        <v>5.0889000000000004E-3</v>
      </c>
      <c r="I65">
        <v>3.0382E-3</v>
      </c>
      <c r="M65">
        <v>1.7775E-3</v>
      </c>
      <c r="Q65">
        <v>2.2274999999999999E-3</v>
      </c>
    </row>
    <row r="66" spans="1:17">
      <c r="A66" t="s">
        <v>22</v>
      </c>
      <c r="B66" s="3">
        <f t="shared" si="22"/>
        <v>9.396151270477774E-3</v>
      </c>
      <c r="C66" s="3">
        <f t="shared" si="23"/>
        <v>1.0894439873682452E-3</v>
      </c>
      <c r="D66">
        <f>COUNT(E66:AZ66)</f>
        <v>4</v>
      </c>
      <c r="E66">
        <v>4.0010999999999996E-3</v>
      </c>
      <c r="I66">
        <v>2.8075000000000001E-3</v>
      </c>
      <c r="M66">
        <v>1.5996000000000001E-3</v>
      </c>
      <c r="Q66">
        <v>1.9423000000000001E-3</v>
      </c>
    </row>
    <row r="67" spans="1:17">
      <c r="A67" t="s">
        <v>59</v>
      </c>
      <c r="B67" s="3" t="s">
        <v>30</v>
      </c>
      <c r="C67" s="3" t="s">
        <v>30</v>
      </c>
      <c r="D67">
        <f t="shared" ref="D67:D68" si="24">COUNT(E67:AZ67)</f>
        <v>0</v>
      </c>
    </row>
    <row r="68" spans="1:17">
      <c r="A68" t="s">
        <v>58</v>
      </c>
      <c r="B68" s="3" t="s">
        <v>30</v>
      </c>
      <c r="C68" s="3" t="s">
        <v>30</v>
      </c>
      <c r="D68">
        <f t="shared" si="24"/>
        <v>0</v>
      </c>
    </row>
    <row r="81" spans="1:13">
      <c r="A81" s="1" t="s">
        <v>32</v>
      </c>
      <c r="E81" s="74">
        <v>43474</v>
      </c>
      <c r="I81" s="74">
        <v>43474</v>
      </c>
      <c r="M81" s="74">
        <v>43482</v>
      </c>
    </row>
    <row r="82" spans="1:13">
      <c r="A82" s="1" t="s">
        <v>33</v>
      </c>
      <c r="E82" s="75" t="s">
        <v>116</v>
      </c>
      <c r="I82" s="75" t="s">
        <v>116</v>
      </c>
      <c r="M82" s="75" t="s">
        <v>116</v>
      </c>
    </row>
    <row r="83" spans="1:13">
      <c r="A83" s="1" t="s">
        <v>34</v>
      </c>
      <c r="E83" s="79" t="s">
        <v>40</v>
      </c>
      <c r="I83" s="79" t="s">
        <v>73</v>
      </c>
      <c r="M83" s="79" t="s">
        <v>40</v>
      </c>
    </row>
    <row r="84" spans="1:13">
      <c r="A84" s="1" t="s">
        <v>35</v>
      </c>
      <c r="E84" s="75" t="s">
        <v>52</v>
      </c>
      <c r="I84" s="75" t="s">
        <v>52</v>
      </c>
      <c r="M84" s="75" t="s">
        <v>52</v>
      </c>
    </row>
    <row r="85" spans="1:13">
      <c r="A85" s="1" t="s">
        <v>36</v>
      </c>
      <c r="E85" s="75" t="s">
        <v>114</v>
      </c>
      <c r="I85" s="75" t="s">
        <v>114</v>
      </c>
      <c r="M85" s="75" t="s">
        <v>114</v>
      </c>
    </row>
    <row r="86" spans="1:13">
      <c r="A86" s="1" t="s">
        <v>37</v>
      </c>
      <c r="E86" s="44">
        <v>30</v>
      </c>
      <c r="I86" s="44">
        <v>30</v>
      </c>
      <c r="M86" s="44">
        <v>30</v>
      </c>
    </row>
    <row r="87" spans="1:13">
      <c r="A87" s="1" t="s">
        <v>38</v>
      </c>
      <c r="E87" s="44">
        <v>0.1</v>
      </c>
      <c r="I87" s="44">
        <v>0.1</v>
      </c>
      <c r="M87" s="44">
        <v>0.1</v>
      </c>
    </row>
    <row r="88" spans="1:13">
      <c r="A88" s="1" t="s">
        <v>43</v>
      </c>
      <c r="E88" s="3">
        <v>0.24963430140662499</v>
      </c>
      <c r="F88" s="3"/>
      <c r="G88" s="3"/>
      <c r="H88" s="3"/>
      <c r="I88" s="3">
        <v>0.20327274181615099</v>
      </c>
      <c r="M88" s="3">
        <v>0.22428489891150999</v>
      </c>
    </row>
    <row r="89" spans="1:13">
      <c r="A89" s="1" t="s">
        <v>54</v>
      </c>
      <c r="E89" s="3">
        <f>E109</f>
        <v>0.24976000000000001</v>
      </c>
      <c r="F89" s="3"/>
      <c r="G89" s="3"/>
      <c r="H89" s="3"/>
      <c r="I89" s="3">
        <f>I109</f>
        <v>0.20408999999999999</v>
      </c>
      <c r="M89" s="3">
        <f>M109</f>
        <v>0.22591</v>
      </c>
    </row>
    <row r="90" spans="1:13">
      <c r="A90" s="1" t="s">
        <v>44</v>
      </c>
      <c r="B90" s="22">
        <f>AVERAGE(E90:AZ90)</f>
        <v>10.383973437756447</v>
      </c>
      <c r="C90" s="22">
        <f>STDEV(E90:AZ90)/SQRT(D90)</f>
        <v>0.7912450262309455</v>
      </c>
      <c r="D90" s="1">
        <f>COUNT(E90:AZ90)</f>
        <v>3</v>
      </c>
      <c r="E90" s="21">
        <f>E86*E87*(1-E88)/E88</f>
        <v>9.017579247306049</v>
      </c>
      <c r="I90" s="21">
        <f>I86*I87*(1-I88)/I88</f>
        <v>11.758496260720166</v>
      </c>
      <c r="M90" s="21">
        <f>M86*M87*(1-M88)/M88</f>
        <v>10.375844805243123</v>
      </c>
    </row>
    <row r="91" spans="1:13">
      <c r="A91" s="1"/>
    </row>
    <row r="92" spans="1:13">
      <c r="A92" s="1" t="s">
        <v>33</v>
      </c>
      <c r="E92" t="s">
        <v>116</v>
      </c>
      <c r="I92" t="s">
        <v>116</v>
      </c>
      <c r="M92" t="s">
        <v>116</v>
      </c>
    </row>
    <row r="93" spans="1:13">
      <c r="A93" s="1" t="s">
        <v>45</v>
      </c>
      <c r="E93" t="s">
        <v>47</v>
      </c>
      <c r="I93" t="s">
        <v>47</v>
      </c>
      <c r="M93" t="s">
        <v>47</v>
      </c>
    </row>
    <row r="94" spans="1:13" ht="17">
      <c r="A94" s="12" t="s">
        <v>31</v>
      </c>
      <c r="E94" s="27" t="s">
        <v>118</v>
      </c>
      <c r="I94" s="27" t="s">
        <v>118</v>
      </c>
      <c r="M94" s="27" t="s">
        <v>119</v>
      </c>
    </row>
    <row r="96" spans="1:13">
      <c r="A96" s="1" t="s">
        <v>50</v>
      </c>
    </row>
    <row r="97" spans="1:13">
      <c r="B97" s="1" t="s">
        <v>5</v>
      </c>
      <c r="C97" s="1" t="s">
        <v>6</v>
      </c>
      <c r="D97" s="1" t="s">
        <v>55</v>
      </c>
    </row>
    <row r="98" spans="1:13">
      <c r="A98" s="1" t="s">
        <v>0</v>
      </c>
    </row>
    <row r="99" spans="1:13">
      <c r="A99" t="s">
        <v>60</v>
      </c>
      <c r="B99">
        <f>AVERAGE(E99/E$89,I99/I$89,M99/M$89)</f>
        <v>1.1178663821697849E-2</v>
      </c>
      <c r="C99">
        <f>STDEV(E99/E$89,I99/I$89,M99/M$89)/SQRT(D99)</f>
        <v>1.9324498315789974E-3</v>
      </c>
      <c r="D99">
        <f>COUNT(E99:AZ99)</f>
        <v>3</v>
      </c>
      <c r="E99">
        <v>1.9093000000000001E-3</v>
      </c>
      <c r="I99">
        <v>2.9185999999999999E-3</v>
      </c>
      <c r="M99">
        <v>2.6185000000000002E-3</v>
      </c>
    </row>
    <row r="100" spans="1:13">
      <c r="A100" t="s">
        <v>61</v>
      </c>
      <c r="B100">
        <f>AVERAGE(E100/E$89,I100/I$89,M100/M$89)</f>
        <v>7.6884796315006207E-3</v>
      </c>
      <c r="C100">
        <f>STDEV(E100/E$89,I100/I$89,M100/M$89)/SQRT(D100)</f>
        <v>5.4374865328206368E-4</v>
      </c>
      <c r="D100">
        <f t="shared" ref="D100:D113" si="25">COUNT(E100:AZ100)</f>
        <v>3</v>
      </c>
      <c r="E100">
        <v>2.088E-3</v>
      </c>
      <c r="I100">
        <v>1.6517999999999999E-3</v>
      </c>
      <c r="M100">
        <v>1.4936999999999999E-3</v>
      </c>
    </row>
    <row r="101" spans="1:13">
      <c r="A101" t="s">
        <v>62</v>
      </c>
      <c r="B101">
        <f t="shared" ref="B101:B109" si="26">AVERAGE(E101/E$89,I101/I$89,M101/M$89)</f>
        <v>2.0221216886517863E-2</v>
      </c>
      <c r="C101">
        <f t="shared" ref="C101:C109" si="27">STDEV(E101/E$89,I101/I$89,M101/M$89)/SQRT(D101)</f>
        <v>3.3940371036077031E-3</v>
      </c>
      <c r="D101">
        <f t="shared" si="25"/>
        <v>3</v>
      </c>
      <c r="E101">
        <v>3.532E-3</v>
      </c>
      <c r="I101">
        <v>4.2136999999999999E-3</v>
      </c>
      <c r="M101">
        <v>5.8456000000000003E-3</v>
      </c>
    </row>
    <row r="102" spans="1:13">
      <c r="A102" t="s">
        <v>63</v>
      </c>
      <c r="B102">
        <f t="shared" si="26"/>
        <v>5.7835312178904008E-3</v>
      </c>
      <c r="C102">
        <f t="shared" si="27"/>
        <v>6.2725330346423706E-4</v>
      </c>
      <c r="D102">
        <f t="shared" si="25"/>
        <v>3</v>
      </c>
      <c r="E102">
        <v>1.6553E-3</v>
      </c>
      <c r="I102">
        <v>9.3019000000000001E-4</v>
      </c>
      <c r="M102">
        <v>1.3928E-3</v>
      </c>
    </row>
    <row r="103" spans="1:13">
      <c r="A103" t="s">
        <v>64</v>
      </c>
      <c r="B103">
        <f t="shared" si="26"/>
        <v>1.4728142812811342E-4</v>
      </c>
      <c r="C103">
        <f t="shared" si="27"/>
        <v>1.4728142812811342E-4</v>
      </c>
      <c r="D103">
        <f t="shared" si="25"/>
        <v>3</v>
      </c>
      <c r="E103">
        <v>0</v>
      </c>
      <c r="I103" s="15">
        <v>9.0175999999999999E-5</v>
      </c>
      <c r="M103">
        <v>0</v>
      </c>
    </row>
    <row r="104" spans="1:13">
      <c r="A104" t="s">
        <v>65</v>
      </c>
      <c r="B104">
        <f t="shared" si="26"/>
        <v>1.3615255798946652E-4</v>
      </c>
      <c r="C104">
        <f t="shared" si="27"/>
        <v>6.9458331499426581E-5</v>
      </c>
      <c r="D104">
        <f t="shared" si="25"/>
        <v>3</v>
      </c>
      <c r="E104" s="15">
        <v>4.5043999999999998E-5</v>
      </c>
      <c r="I104">
        <v>0</v>
      </c>
      <c r="M104" s="15">
        <v>5.1532000000000001E-5</v>
      </c>
    </row>
    <row r="105" spans="1:13">
      <c r="A105" t="s">
        <v>66</v>
      </c>
      <c r="B105">
        <f t="shared" si="26"/>
        <v>0</v>
      </c>
      <c r="C105">
        <f t="shared" si="27"/>
        <v>0</v>
      </c>
      <c r="D105">
        <f t="shared" si="25"/>
        <v>3</v>
      </c>
      <c r="E105">
        <v>0</v>
      </c>
      <c r="I105">
        <v>0</v>
      </c>
      <c r="M105">
        <v>0</v>
      </c>
    </row>
    <row r="106" spans="1:13">
      <c r="A106" t="s">
        <v>67</v>
      </c>
      <c r="B106">
        <f t="shared" si="26"/>
        <v>0</v>
      </c>
      <c r="C106">
        <f t="shared" si="27"/>
        <v>0</v>
      </c>
      <c r="D106">
        <f t="shared" si="25"/>
        <v>3</v>
      </c>
      <c r="E106">
        <v>0</v>
      </c>
      <c r="I106">
        <v>0</v>
      </c>
      <c r="M106">
        <v>0</v>
      </c>
    </row>
    <row r="107" spans="1:13">
      <c r="A107" t="s">
        <v>71</v>
      </c>
      <c r="B107">
        <f t="shared" si="26"/>
        <v>1.3121988665131397E-5</v>
      </c>
      <c r="C107">
        <f t="shared" si="27"/>
        <v>1.3121988665131398E-5</v>
      </c>
      <c r="D107">
        <f t="shared" si="25"/>
        <v>3</v>
      </c>
      <c r="E107">
        <v>0</v>
      </c>
      <c r="I107" s="15">
        <v>8.0342000000000001E-6</v>
      </c>
      <c r="M107">
        <v>0</v>
      </c>
    </row>
    <row r="108" spans="1:13">
      <c r="A108" t="s">
        <v>72</v>
      </c>
      <c r="B108">
        <f t="shared" si="26"/>
        <v>2.5564505408463153E-3</v>
      </c>
      <c r="C108">
        <f t="shared" si="27"/>
        <v>1.55928273453748E-3</v>
      </c>
      <c r="D108">
        <f t="shared" si="25"/>
        <v>3</v>
      </c>
      <c r="E108">
        <v>0</v>
      </c>
      <c r="I108">
        <v>1.0983E-3</v>
      </c>
      <c r="M108">
        <v>5.1685999999999995E-4</v>
      </c>
    </row>
    <row r="109" spans="1:13">
      <c r="A109" t="s">
        <v>69</v>
      </c>
      <c r="B109">
        <f t="shared" si="26"/>
        <v>1</v>
      </c>
      <c r="C109">
        <f t="shared" si="27"/>
        <v>0</v>
      </c>
      <c r="D109">
        <f t="shared" si="25"/>
        <v>3</v>
      </c>
      <c r="E109">
        <v>0.24976000000000001</v>
      </c>
      <c r="I109">
        <v>0.20408999999999999</v>
      </c>
      <c r="M109">
        <v>0.22591</v>
      </c>
    </row>
    <row r="110" spans="1:13" s="44" customFormat="1">
      <c r="A110" s="44" t="s">
        <v>68</v>
      </c>
      <c r="B110" s="46" t="s">
        <v>30</v>
      </c>
      <c r="C110" s="46" t="s">
        <v>30</v>
      </c>
      <c r="D110" s="44">
        <f t="shared" si="25"/>
        <v>0</v>
      </c>
    </row>
    <row r="111" spans="1:13" s="44" customFormat="1">
      <c r="A111" s="44" t="s">
        <v>70</v>
      </c>
      <c r="B111" s="46" t="s">
        <v>30</v>
      </c>
      <c r="C111" s="46" t="s">
        <v>30</v>
      </c>
      <c r="D111" s="44">
        <f t="shared" si="25"/>
        <v>0</v>
      </c>
    </row>
    <row r="112" spans="1:13">
      <c r="A112" t="s">
        <v>23</v>
      </c>
      <c r="B112">
        <f t="shared" ref="B112:B113" si="28">AVERAGE(E112/E$89,I112/I$89,M112/M$89)</f>
        <v>0</v>
      </c>
      <c r="C112">
        <f t="shared" ref="C112:C113" si="29">STDEV(E112/E$89,I112/I$89,M112/M$89)/SQRT(D112)</f>
        <v>0</v>
      </c>
      <c r="D112">
        <f t="shared" si="25"/>
        <v>3</v>
      </c>
      <c r="E112">
        <v>0</v>
      </c>
      <c r="I112">
        <v>0</v>
      </c>
      <c r="M112">
        <v>0</v>
      </c>
    </row>
    <row r="113" spans="1:13">
      <c r="A113" t="s">
        <v>24</v>
      </c>
      <c r="B113">
        <f t="shared" si="28"/>
        <v>0</v>
      </c>
      <c r="C113">
        <f t="shared" si="29"/>
        <v>0</v>
      </c>
      <c r="D113">
        <f t="shared" si="25"/>
        <v>3</v>
      </c>
      <c r="E113">
        <v>0</v>
      </c>
      <c r="I113">
        <v>0</v>
      </c>
      <c r="M113">
        <v>0</v>
      </c>
    </row>
    <row r="116" spans="1:13">
      <c r="A116" s="1" t="s">
        <v>16</v>
      </c>
    </row>
    <row r="117" spans="1:13">
      <c r="A117" t="s">
        <v>7</v>
      </c>
      <c r="B117">
        <f>AVERAGE(E117/E$89,I117/I$89,M117/M$89)</f>
        <v>8.4139472120343065E-3</v>
      </c>
      <c r="C117">
        <f>STDEV(E117/E$89,I117/I$89,M117/M$89)/SQRT(D117)</f>
        <v>1.7183972712111473E-3</v>
      </c>
      <c r="D117">
        <f>COUNT(E117:AZ117)</f>
        <v>3</v>
      </c>
      <c r="E117">
        <v>1.6776E-3</v>
      </c>
      <c r="I117">
        <v>2.4185999999999999E-3</v>
      </c>
      <c r="M117">
        <v>1.5077999999999999E-3</v>
      </c>
    </row>
    <row r="118" spans="1:13">
      <c r="A118" t="s">
        <v>8</v>
      </c>
      <c r="B118">
        <f>AVERAGE(E118/E$89,I118/I$89,M118/M$89)</f>
        <v>4.0561190591975873E-3</v>
      </c>
      <c r="C118">
        <f>STDEV(E118/E$89,I118/I$89,M118/M$89)/SQRT(D118)</f>
        <v>6.4750990445940613E-4</v>
      </c>
      <c r="D118">
        <f t="shared" ref="D118:D128" si="30">COUNT(E118:AZ118)</f>
        <v>3</v>
      </c>
      <c r="E118">
        <v>1.2937000000000001E-3</v>
      </c>
      <c r="I118">
        <v>8.2693999999999997E-4</v>
      </c>
      <c r="M118">
        <v>6.6343999999999995E-4</v>
      </c>
    </row>
    <row r="119" spans="1:13">
      <c r="A119" t="s">
        <v>9</v>
      </c>
      <c r="B119">
        <f t="shared" ref="B119:B121" si="31">AVERAGE(E119/E$89,I119/I$89,M119/M$89)</f>
        <v>8.6726300126472131E-2</v>
      </c>
      <c r="C119">
        <f t="shared" ref="C119:C121" si="32">STDEV(E119/E$89,I119/I$89,M119/M$89)/SQRT(D119)</f>
        <v>1.2834734215198091E-2</v>
      </c>
      <c r="D119">
        <f t="shared" si="30"/>
        <v>3</v>
      </c>
      <c r="E119">
        <v>2.3102000000000001E-2</v>
      </c>
      <c r="I119">
        <v>2.1531999999999999E-2</v>
      </c>
      <c r="M119">
        <v>1.4047E-2</v>
      </c>
    </row>
    <row r="120" spans="1:13">
      <c r="A120" t="s">
        <v>10</v>
      </c>
      <c r="B120">
        <f t="shared" si="31"/>
        <v>8.8237933615198313E-3</v>
      </c>
      <c r="C120">
        <f t="shared" si="32"/>
        <v>2.602373330645647E-3</v>
      </c>
      <c r="D120">
        <f t="shared" si="30"/>
        <v>3</v>
      </c>
      <c r="E120">
        <v>1.4124999999999999E-3</v>
      </c>
      <c r="I120">
        <v>2.8540000000000002E-3</v>
      </c>
      <c r="M120">
        <v>1.5433999999999999E-3</v>
      </c>
    </row>
    <row r="121" spans="1:13">
      <c r="A121" t="s">
        <v>11</v>
      </c>
      <c r="B121">
        <f t="shared" si="31"/>
        <v>6.3955739353848996E-3</v>
      </c>
      <c r="C121">
        <f t="shared" si="32"/>
        <v>1.498704579728888E-3</v>
      </c>
      <c r="D121">
        <f t="shared" si="30"/>
        <v>3</v>
      </c>
      <c r="E121">
        <v>1.9992999999999999E-3</v>
      </c>
      <c r="I121">
        <v>1.588E-3</v>
      </c>
      <c r="M121">
        <v>7.6831000000000002E-4</v>
      </c>
    </row>
    <row r="122" spans="1:13">
      <c r="A122" t="s">
        <v>49</v>
      </c>
      <c r="B122" s="3" t="s">
        <v>30</v>
      </c>
      <c r="C122" s="3" t="s">
        <v>30</v>
      </c>
      <c r="D122">
        <f t="shared" si="30"/>
        <v>1</v>
      </c>
      <c r="M122">
        <v>1.3864000000000001E-3</v>
      </c>
    </row>
    <row r="123" spans="1:13">
      <c r="A123" t="s">
        <v>12</v>
      </c>
      <c r="B123">
        <f t="shared" ref="B123:B125" si="33">AVERAGE(E123/E$89,I123/I$89,M123/M$89)</f>
        <v>7.5652496363856998E-3</v>
      </c>
      <c r="C123">
        <f t="shared" ref="C123:C125" si="34">STDEV(E123/E$89,I123/I$89,M123/M$89)/SQRT(D123)</f>
        <v>2.9075782540468591E-3</v>
      </c>
      <c r="D123">
        <f t="shared" si="30"/>
        <v>3</v>
      </c>
      <c r="E123">
        <v>1.5417E-3</v>
      </c>
      <c r="I123">
        <v>2.6840000000000002E-3</v>
      </c>
      <c r="M123">
        <v>7.6176E-4</v>
      </c>
    </row>
    <row r="124" spans="1:13">
      <c r="A124" t="s">
        <v>13</v>
      </c>
      <c r="B124">
        <f t="shared" si="33"/>
        <v>1.0473725844530287E-2</v>
      </c>
      <c r="C124">
        <f t="shared" si="34"/>
        <v>1.6053813111135042E-3</v>
      </c>
      <c r="D124">
        <f t="shared" si="30"/>
        <v>3</v>
      </c>
      <c r="E124">
        <v>2.3278000000000001E-3</v>
      </c>
      <c r="I124">
        <v>2.7848999999999999E-3</v>
      </c>
      <c r="M124">
        <v>1.9101999999999999E-3</v>
      </c>
    </row>
    <row r="125" spans="1:13">
      <c r="A125" t="s">
        <v>14</v>
      </c>
      <c r="B125">
        <f t="shared" si="33"/>
        <v>6.475551805158593E-3</v>
      </c>
      <c r="C125">
        <f t="shared" si="34"/>
        <v>1.0926999052888555E-3</v>
      </c>
      <c r="D125">
        <f t="shared" si="30"/>
        <v>3</v>
      </c>
      <c r="E125">
        <v>1.1666000000000001E-3</v>
      </c>
      <c r="I125">
        <v>1.7236E-3</v>
      </c>
      <c r="M125">
        <v>1.4256E-3</v>
      </c>
    </row>
    <row r="126" spans="1:13">
      <c r="A126" t="s">
        <v>56</v>
      </c>
      <c r="B126">
        <f t="shared" ref="B126" si="35">AVERAGE(E126/E$89,I126/I$89,M126/M$89)</f>
        <v>0</v>
      </c>
      <c r="C126">
        <f t="shared" ref="C126" si="36">STDEV(E126/E$89,I126/I$89,M126/M$89)/SQRT(D126)</f>
        <v>0</v>
      </c>
      <c r="D126">
        <f t="shared" si="30"/>
        <v>3</v>
      </c>
      <c r="E126">
        <v>0</v>
      </c>
      <c r="I126">
        <v>0</v>
      </c>
      <c r="M126">
        <v>0</v>
      </c>
    </row>
    <row r="127" spans="1:13">
      <c r="A127" t="s">
        <v>57</v>
      </c>
      <c r="B127" s="3" t="s">
        <v>30</v>
      </c>
      <c r="C127" s="3" t="s">
        <v>30</v>
      </c>
      <c r="D127">
        <f t="shared" si="30"/>
        <v>0</v>
      </c>
    </row>
    <row r="128" spans="1:13">
      <c r="A128" t="s">
        <v>15</v>
      </c>
      <c r="B128">
        <f t="shared" ref="B128:B129" si="37">AVERAGE(E128/E$89,I128/I$89,M128/M$89)</f>
        <v>6.4029882133132265E-3</v>
      </c>
      <c r="C128">
        <f t="shared" ref="C128:C129" si="38">STDEV(E128/E$89,I128/I$89,M128/M$89)/SQRT(D128)</f>
        <v>1.826978874007753E-3</v>
      </c>
      <c r="D128">
        <f t="shared" si="30"/>
        <v>3</v>
      </c>
      <c r="E128">
        <v>1.3426E-3</v>
      </c>
      <c r="I128">
        <v>2.0314E-3</v>
      </c>
      <c r="M128">
        <v>8.7651999999999999E-4</v>
      </c>
    </row>
    <row r="129" spans="1:13">
      <c r="A129" t="s">
        <v>22</v>
      </c>
      <c r="B129">
        <f t="shared" si="37"/>
        <v>3.5681927010367639E-2</v>
      </c>
      <c r="C129">
        <f t="shared" si="38"/>
        <v>2.5296115063871485E-2</v>
      </c>
      <c r="D129">
        <f>COUNT(E129:AZ129)</f>
        <v>3</v>
      </c>
      <c r="E129">
        <v>3.8566E-3</v>
      </c>
      <c r="I129">
        <v>1.7543E-2</v>
      </c>
      <c r="M129">
        <v>1.2757999999999999E-3</v>
      </c>
    </row>
    <row r="130" spans="1:13">
      <c r="A130" t="s">
        <v>59</v>
      </c>
      <c r="B130" s="3" t="s">
        <v>30</v>
      </c>
      <c r="C130" s="3" t="s">
        <v>30</v>
      </c>
      <c r="D130">
        <f t="shared" ref="D130:D131" si="39">COUNT(E130:AZ130)</f>
        <v>0</v>
      </c>
    </row>
    <row r="131" spans="1:13">
      <c r="A131" t="s">
        <v>58</v>
      </c>
      <c r="B131" s="3" t="s">
        <v>30</v>
      </c>
      <c r="C131" s="3" t="s">
        <v>30</v>
      </c>
      <c r="D131">
        <f t="shared" si="39"/>
        <v>0</v>
      </c>
    </row>
    <row r="132" spans="1:13">
      <c r="A132" t="s">
        <v>120</v>
      </c>
      <c r="B132">
        <f>AVERAGE(M132/M$89)</f>
        <v>6.1905183480146959E-2</v>
      </c>
      <c r="C132" t="e">
        <f>STDEV(M132/M$89)/SQRT(D132)</f>
        <v>#DIV/0!</v>
      </c>
      <c r="D132">
        <f>COUNT(E132:AZ132)</f>
        <v>1</v>
      </c>
      <c r="M132">
        <v>1.3984999999999999E-2</v>
      </c>
    </row>
    <row r="133" spans="1:13">
      <c r="A133" s="1" t="s">
        <v>17</v>
      </c>
    </row>
    <row r="134" spans="1:13">
      <c r="A134" t="s">
        <v>7</v>
      </c>
      <c r="B134">
        <f>AVERAGE(E134/E$89,I134/I$89,M134/M$89)</f>
        <v>7.1378423696001085E-3</v>
      </c>
      <c r="C134">
        <f>STDEV(E134/E$89,I134/I$89,M134/M$89)/SQRT(D134)</f>
        <v>2.9013619025982287E-3</v>
      </c>
      <c r="D134">
        <f>COUNT(E134:AZ134)</f>
        <v>3</v>
      </c>
      <c r="E134">
        <v>6.9718999999999998E-4</v>
      </c>
      <c r="I134">
        <v>2.5798000000000001E-3</v>
      </c>
      <c r="M134">
        <v>1.3512999999999999E-3</v>
      </c>
    </row>
    <row r="135" spans="1:13">
      <c r="A135" t="s">
        <v>8</v>
      </c>
      <c r="B135">
        <f>AVERAGE(E135/E$89,I135/I$89,M135/M$89)</f>
        <v>4.4406772219265306E-3</v>
      </c>
      <c r="C135">
        <f>STDEV(E135/E$89,I135/I$89,M135/M$89)/SQRT(D135)</f>
        <v>1.0046461097895198E-3</v>
      </c>
      <c r="D135">
        <f t="shared" ref="D135:D145" si="40">COUNT(E135:AZ135)</f>
        <v>3</v>
      </c>
      <c r="E135">
        <v>1.3332000000000001E-3</v>
      </c>
      <c r="I135">
        <v>1.1325E-3</v>
      </c>
      <c r="M135">
        <v>5.5011000000000003E-4</v>
      </c>
    </row>
    <row r="136" spans="1:13">
      <c r="A136" t="s">
        <v>9</v>
      </c>
      <c r="B136">
        <f t="shared" ref="B136:B138" si="41">AVERAGE(E136/E$89,I136/I$89,M136/M$89)</f>
        <v>0.11452950970269062</v>
      </c>
      <c r="C136">
        <f t="shared" ref="C136:C138" si="42">STDEV(E136/E$89,I136/I$89,M136/M$89)/SQRT(D136)</f>
        <v>2.0894569884473503E-2</v>
      </c>
      <c r="D136">
        <f t="shared" si="40"/>
        <v>3</v>
      </c>
      <c r="E136">
        <v>3.3520000000000001E-2</v>
      </c>
      <c r="I136">
        <v>2.7882000000000001E-2</v>
      </c>
      <c r="M136">
        <v>1.6438000000000001E-2</v>
      </c>
    </row>
    <row r="137" spans="1:13">
      <c r="A137" t="s">
        <v>10</v>
      </c>
      <c r="B137">
        <f t="shared" si="41"/>
        <v>6.5776736652273585E-3</v>
      </c>
      <c r="C137">
        <f t="shared" si="42"/>
        <v>1.6358694061745299E-3</v>
      </c>
      <c r="D137">
        <f t="shared" si="40"/>
        <v>3</v>
      </c>
      <c r="E137">
        <v>1.2443000000000001E-3</v>
      </c>
      <c r="I137">
        <v>2.0100999999999999E-3</v>
      </c>
      <c r="M137">
        <v>1.1073999999999999E-3</v>
      </c>
    </row>
    <row r="138" spans="1:13">
      <c r="A138" t="s">
        <v>11</v>
      </c>
      <c r="B138">
        <f t="shared" si="41"/>
        <v>4.8610143409005425E-3</v>
      </c>
      <c r="C138">
        <f t="shared" si="42"/>
        <v>1.7435096763986908E-3</v>
      </c>
      <c r="D138">
        <f t="shared" si="40"/>
        <v>3</v>
      </c>
      <c r="E138">
        <v>1.2748E-3</v>
      </c>
      <c r="I138">
        <v>1.5820999999999999E-3</v>
      </c>
      <c r="M138">
        <v>3.9013999999999997E-4</v>
      </c>
    </row>
    <row r="139" spans="1:13">
      <c r="A139" t="s">
        <v>49</v>
      </c>
      <c r="B139" s="3" t="s">
        <v>30</v>
      </c>
      <c r="C139" s="3" t="s">
        <v>30</v>
      </c>
      <c r="D139">
        <f t="shared" si="40"/>
        <v>1</v>
      </c>
      <c r="M139">
        <v>6.246E-4</v>
      </c>
    </row>
    <row r="140" spans="1:13">
      <c r="A140" t="s">
        <v>12</v>
      </c>
      <c r="B140">
        <f t="shared" ref="B140:B143" si="43">AVERAGE(E140/E$89,I140/I$89,M140/M$89)</f>
        <v>7.9184823996641205E-3</v>
      </c>
      <c r="C140">
        <f t="shared" ref="C140:C143" si="44">STDEV(E140/E$89,I140/I$89,M140/M$89)/SQRT(D140)</f>
        <v>2.1922040693565562E-3</v>
      </c>
      <c r="D140">
        <f t="shared" si="40"/>
        <v>3</v>
      </c>
      <c r="E140">
        <v>2.2055E-3</v>
      </c>
      <c r="I140">
        <v>2.281E-3</v>
      </c>
      <c r="M140">
        <v>8.4683000000000002E-4</v>
      </c>
    </row>
    <row r="141" spans="1:13">
      <c r="A141" t="s">
        <v>13</v>
      </c>
      <c r="B141">
        <f t="shared" si="43"/>
        <v>1.1917929053669493E-2</v>
      </c>
      <c r="C141">
        <f t="shared" si="44"/>
        <v>2.4354588588579858E-3</v>
      </c>
      <c r="D141">
        <f t="shared" si="40"/>
        <v>3</v>
      </c>
      <c r="E141">
        <v>2.0070999999999999E-3</v>
      </c>
      <c r="I141">
        <v>2.3083999999999999E-3</v>
      </c>
      <c r="M141">
        <v>3.7065000000000002E-3</v>
      </c>
    </row>
    <row r="142" spans="1:13">
      <c r="A142" t="s">
        <v>14</v>
      </c>
      <c r="B142">
        <f t="shared" si="43"/>
        <v>4.3594789109811377E-3</v>
      </c>
      <c r="C142">
        <f t="shared" si="44"/>
        <v>4.2408766873164755E-4</v>
      </c>
      <c r="D142">
        <f t="shared" si="40"/>
        <v>3</v>
      </c>
      <c r="E142">
        <v>9.7586999999999999E-4</v>
      </c>
      <c r="I142">
        <v>1.0627E-3</v>
      </c>
      <c r="M142">
        <v>8.9554999999999995E-4</v>
      </c>
    </row>
    <row r="143" spans="1:13">
      <c r="A143" t="s">
        <v>56</v>
      </c>
      <c r="B143">
        <f t="shared" si="43"/>
        <v>1.6043984083834774E-3</v>
      </c>
      <c r="C143">
        <f t="shared" si="44"/>
        <v>1.5304171571327292E-3</v>
      </c>
      <c r="D143">
        <f t="shared" si="40"/>
        <v>3</v>
      </c>
      <c r="E143">
        <v>0</v>
      </c>
      <c r="I143">
        <v>9.5188E-4</v>
      </c>
      <c r="M143" s="15">
        <v>3.3699999999999999E-5</v>
      </c>
    </row>
    <row r="144" spans="1:13">
      <c r="A144" t="s">
        <v>57</v>
      </c>
      <c r="B144" s="3" t="s">
        <v>30</v>
      </c>
      <c r="C144" s="3" t="s">
        <v>30</v>
      </c>
      <c r="D144">
        <f t="shared" si="40"/>
        <v>0</v>
      </c>
    </row>
    <row r="145" spans="1:13">
      <c r="A145" t="s">
        <v>15</v>
      </c>
      <c r="B145">
        <f t="shared" ref="B145:B146" si="45">AVERAGE(E145/E$89,I145/I$89,M145/M$89)</f>
        <v>2.8574591815862869E-3</v>
      </c>
      <c r="C145">
        <f t="shared" ref="C145:C146" si="46">STDEV(E145/E$89,I145/I$89,M145/M$89)/SQRT(D145)</f>
        <v>1.2010939101929684E-3</v>
      </c>
      <c r="D145">
        <f t="shared" si="40"/>
        <v>3</v>
      </c>
      <c r="E145">
        <v>6.9496E-4</v>
      </c>
      <c r="I145">
        <v>1.0152E-3</v>
      </c>
      <c r="M145">
        <v>1.8425000000000001E-4</v>
      </c>
    </row>
    <row r="146" spans="1:13">
      <c r="A146" t="s">
        <v>22</v>
      </c>
      <c r="B146">
        <f t="shared" si="45"/>
        <v>2.7217522583049717E-2</v>
      </c>
      <c r="C146">
        <f t="shared" si="46"/>
        <v>1.8910732645376509E-2</v>
      </c>
      <c r="D146">
        <f>COUNT(E146:AZ146)</f>
        <v>3</v>
      </c>
      <c r="E146">
        <v>2.6725E-3</v>
      </c>
      <c r="I146">
        <v>1.3254E-2</v>
      </c>
      <c r="M146">
        <v>1.3577999999999999E-3</v>
      </c>
    </row>
    <row r="147" spans="1:13">
      <c r="A147" t="s">
        <v>59</v>
      </c>
      <c r="B147" s="3" t="s">
        <v>30</v>
      </c>
      <c r="C147" s="3" t="s">
        <v>30</v>
      </c>
      <c r="D147">
        <f t="shared" ref="D147:D148" si="47">COUNT(E147:AZ147)</f>
        <v>0</v>
      </c>
    </row>
    <row r="148" spans="1:13">
      <c r="A148" t="s">
        <v>58</v>
      </c>
      <c r="B148" s="3" t="s">
        <v>30</v>
      </c>
      <c r="C148" s="3" t="s">
        <v>30</v>
      </c>
      <c r="D148">
        <f t="shared" si="47"/>
        <v>0</v>
      </c>
    </row>
    <row r="149" spans="1:13">
      <c r="A149" t="s">
        <v>120</v>
      </c>
      <c r="B149">
        <f>AVERAGE(M149/M$89)</f>
        <v>4.5447302022929487E-2</v>
      </c>
      <c r="C149" t="e">
        <f>STDEV(M149/M$89)/SQRT(D149)</f>
        <v>#DIV/0!</v>
      </c>
      <c r="D149">
        <f>COUNT(E149:AZ149)</f>
        <v>1</v>
      </c>
      <c r="M149">
        <v>1.0267E-2</v>
      </c>
    </row>
  </sheetData>
  <pageMargins left="0.7" right="0.7" top="0.75" bottom="0.75" header="0.3" footer="0.3"/>
  <pageSetup orientation="portrait" horizontalDpi="0" verticalDpi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AD149"/>
  <sheetViews>
    <sheetView zoomScale="121" workbookViewId="0">
      <selection activeCell="G11" sqref="G11"/>
    </sheetView>
  </sheetViews>
  <sheetFormatPr baseColWidth="10" defaultRowHeight="16"/>
  <cols>
    <col min="1" max="1" width="17.6640625" bestFit="1" customWidth="1"/>
    <col min="5" max="5" width="19.6640625" bestFit="1" customWidth="1"/>
    <col min="9" max="9" width="21.1640625" customWidth="1"/>
    <col min="13" max="13" width="19.6640625" customWidth="1"/>
    <col min="14" max="14" width="15.6640625" customWidth="1"/>
    <col min="15" max="15" width="20.5" customWidth="1"/>
    <col min="17" max="17" width="17.6640625" customWidth="1"/>
    <col min="21" max="21" width="19" customWidth="1"/>
    <col min="25" max="25" width="21.33203125" customWidth="1"/>
    <col min="29" max="29" width="21.6640625" customWidth="1"/>
  </cols>
  <sheetData>
    <row r="1" spans="1:27">
      <c r="A1" s="1" t="s">
        <v>32</v>
      </c>
      <c r="E1" s="13">
        <v>43355</v>
      </c>
      <c r="I1" s="13">
        <v>43355</v>
      </c>
      <c r="M1" s="13"/>
      <c r="N1" s="13"/>
      <c r="O1" s="13"/>
      <c r="Q1" s="13">
        <v>43663</v>
      </c>
      <c r="U1" s="13">
        <v>43663</v>
      </c>
      <c r="Y1" s="13">
        <v>43663</v>
      </c>
    </row>
    <row r="2" spans="1:27">
      <c r="A2" s="1" t="s">
        <v>33</v>
      </c>
      <c r="E2" s="14" t="s">
        <v>113</v>
      </c>
      <c r="I2" s="14" t="s">
        <v>113</v>
      </c>
      <c r="M2" s="14" t="s">
        <v>218</v>
      </c>
      <c r="N2" s="14" t="s">
        <v>218</v>
      </c>
      <c r="O2" s="14" t="s">
        <v>218</v>
      </c>
      <c r="Q2" s="14" t="s">
        <v>113</v>
      </c>
      <c r="U2" s="14" t="s">
        <v>113</v>
      </c>
      <c r="Y2" s="14" t="s">
        <v>113</v>
      </c>
    </row>
    <row r="3" spans="1:27">
      <c r="A3" s="1" t="s">
        <v>34</v>
      </c>
      <c r="E3" s="28" t="s">
        <v>162</v>
      </c>
      <c r="I3" s="28" t="s">
        <v>164</v>
      </c>
      <c r="M3" s="28" t="s">
        <v>220</v>
      </c>
      <c r="N3" s="28" t="s">
        <v>221</v>
      </c>
      <c r="O3" s="28" t="s">
        <v>222</v>
      </c>
      <c r="Q3" s="28" t="s">
        <v>224</v>
      </c>
      <c r="U3" s="28" t="s">
        <v>225</v>
      </c>
      <c r="Y3" s="28" t="s">
        <v>225</v>
      </c>
    </row>
    <row r="4" spans="1:27">
      <c r="A4" s="1" t="s">
        <v>35</v>
      </c>
      <c r="E4" s="14" t="s">
        <v>41</v>
      </c>
      <c r="I4" s="14" t="s">
        <v>41</v>
      </c>
      <c r="M4" s="14" t="s">
        <v>41</v>
      </c>
      <c r="N4" s="14" t="s">
        <v>41</v>
      </c>
      <c r="O4" s="14" t="s">
        <v>41</v>
      </c>
      <c r="Q4" s="14" t="s">
        <v>41</v>
      </c>
      <c r="U4" s="14" t="s">
        <v>41</v>
      </c>
      <c r="Y4" s="14" t="s">
        <v>41</v>
      </c>
    </row>
    <row r="5" spans="1:27" ht="32">
      <c r="A5" s="1" t="s">
        <v>36</v>
      </c>
      <c r="E5" s="38" t="s">
        <v>163</v>
      </c>
      <c r="I5" s="38" t="s">
        <v>163</v>
      </c>
      <c r="M5" s="38" t="s">
        <v>163</v>
      </c>
      <c r="N5" s="38" t="s">
        <v>163</v>
      </c>
      <c r="O5" s="38" t="s">
        <v>163</v>
      </c>
      <c r="Q5" s="38" t="s">
        <v>163</v>
      </c>
      <c r="U5" s="38" t="s">
        <v>163</v>
      </c>
      <c r="Y5" s="38" t="s">
        <v>163</v>
      </c>
    </row>
    <row r="6" spans="1:27">
      <c r="A6" s="1" t="s">
        <v>37</v>
      </c>
      <c r="E6" s="2">
        <v>300</v>
      </c>
      <c r="I6" s="2">
        <v>300</v>
      </c>
      <c r="M6" s="2"/>
      <c r="N6" s="2"/>
      <c r="O6" s="2"/>
      <c r="Q6" s="2">
        <v>200</v>
      </c>
      <c r="U6" s="2">
        <v>200</v>
      </c>
      <c r="Y6" s="2">
        <v>200</v>
      </c>
    </row>
    <row r="7" spans="1:27">
      <c r="A7" s="1" t="s">
        <v>38</v>
      </c>
      <c r="E7" s="2">
        <v>0.1</v>
      </c>
      <c r="I7" s="2">
        <v>0.1</v>
      </c>
      <c r="M7" s="2"/>
      <c r="N7" s="2"/>
      <c r="O7" s="2"/>
      <c r="Q7" s="2">
        <v>0.1</v>
      </c>
      <c r="U7" s="2">
        <v>0.1</v>
      </c>
      <c r="Y7" s="2">
        <v>0.1</v>
      </c>
    </row>
    <row r="8" spans="1:27">
      <c r="A8" s="1" t="s">
        <v>43</v>
      </c>
      <c r="E8">
        <f>E9</f>
        <v>0.34177215189873417</v>
      </c>
      <c r="F8" s="43">
        <f>1/0.79</f>
        <v>1.2658227848101264</v>
      </c>
      <c r="I8">
        <f>I9</f>
        <v>0.34177215189873417</v>
      </c>
      <c r="J8" s="43">
        <f>1/0.79</f>
        <v>1.2658227848101264</v>
      </c>
      <c r="P8" s="43">
        <f>1/0.79</f>
        <v>1.2658227848101264</v>
      </c>
      <c r="Q8">
        <f>Q9</f>
        <v>0.3063291139240506</v>
      </c>
      <c r="R8" s="43">
        <f>1/0.79</f>
        <v>1.2658227848101264</v>
      </c>
      <c r="U8">
        <f>U9</f>
        <v>0.3468354430379747</v>
      </c>
      <c r="V8" s="43">
        <f>1/0.79</f>
        <v>1.2658227848101264</v>
      </c>
      <c r="Y8">
        <f>Y9</f>
        <v>0.37215189873417714</v>
      </c>
      <c r="Z8" s="43">
        <f>1/0.79</f>
        <v>1.2658227848101264</v>
      </c>
    </row>
    <row r="9" spans="1:27">
      <c r="A9" s="1" t="s">
        <v>53</v>
      </c>
      <c r="E9">
        <f>F30*F8</f>
        <v>0.34177215189873417</v>
      </c>
      <c r="I9">
        <f>J30*J8</f>
        <v>0.34177215189873417</v>
      </c>
      <c r="M9">
        <f>N30*P8</f>
        <v>0.34177215189873417</v>
      </c>
      <c r="N9">
        <f>N30*P8</f>
        <v>0.34177215189873417</v>
      </c>
      <c r="O9">
        <f>O30*P8</f>
        <v>0.34177215189873417</v>
      </c>
      <c r="Q9">
        <f>R30*R8</f>
        <v>0.3063291139240506</v>
      </c>
      <c r="U9">
        <f>V30*V8</f>
        <v>0.3468354430379747</v>
      </c>
      <c r="Y9">
        <f>Z30*Z8</f>
        <v>0.37215189873417714</v>
      </c>
    </row>
    <row r="10" spans="1:27">
      <c r="A10" s="1" t="s">
        <v>44</v>
      </c>
      <c r="E10" s="21">
        <f>E6*E7*(1-E8)/E8</f>
        <v>57.777777777777779</v>
      </c>
      <c r="I10" s="21">
        <f>I6*I7*(1-I8)/I8</f>
        <v>57.777777777777779</v>
      </c>
      <c r="Q10" s="21">
        <f>Q6*Q7*(1-Q8)/Q8</f>
        <v>45.289256198347118</v>
      </c>
      <c r="U10" s="21">
        <f>U6*U7*(1-U8)/U8</f>
        <v>37.664233576642332</v>
      </c>
      <c r="Y10" s="21">
        <f>Y6*Y7*(1-Y8)/Y8</f>
        <v>33.741496598639458</v>
      </c>
    </row>
    <row r="11" spans="1:27">
      <c r="A11" s="1"/>
    </row>
    <row r="12" spans="1:27">
      <c r="A12" s="1" t="s">
        <v>33</v>
      </c>
      <c r="E12" t="s">
        <v>113</v>
      </c>
      <c r="I12" t="s">
        <v>113</v>
      </c>
      <c r="M12" t="s">
        <v>218</v>
      </c>
      <c r="N12" t="s">
        <v>218</v>
      </c>
      <c r="O12" t="s">
        <v>218</v>
      </c>
      <c r="Q12" t="s">
        <v>113</v>
      </c>
      <c r="S12" t="s">
        <v>39</v>
      </c>
      <c r="U12" t="s">
        <v>113</v>
      </c>
      <c r="W12" t="s">
        <v>39</v>
      </c>
      <c r="Y12" t="s">
        <v>113</v>
      </c>
      <c r="AA12" t="s">
        <v>39</v>
      </c>
    </row>
    <row r="13" spans="1:27">
      <c r="A13" s="1" t="s">
        <v>45</v>
      </c>
      <c r="E13" t="s">
        <v>47</v>
      </c>
      <c r="I13" t="s">
        <v>47</v>
      </c>
      <c r="Q13" t="s">
        <v>106</v>
      </c>
      <c r="S13" t="s">
        <v>85</v>
      </c>
      <c r="U13" t="s">
        <v>106</v>
      </c>
      <c r="W13" t="s">
        <v>85</v>
      </c>
      <c r="Y13" t="s">
        <v>106</v>
      </c>
      <c r="AA13" t="s">
        <v>85</v>
      </c>
    </row>
    <row r="14" spans="1:27" ht="136">
      <c r="A14" s="12" t="s">
        <v>31</v>
      </c>
      <c r="E14" s="68" t="s">
        <v>161</v>
      </c>
      <c r="I14" s="68" t="s">
        <v>161</v>
      </c>
      <c r="M14" s="10" t="s">
        <v>219</v>
      </c>
      <c r="N14" s="10" t="s">
        <v>219</v>
      </c>
      <c r="O14" s="10" t="s">
        <v>219</v>
      </c>
      <c r="Q14" s="73" t="s">
        <v>263</v>
      </c>
      <c r="S14" s="10" t="s">
        <v>287</v>
      </c>
      <c r="U14" s="73" t="s">
        <v>263</v>
      </c>
      <c r="W14" s="10" t="s">
        <v>287</v>
      </c>
      <c r="Y14" s="73" t="s">
        <v>263</v>
      </c>
      <c r="AA14" s="10" t="s">
        <v>287</v>
      </c>
    </row>
    <row r="16" spans="1:27">
      <c r="A16" s="1" t="s">
        <v>50</v>
      </c>
      <c r="E16" t="s">
        <v>264</v>
      </c>
      <c r="I16" t="s">
        <v>264</v>
      </c>
      <c r="M16" t="s">
        <v>264</v>
      </c>
      <c r="N16" t="s">
        <v>264</v>
      </c>
      <c r="O16" t="s">
        <v>264</v>
      </c>
    </row>
    <row r="17" spans="1:27">
      <c r="B17" s="1" t="s">
        <v>5</v>
      </c>
      <c r="C17" s="1" t="s">
        <v>6</v>
      </c>
      <c r="D17" s="1" t="s">
        <v>55</v>
      </c>
    </row>
    <row r="18" spans="1:27">
      <c r="A18" s="1" t="s">
        <v>0</v>
      </c>
    </row>
    <row r="19" spans="1:27">
      <c r="A19" t="s">
        <v>60</v>
      </c>
      <c r="B19" s="3">
        <f>AVERAGE(E19/E$9,I19/I$9,Q19/Q$9,U19/U$9,Y19/Y$9)</f>
        <v>1.5804595590831964E-2</v>
      </c>
      <c r="C19" s="3">
        <f>STDEV(E19/E$9,I19/I$9,Q19/Q$9,U19/U$9,Y19/Y$9)/SQRT(D19)</f>
        <v>2.0742474226141481E-3</v>
      </c>
      <c r="D19">
        <f>COUNT(E19:AZ19)</f>
        <v>5</v>
      </c>
      <c r="E19">
        <v>6.1173E-3</v>
      </c>
      <c r="I19">
        <v>7.6411999999999999E-3</v>
      </c>
      <c r="Q19">
        <v>3.4409000000000002E-3</v>
      </c>
      <c r="U19">
        <v>4.0182999999999998E-3</v>
      </c>
      <c r="Y19">
        <v>5.9351999999999999E-3</v>
      </c>
    </row>
    <row r="20" spans="1:27">
      <c r="A20" t="s">
        <v>61</v>
      </c>
      <c r="B20" s="3">
        <f t="shared" ref="B20:B29" si="0">AVERAGE(E20/E$9,I20/I$9,Q20/Q$9,U20/U$9,Y20/Y$9)</f>
        <v>1.6317965916386169E-2</v>
      </c>
      <c r="C20" s="3">
        <f t="shared" ref="C20:C29" si="1">STDEV(E20/E$9,I20/I$9,Q20/Q$9,U20/U$9,Y20/Y$9)/SQRT(D20)</f>
        <v>2.7282918631984158E-3</v>
      </c>
      <c r="D20">
        <f t="shared" ref="D20:D29" si="2">COUNT(E20:AZ20)</f>
        <v>5</v>
      </c>
      <c r="E20">
        <v>8.2559999999999995E-3</v>
      </c>
      <c r="I20">
        <v>7.3822999999999996E-3</v>
      </c>
      <c r="Q20">
        <v>3.6706999999999998E-3</v>
      </c>
      <c r="U20">
        <v>3.777E-3</v>
      </c>
      <c r="Y20">
        <v>4.8233E-3</v>
      </c>
    </row>
    <row r="21" spans="1:27">
      <c r="A21" t="s">
        <v>62</v>
      </c>
      <c r="B21" s="3">
        <f t="shared" si="0"/>
        <v>2.5758264540648189E-2</v>
      </c>
      <c r="C21" s="3">
        <f t="shared" si="1"/>
        <v>8.2269821467277696E-3</v>
      </c>
      <c r="D21">
        <f t="shared" si="2"/>
        <v>5</v>
      </c>
      <c r="E21">
        <v>1.6341000000000001E-2</v>
      </c>
      <c r="I21">
        <v>1.4952999999999999E-2</v>
      </c>
      <c r="Q21">
        <v>3.5209999999999998E-3</v>
      </c>
      <c r="U21">
        <v>3.7835E-3</v>
      </c>
      <c r="Y21">
        <v>5.5170000000000002E-3</v>
      </c>
    </row>
    <row r="22" spans="1:27">
      <c r="A22" t="s">
        <v>63</v>
      </c>
      <c r="B22" s="3">
        <f t="shared" si="0"/>
        <v>1.8428355326112079E-3</v>
      </c>
      <c r="C22" s="3">
        <f t="shared" si="1"/>
        <v>1.0499617426987789E-3</v>
      </c>
      <c r="D22">
        <f t="shared" si="2"/>
        <v>5</v>
      </c>
      <c r="E22">
        <v>5.2065E-4</v>
      </c>
      <c r="I22">
        <v>1.9911999999999998E-3</v>
      </c>
      <c r="Q22" s="15">
        <v>6.6210999999999993E-5</v>
      </c>
      <c r="U22">
        <v>0</v>
      </c>
      <c r="Y22">
        <v>6.1351000000000005E-4</v>
      </c>
    </row>
    <row r="23" spans="1:27">
      <c r="A23" t="s">
        <v>64</v>
      </c>
      <c r="B23" s="3">
        <f t="shared" si="0"/>
        <v>8.5043384900989547E-3</v>
      </c>
      <c r="C23" s="3">
        <f t="shared" si="1"/>
        <v>2.998092191188646E-3</v>
      </c>
      <c r="D23">
        <f t="shared" si="2"/>
        <v>5</v>
      </c>
      <c r="E23">
        <v>6.2905000000000001E-3</v>
      </c>
      <c r="I23">
        <v>4.2816E-3</v>
      </c>
      <c r="Q23">
        <v>1.1739999999999999E-3</v>
      </c>
      <c r="U23">
        <v>1.1100000000000001E-3</v>
      </c>
      <c r="Y23">
        <v>1.6953999999999999E-3</v>
      </c>
    </row>
    <row r="24" spans="1:27">
      <c r="A24" t="s">
        <v>65</v>
      </c>
      <c r="B24" s="3">
        <f t="shared" si="0"/>
        <v>2.7647743696082659E-4</v>
      </c>
      <c r="C24" s="3">
        <f t="shared" si="1"/>
        <v>1.2830359073738077E-4</v>
      </c>
      <c r="D24">
        <f t="shared" si="2"/>
        <v>5</v>
      </c>
      <c r="E24">
        <v>2.3948E-4</v>
      </c>
      <c r="I24">
        <v>1.529E-4</v>
      </c>
      <c r="Q24" s="15">
        <v>1.7558E-5</v>
      </c>
      <c r="U24" s="15">
        <v>2.1645999999999999E-5</v>
      </c>
      <c r="Y24" s="15">
        <v>4.2642999999999998E-5</v>
      </c>
    </row>
    <row r="25" spans="1:27">
      <c r="A25" t="s">
        <v>66</v>
      </c>
      <c r="B25" s="3">
        <f t="shared" si="0"/>
        <v>6.7629947517644937E-5</v>
      </c>
      <c r="C25" s="3">
        <f t="shared" si="1"/>
        <v>5.1465682394014507E-5</v>
      </c>
      <c r="D25">
        <f t="shared" si="2"/>
        <v>5</v>
      </c>
      <c r="E25">
        <v>0</v>
      </c>
      <c r="I25">
        <v>0</v>
      </c>
      <c r="Q25" s="15">
        <v>8.1390000000000005E-5</v>
      </c>
      <c r="U25" s="15">
        <v>2.5130000000000002E-5</v>
      </c>
      <c r="Y25">
        <v>0</v>
      </c>
    </row>
    <row r="26" spans="1:27">
      <c r="A26" t="s">
        <v>67</v>
      </c>
      <c r="B26" s="3">
        <f t="shared" si="0"/>
        <v>0</v>
      </c>
      <c r="C26" s="3">
        <f t="shared" si="1"/>
        <v>0</v>
      </c>
      <c r="D26">
        <f t="shared" si="2"/>
        <v>5</v>
      </c>
      <c r="E26">
        <v>0</v>
      </c>
      <c r="I26">
        <v>0</v>
      </c>
      <c r="Q26">
        <v>0</v>
      </c>
      <c r="U26">
        <v>0</v>
      </c>
      <c r="Y26">
        <v>0</v>
      </c>
    </row>
    <row r="27" spans="1:27">
      <c r="A27" t="s">
        <v>71</v>
      </c>
      <c r="B27" s="3">
        <f t="shared" si="0"/>
        <v>2.1012244444444444E-3</v>
      </c>
      <c r="C27" s="3">
        <f t="shared" si="1"/>
        <v>2.1012244444444444E-3</v>
      </c>
      <c r="D27">
        <f t="shared" si="2"/>
        <v>5</v>
      </c>
      <c r="E27">
        <v>0</v>
      </c>
      <c r="I27">
        <v>3.5907000000000001E-3</v>
      </c>
      <c r="Q27">
        <v>0</v>
      </c>
      <c r="U27">
        <v>0</v>
      </c>
      <c r="Y27">
        <v>0</v>
      </c>
    </row>
    <row r="28" spans="1:27">
      <c r="A28" t="s">
        <v>72</v>
      </c>
      <c r="B28" s="3">
        <f t="shared" si="0"/>
        <v>1.4050881481481483E-3</v>
      </c>
      <c r="C28" s="3">
        <f t="shared" si="1"/>
        <v>1.4050881481481483E-3</v>
      </c>
      <c r="D28">
        <f t="shared" si="2"/>
        <v>5</v>
      </c>
      <c r="E28">
        <v>0</v>
      </c>
      <c r="I28">
        <v>2.4011000000000002E-3</v>
      </c>
      <c r="Q28">
        <v>0</v>
      </c>
      <c r="U28">
        <v>0</v>
      </c>
      <c r="Y28">
        <v>0</v>
      </c>
    </row>
    <row r="29" spans="1:27">
      <c r="A29" t="s">
        <v>69</v>
      </c>
      <c r="B29" s="3">
        <f t="shared" si="0"/>
        <v>3.314088577218452E-2</v>
      </c>
      <c r="C29" s="3">
        <f t="shared" si="1"/>
        <v>1.0265236696361419E-2</v>
      </c>
      <c r="D29">
        <f t="shared" si="2"/>
        <v>5</v>
      </c>
      <c r="E29">
        <v>1.4123E-2</v>
      </c>
      <c r="I29">
        <v>2.3897999999999999E-2</v>
      </c>
      <c r="Q29">
        <v>4.6414999999999998E-3</v>
      </c>
      <c r="U29">
        <v>6.7298000000000002E-3</v>
      </c>
      <c r="Y29">
        <v>7.4066999999999996E-3</v>
      </c>
    </row>
    <row r="30" spans="1:27">
      <c r="A30" t="s">
        <v>68</v>
      </c>
      <c r="B30" s="3">
        <f>AVERAGE(F30/E$9,J30/I$9)*F8</f>
        <v>0.99999999999999989</v>
      </c>
      <c r="C30" s="3">
        <f>STDEV(F30/E$9,J30/I$9)/SQRT(D30)</f>
        <v>0</v>
      </c>
      <c r="D30">
        <f t="shared" ref="D30:D33" si="3">COUNT(E30:AZ30)</f>
        <v>8</v>
      </c>
      <c r="F30" s="27">
        <f>AVERAGE($R30,$V30,$Z30)</f>
        <v>0.27</v>
      </c>
      <c r="J30" s="27">
        <f>AVERAGE($R30,$V30,$Z30)</f>
        <v>0.27</v>
      </c>
      <c r="M30" s="27">
        <f>AVERAGE($R30,$V30,$Z30)</f>
        <v>0.27</v>
      </c>
      <c r="N30" s="27">
        <f>AVERAGE($R30,$V30,$Z30)</f>
        <v>0.27</v>
      </c>
      <c r="O30" s="27">
        <f>AVERAGE($R30,$V30,$Z30)</f>
        <v>0.27</v>
      </c>
      <c r="R30" s="27">
        <v>0.24199999999999999</v>
      </c>
      <c r="V30" s="27">
        <v>0.27400000000000002</v>
      </c>
      <c r="Z30" s="27">
        <v>0.29399999999999998</v>
      </c>
    </row>
    <row r="31" spans="1:27">
      <c r="A31" t="s">
        <v>70</v>
      </c>
      <c r="B31" s="3">
        <f>AVERAGE(S31/Q9,W31/U9,AA31/Y9)</f>
        <v>3.7978760330578519E-4</v>
      </c>
      <c r="C31" s="3">
        <f>STDEV(S31/Q9,W31/U9,AA31/Y9)/SQRT(D31)</f>
        <v>3.7978760330578519E-4</v>
      </c>
      <c r="D31">
        <f t="shared" si="3"/>
        <v>3</v>
      </c>
      <c r="S31">
        <v>3.4902000000000002E-4</v>
      </c>
      <c r="W31">
        <v>0</v>
      </c>
      <c r="AA31">
        <v>0</v>
      </c>
    </row>
    <row r="32" spans="1:27">
      <c r="A32" t="s">
        <v>23</v>
      </c>
      <c r="B32" s="3">
        <f t="shared" ref="B32:B33" si="4">AVERAGE(E32/E$9,I32/I$9,Q32/Q$9,U32/U$9,Y32/Y$9)</f>
        <v>0</v>
      </c>
      <c r="C32" s="3">
        <f t="shared" ref="C32:C33" si="5">STDEV(E32/E$9,I32/I$9,Q32/Q$9,U32/U$9,Y32/Y$9)/SQRT(D32)</f>
        <v>0</v>
      </c>
      <c r="D32">
        <f t="shared" si="3"/>
        <v>5</v>
      </c>
      <c r="E32">
        <v>0</v>
      </c>
      <c r="I32">
        <v>0</v>
      </c>
      <c r="Q32">
        <v>0</v>
      </c>
      <c r="U32">
        <v>0</v>
      </c>
      <c r="Y32">
        <v>0</v>
      </c>
    </row>
    <row r="33" spans="1:26">
      <c r="A33" t="s">
        <v>24</v>
      </c>
      <c r="B33" s="3">
        <f t="shared" si="4"/>
        <v>0</v>
      </c>
      <c r="C33" s="3">
        <f t="shared" si="5"/>
        <v>0</v>
      </c>
      <c r="D33">
        <f t="shared" si="3"/>
        <v>5</v>
      </c>
      <c r="E33">
        <v>0</v>
      </c>
      <c r="I33">
        <v>0</v>
      </c>
      <c r="Q33">
        <v>0</v>
      </c>
      <c r="U33">
        <v>0</v>
      </c>
      <c r="Y33">
        <v>0</v>
      </c>
    </row>
    <row r="36" spans="1:26">
      <c r="A36" s="1" t="s">
        <v>16</v>
      </c>
    </row>
    <row r="37" spans="1:26">
      <c r="A37" t="s">
        <v>7</v>
      </c>
      <c r="B37" s="3">
        <f>AVERAGE(E37/E$9,I37/I$9,M37/M$9,N37/N$9,O37/O$9,Q37/Q$9,U37/U$9,Y37/Y$9)</f>
        <v>2.5974487626353644E-2</v>
      </c>
      <c r="C37" s="3">
        <f>STDEV(E37/E$9,I37/I$9,M37/M$9,N37/N$9,O37/O$9,Q37/Q$9,U37/U$9,Y37/Y$9)/SQRT(D37)</f>
        <v>1.6273644921723687E-3</v>
      </c>
      <c r="D37">
        <f>COUNT(E37:AZ37)</f>
        <v>8</v>
      </c>
      <c r="E37">
        <v>1.0555999999999999E-2</v>
      </c>
      <c r="F37" s="49"/>
      <c r="I37">
        <v>9.6138999999999999E-3</v>
      </c>
      <c r="J37" s="49"/>
      <c r="M37">
        <v>1.0563280100715921E-2</v>
      </c>
      <c r="N37">
        <v>9.7735910048684631E-3</v>
      </c>
      <c r="O37">
        <v>9.3093952731566221E-3</v>
      </c>
      <c r="Q37">
        <v>6.0337000000000003E-3</v>
      </c>
      <c r="R37" s="49"/>
      <c r="U37">
        <v>7.0784000000000003E-3</v>
      </c>
      <c r="V37" s="49"/>
      <c r="Y37">
        <v>8.1621000000000003E-3</v>
      </c>
      <c r="Z37" s="49"/>
    </row>
    <row r="38" spans="1:26">
      <c r="A38" t="s">
        <v>8</v>
      </c>
      <c r="B38" s="3">
        <f>AVERAGE(I38/I$9,M38/M$9,N38/N$9,O38/O$9,Q38/Q$9,U38/U$9,Y38/Y$9)</f>
        <v>6.96659274902999E-2</v>
      </c>
      <c r="C38" s="3">
        <f>STDEV(I38/I$9,M38/M$9,N38/N$9,O38/O$9,Q38/Q$9,U38/U$9,Y38/Y$9)/SQRT(D38)</f>
        <v>7.8244337682440938E-3</v>
      </c>
      <c r="D38">
        <f>COUNT(E38:AZ38)</f>
        <v>7</v>
      </c>
      <c r="F38" s="49"/>
      <c r="I38">
        <v>2.8358999999999999E-2</v>
      </c>
      <c r="J38" s="49"/>
      <c r="M38">
        <v>2.7671679707177869E-2</v>
      </c>
      <c r="N38">
        <v>3.4336983701796761E-2</v>
      </c>
      <c r="O38">
        <v>2.594409654052076E-2</v>
      </c>
      <c r="Q38">
        <v>1.4581E-2</v>
      </c>
      <c r="R38" s="49"/>
      <c r="U38">
        <v>1.6597000000000001E-2</v>
      </c>
      <c r="V38" s="49"/>
      <c r="Y38">
        <v>1.9310999999999998E-2</v>
      </c>
      <c r="Z38" s="49"/>
    </row>
    <row r="39" spans="1:26">
      <c r="A39" t="s">
        <v>9</v>
      </c>
      <c r="B39" s="3">
        <f>AVERAGE(E39/E$9,I39/I$9,M39/M$9,N39/N$9,O39/O$9,Q39/Q$9,U39/U$9,Y39/Y$9)</f>
        <v>0.1363547981103192</v>
      </c>
      <c r="C39" s="3">
        <f>STDEV(E39/E$9,I39/I$9,M39/M$9,N39/N$9,O39/O$9,Q39/Q$9,U39/U$9,Y39/Y$9)/SQRT(D39)</f>
        <v>1.1584535161531533E-2</v>
      </c>
      <c r="D39">
        <f>COUNT(E39:AZ39)</f>
        <v>8</v>
      </c>
      <c r="E39">
        <v>5.0754000000000001E-2</v>
      </c>
      <c r="F39" s="49"/>
      <c r="I39">
        <v>4.8904999999999997E-2</v>
      </c>
      <c r="J39" s="49"/>
      <c r="M39">
        <v>5.3423516594010269E-2</v>
      </c>
      <c r="N39">
        <v>6.4820623108462289E-2</v>
      </c>
      <c r="O39">
        <v>5.127347728451867E-2</v>
      </c>
      <c r="Q39">
        <v>2.784E-2</v>
      </c>
      <c r="R39" s="49"/>
      <c r="U39">
        <v>3.6167999999999999E-2</v>
      </c>
      <c r="V39" s="49"/>
      <c r="Y39">
        <v>4.0224000000000003E-2</v>
      </c>
      <c r="Z39" s="49"/>
    </row>
    <row r="40" spans="1:26">
      <c r="A40" t="s">
        <v>10</v>
      </c>
      <c r="B40" s="3">
        <f>AVERAGE(E40/E$9,I40/I$9,M40/M$9,N40/N$9,O40/O$9,Q40/Q$9,U40/U$9,Y40/Y$9)</f>
        <v>2.5143991388555709E-2</v>
      </c>
      <c r="C40" s="3">
        <f>STDEV(E40/E$9,I40/I$9,M40/M$9,N40/N$9,O40/O$9,Q40/Q$9,U40/U$9,Y40/Y$9)/SQRT(D40)</f>
        <v>2.6184010258407308E-3</v>
      </c>
      <c r="D40">
        <f>COUNT(E40:AZ40)</f>
        <v>8</v>
      </c>
      <c r="E40">
        <v>1.0995E-2</v>
      </c>
      <c r="F40" s="49"/>
      <c r="I40">
        <v>1.0614999999999999E-2</v>
      </c>
      <c r="J40" s="49"/>
      <c r="M40">
        <v>1.0168832095496173E-2</v>
      </c>
      <c r="N40">
        <v>1.0374656217758115E-2</v>
      </c>
      <c r="O40">
        <v>9.8384988685162062E-3</v>
      </c>
      <c r="Q40">
        <v>4.7754E-3</v>
      </c>
      <c r="R40" s="49"/>
      <c r="U40">
        <v>5.2697999999999998E-3</v>
      </c>
      <c r="V40" s="49"/>
      <c r="Y40">
        <v>6.7895999999999998E-3</v>
      </c>
      <c r="Z40" s="49"/>
    </row>
    <row r="41" spans="1:26">
      <c r="A41" t="s">
        <v>11</v>
      </c>
      <c r="B41" s="3">
        <f>AVERAGE(E41/E$9,I41/I$9,M41/M$9,N41/N$9,O41/O$9,Q41/Q$9,U41/U$9,Y41/Y$9)</f>
        <v>0.16899682578636677</v>
      </c>
      <c r="C41" s="3">
        <f>STDEV(E41/E$9,I41/I$9,M41/M$9,N41/N$9,O41/O$9,Q41/Q$9,U41/U$9,Y41/Y$9)/SQRT(D41)</f>
        <v>1.367177475758068E-2</v>
      </c>
      <c r="D41">
        <f>COUNT(E41:AZ41)</f>
        <v>8</v>
      </c>
      <c r="E41">
        <v>7.1621000000000004E-2</v>
      </c>
      <c r="F41" s="49"/>
      <c r="I41">
        <v>6.7764000000000005E-2</v>
      </c>
      <c r="J41" s="49"/>
      <c r="M41">
        <v>6.5077746820712989E-2</v>
      </c>
      <c r="N41">
        <v>7.0148740133942566E-2</v>
      </c>
      <c r="O41">
        <v>5.9115251875145346E-2</v>
      </c>
      <c r="Q41">
        <v>3.594E-2</v>
      </c>
      <c r="R41" s="49"/>
      <c r="U41">
        <v>4.0372999999999999E-2</v>
      </c>
      <c r="V41" s="49"/>
      <c r="Y41">
        <v>5.2766E-2</v>
      </c>
      <c r="Z41" s="49"/>
    </row>
    <row r="42" spans="1:26">
      <c r="A42" t="s">
        <v>49</v>
      </c>
      <c r="B42" t="s">
        <v>30</v>
      </c>
      <c r="C42" t="s">
        <v>30</v>
      </c>
      <c r="D42">
        <f t="shared" ref="D42:D47" si="6">COUNT(E42:AZ42)</f>
        <v>0</v>
      </c>
      <c r="F42" s="49"/>
      <c r="J42" s="49"/>
      <c r="R42" s="49"/>
      <c r="V42" s="49"/>
      <c r="Z42" s="49"/>
    </row>
    <row r="43" spans="1:26">
      <c r="A43" t="s">
        <v>12</v>
      </c>
      <c r="B43" s="3">
        <f>AVERAGE(E43/E$9,I43/I$9,M43/M$9,N43/N$9,O43/O$9,Q43/Q$9,U43/U$9,Y43/Y$9)</f>
        <v>6.5723190156947248E-2</v>
      </c>
      <c r="C43" s="3">
        <f>STDEV(E43/E$9,I43/I$9,M43/M$9,N43/N$9,O43/O$9,Q43/Q$9,U43/U$9,Y43/Y$9)/SQRT(D43)</f>
        <v>3.7021093563390007E-3</v>
      </c>
      <c r="D43">
        <f>COUNT(E43:AZ43)</f>
        <v>8</v>
      </c>
      <c r="E43">
        <v>2.4754999999999999E-2</v>
      </c>
      <c r="F43" s="49"/>
      <c r="I43">
        <v>2.5614999999999999E-2</v>
      </c>
      <c r="J43" s="49"/>
      <c r="M43">
        <v>2.3149931998583242E-2</v>
      </c>
      <c r="N43">
        <v>2.6322489598477404E-2</v>
      </c>
      <c r="O43">
        <v>2.4850884444874544E-2</v>
      </c>
      <c r="Q43">
        <v>1.5695000000000001E-2</v>
      </c>
      <c r="R43" s="49"/>
      <c r="U43">
        <v>1.983E-2</v>
      </c>
      <c r="V43" s="49"/>
      <c r="Y43">
        <v>1.9550000000000001E-2</v>
      </c>
      <c r="Z43" s="49"/>
    </row>
    <row r="44" spans="1:26">
      <c r="A44" t="s">
        <v>13</v>
      </c>
      <c r="B44" s="3">
        <f>AVERAGE(E44/E$9,I44/I$9,M44/M$9,N44/N$9,O44/O$9,Q44/Q$9,U44/U$9,Y44/Y$9)</f>
        <v>9.0976584061868357E-2</v>
      </c>
      <c r="C44" s="3">
        <f>STDEV(E44/E$9,I44/I$9,M44/M$9,N44/N$9,O44/O$9,Q44/Q$9,U44/U$9,Y44/Y$9)/SQRT(D44)</f>
        <v>6.1507872120728892E-3</v>
      </c>
      <c r="D44">
        <f>COUNT(E44:AZ44)</f>
        <v>8</v>
      </c>
      <c r="E44">
        <v>3.6561000000000003E-2</v>
      </c>
      <c r="F44" s="49"/>
      <c r="I44">
        <v>3.5917999999999999E-2</v>
      </c>
      <c r="J44" s="49"/>
      <c r="M44">
        <v>3.2592233198124425E-2</v>
      </c>
      <c r="N44">
        <v>3.7736862474395796E-2</v>
      </c>
      <c r="O44">
        <v>3.323057598281718E-2</v>
      </c>
      <c r="Q44">
        <v>2.2044999999999999E-2</v>
      </c>
      <c r="R44" s="49"/>
      <c r="U44">
        <v>2.5446E-2</v>
      </c>
      <c r="V44" s="49"/>
      <c r="Y44">
        <v>2.5085E-2</v>
      </c>
      <c r="Z44" s="49"/>
    </row>
    <row r="45" spans="1:26">
      <c r="A45" t="s">
        <v>14</v>
      </c>
      <c r="B45" s="3">
        <f>AVERAGE(E45/E$9,I45/I$9,M45/M$9,N45/N$9,O45/O$9,Q45/Q$9,U45/U$9,Y45/Y$9)</f>
        <v>0.10172025491349959</v>
      </c>
      <c r="C45" s="3">
        <f>STDEV(E45/E$9,I45/I$9,M45/M$9,N45/N$9,O45/O$9,Q45/Q$9,U45/U$9,Y45/Y$9)/SQRT(D45)</f>
        <v>7.8612570435617653E-3</v>
      </c>
      <c r="D45">
        <f>COUNT(E45:AZ45)</f>
        <v>8</v>
      </c>
      <c r="E45">
        <v>4.6837999999999998E-2</v>
      </c>
      <c r="F45" s="49"/>
      <c r="I45">
        <v>3.6947000000000001E-2</v>
      </c>
      <c r="J45" s="49"/>
      <c r="M45">
        <v>3.2138756898211066E-2</v>
      </c>
      <c r="N45">
        <v>3.3183628762716154E-2</v>
      </c>
      <c r="O45">
        <v>4.2065102048788182E-2</v>
      </c>
      <c r="Q45">
        <v>2.6109E-2</v>
      </c>
      <c r="R45" s="49"/>
      <c r="U45">
        <v>3.6172000000000003E-2</v>
      </c>
      <c r="V45" s="49"/>
      <c r="Y45">
        <v>2.4146000000000001E-2</v>
      </c>
      <c r="Z45" s="49"/>
    </row>
    <row r="46" spans="1:26">
      <c r="A46" t="s">
        <v>56</v>
      </c>
      <c r="B46" s="3">
        <f>AVERAGE(E46/E$9,I46/I$9,M46/M$9,N46/N$9,O46/O$9,Q46/Q$9,U46/U$9,Y46/Y$9)</f>
        <v>4.3736119739221403E-2</v>
      </c>
      <c r="C46" s="3">
        <f>STDEV(E46/E$9,I46/I$9,M46/M$9,N46/N$9,O46/O$9,Q46/Q$9,U46/U$9,Y46/Y$9)/SQRT(D46)</f>
        <v>5.8791392370359458E-3</v>
      </c>
      <c r="D46">
        <f>COUNT(E46:AZ46)</f>
        <v>8</v>
      </c>
      <c r="E46">
        <v>1.8211000000000001E-2</v>
      </c>
      <c r="F46" s="49"/>
      <c r="I46">
        <v>1.2586E-2</v>
      </c>
      <c r="J46" s="49"/>
      <c r="M46">
        <v>2.0913813482504335E-2</v>
      </c>
      <c r="N46">
        <v>2.1753658720216312E-2</v>
      </c>
      <c r="O46">
        <v>1.5428690033083486E-2</v>
      </c>
      <c r="Q46">
        <v>3.5964E-3</v>
      </c>
      <c r="R46" s="49"/>
      <c r="U46">
        <v>1.2300999999999999E-2</v>
      </c>
      <c r="V46" s="49"/>
      <c r="Y46">
        <v>1.5848999999999999E-2</v>
      </c>
      <c r="Z46" s="49"/>
    </row>
    <row r="47" spans="1:26">
      <c r="A47" t="s">
        <v>57</v>
      </c>
      <c r="B47" s="3">
        <f>AVERAGE(M47/M$9,N47/N$9,O47/O$9)</f>
        <v>6.1658051163783978E-2</v>
      </c>
      <c r="C47" s="3">
        <f>STDEV(M47/M$9,N47/N$9,O47/O$9)/SQRT(D47)</f>
        <v>5.5750440084636416E-3</v>
      </c>
      <c r="D47">
        <f t="shared" si="6"/>
        <v>3</v>
      </c>
      <c r="F47" s="49"/>
      <c r="J47" s="49"/>
      <c r="M47">
        <v>1.7302023839028052E-2</v>
      </c>
      <c r="N47">
        <v>2.3434273291794528E-2</v>
      </c>
      <c r="O47">
        <v>2.2482717353563525E-2</v>
      </c>
      <c r="R47" s="49"/>
      <c r="V47" s="49"/>
      <c r="Z47" s="49"/>
    </row>
    <row r="48" spans="1:26">
      <c r="A48" t="s">
        <v>15</v>
      </c>
      <c r="B48" s="3">
        <f>AVERAGE(E48/E$9,I48/I$9,M48/M$9,N48/N$9,O48/O$9,Q48/Q$9,U48/U$9,Y48/Y$9)</f>
        <v>8.7309321542328955E-2</v>
      </c>
      <c r="C48" s="3">
        <f>STDEV(E48/E$9,I48/I$9,M48/M$9,N48/N$9,O48/O$9,Q48/Q$9,U48/U$9,Y48/Y$9)/SQRT(D48)</f>
        <v>6.7524723356268638E-3</v>
      </c>
      <c r="D48">
        <f>COUNT(E48:AZ48)</f>
        <v>8</v>
      </c>
      <c r="E48">
        <v>3.2287000000000003E-2</v>
      </c>
      <c r="F48" s="49"/>
      <c r="I48">
        <v>3.0195E-2</v>
      </c>
      <c r="J48" s="49"/>
      <c r="M48">
        <v>3.7490748887155166E-2</v>
      </c>
      <c r="N48">
        <v>3.4457051885978064E-2</v>
      </c>
      <c r="O48">
        <v>3.6823798545604081E-2</v>
      </c>
      <c r="Q48">
        <v>1.9366999999999999E-2</v>
      </c>
      <c r="R48" s="49"/>
      <c r="U48">
        <v>2.3605000000000001E-2</v>
      </c>
      <c r="V48" s="49"/>
      <c r="Y48">
        <v>2.4605999999999999E-2</v>
      </c>
      <c r="Z48" s="49"/>
    </row>
    <row r="49" spans="1:25">
      <c r="A49" t="s">
        <v>22</v>
      </c>
      <c r="B49" s="3">
        <f>AVERAGE(M49/M$9,N49/N$9,O49/O$9,Q49/Q$9,U49/U$9,Y49/Y$9)</f>
        <v>4.7262200294002653E-2</v>
      </c>
      <c r="C49" s="3">
        <f>STDEV(M49/M$9,N49/N$9,O49/O$9,Q49/Q$9,U49/U$9,Y49/Y$9)/SQRT(D49)</f>
        <v>8.1881979103776582E-3</v>
      </c>
      <c r="D49">
        <f>COUNT(E49:AZ49)</f>
        <v>6</v>
      </c>
      <c r="M49">
        <v>2.1352237569805733E-2</v>
      </c>
      <c r="N49">
        <v>2.0584312975834275E-2</v>
      </c>
      <c r="O49">
        <v>2.4103915088941694E-2</v>
      </c>
      <c r="Q49">
        <v>1.2109E-2</v>
      </c>
      <c r="U49">
        <v>1.064E-2</v>
      </c>
      <c r="Y49">
        <v>7.4939999999999998E-3</v>
      </c>
    </row>
    <row r="50" spans="1:25">
      <c r="A50" t="s">
        <v>59</v>
      </c>
      <c r="B50" t="s">
        <v>30</v>
      </c>
      <c r="C50" t="s">
        <v>30</v>
      </c>
    </row>
    <row r="51" spans="1:25">
      <c r="A51" t="s">
        <v>58</v>
      </c>
      <c r="B51" t="s">
        <v>30</v>
      </c>
      <c r="C51" t="s">
        <v>30</v>
      </c>
    </row>
    <row r="52" spans="1:25">
      <c r="A52" t="s">
        <v>151</v>
      </c>
    </row>
    <row r="53" spans="1:25">
      <c r="A53" s="1" t="s">
        <v>17</v>
      </c>
    </row>
    <row r="54" spans="1:25">
      <c r="A54" t="s">
        <v>7</v>
      </c>
      <c r="B54" s="3">
        <f>AVERAGE(E54/E$9,I54/I$9,M54/M$9,N54/N$9,O54/O$9,Q54/Q$9,U54/U$9,Y54/Y$9)</f>
        <v>2.4691174976210522E-2</v>
      </c>
      <c r="C54" s="3">
        <f>STDEV(E54/E$9,I54/I$9,M54/M$9,N54/N$9,O54/O$9,Q54/Q$9,U54/U$9,Y54/Y$9)/SQRT(D54)</f>
        <v>2.6124787693144456E-3</v>
      </c>
      <c r="D54">
        <f>COUNT(E54:AZ54)</f>
        <v>8</v>
      </c>
      <c r="E54">
        <v>9.2931999999999997E-3</v>
      </c>
      <c r="I54">
        <v>8.0123999999999994E-3</v>
      </c>
      <c r="M54">
        <v>1.0567174722382812E-2</v>
      </c>
      <c r="N54">
        <v>1.2297219563758476E-2</v>
      </c>
      <c r="O54">
        <v>1.0048671446347031E-2</v>
      </c>
      <c r="Q54">
        <v>4.8143999999999999E-3</v>
      </c>
      <c r="U54">
        <v>5.9334000000000001E-3</v>
      </c>
      <c r="Y54">
        <v>6.613E-3</v>
      </c>
    </row>
    <row r="55" spans="1:25">
      <c r="A55" t="s">
        <v>8</v>
      </c>
      <c r="B55" s="3">
        <f>AVERAGE(I55/I$9,M55/M$9,N55/N$9,O55/O$9,Q55/Q$9,U55/U$9,Y55/Y$9)</f>
        <v>7.3196169119935067E-2</v>
      </c>
      <c r="C55" s="3">
        <f>STDEV(I55/I$9,M55/M$9,N55/N$9,O55/O$9,Q55/Q$9,U55/U$9,Y55/Y$9)/SQRT(D55)</f>
        <v>1.2448345538150206E-2</v>
      </c>
      <c r="D55">
        <f>COUNT(E55:AZ55)</f>
        <v>7</v>
      </c>
      <c r="I55">
        <v>2.9995999999999998E-2</v>
      </c>
      <c r="M55">
        <v>2.9414874709277273E-2</v>
      </c>
      <c r="N55">
        <v>4.3824903769293468E-2</v>
      </c>
      <c r="O55">
        <v>2.8896016009247405E-2</v>
      </c>
      <c r="Q55">
        <v>1.2494999999999999E-2</v>
      </c>
      <c r="U55">
        <v>1.3247E-2</v>
      </c>
      <c r="Y55">
        <v>1.7409999999999998E-2</v>
      </c>
    </row>
    <row r="56" spans="1:25">
      <c r="A56" t="s">
        <v>9</v>
      </c>
      <c r="B56" s="3">
        <f>AVERAGE(E56/E$9,I56/I$9,M56/M$9,N56/N$9,O56/O$9,Q56/Q$9,U56/U$9,Y56/Y$9)</f>
        <v>0.1375685827557894</v>
      </c>
      <c r="C56" s="3">
        <f>STDEV(E56/E$9,I56/I$9,M56/M$9,N56/N$9,O56/O$9,Q56/Q$9,U56/U$9,Y56/Y$9)/SQRT(D56)</f>
        <v>1.4675893218364409E-2</v>
      </c>
      <c r="D56">
        <f>COUNT(E56:AZ56)</f>
        <v>8</v>
      </c>
      <c r="E56">
        <v>5.1631999999999997E-2</v>
      </c>
      <c r="I56">
        <v>5.0300999999999998E-2</v>
      </c>
      <c r="M56">
        <v>5.6923492931060526E-2</v>
      </c>
      <c r="N56">
        <v>6.7251455965872772E-2</v>
      </c>
      <c r="O56">
        <v>5.6987695622708869E-2</v>
      </c>
      <c r="Q56">
        <v>2.8524999999999998E-2</v>
      </c>
      <c r="U56">
        <v>3.1567999999999999E-2</v>
      </c>
      <c r="Y56">
        <v>3.2785000000000002E-2</v>
      </c>
    </row>
    <row r="57" spans="1:25">
      <c r="A57" t="s">
        <v>10</v>
      </c>
      <c r="B57" s="3">
        <f>AVERAGE(E57/E$9,I57/I$9,M57/M$9,N57/N$9,O57/O$9,Q57/Q$9,U57/U$9,Y57/Y$9)</f>
        <v>2.2168809411821939E-2</v>
      </c>
      <c r="C57" s="3">
        <f>STDEV(E57/E$9,I57/I$9,M57/M$9,N57/N$9,O57/O$9,Q57/Q$9,U57/U$9,Y57/Y$9)/SQRT(D57)</f>
        <v>3.8538796587332331E-3</v>
      </c>
      <c r="D57">
        <f>COUNT(E57:AZ57)</f>
        <v>8</v>
      </c>
      <c r="E57">
        <v>1.0848E-2</v>
      </c>
      <c r="I57">
        <v>1.0652999999999999E-2</v>
      </c>
      <c r="M57">
        <v>9.4588568364179434E-3</v>
      </c>
      <c r="N57">
        <v>9.9633515959752939E-3</v>
      </c>
      <c r="O57">
        <v>1.0237418315215477E-2</v>
      </c>
      <c r="Q57">
        <v>1.8166E-3</v>
      </c>
      <c r="U57">
        <v>3.8487999999999999E-3</v>
      </c>
      <c r="Y57">
        <v>3.9563999999999997E-3</v>
      </c>
    </row>
    <row r="58" spans="1:25">
      <c r="A58" t="s">
        <v>11</v>
      </c>
      <c r="B58" s="3">
        <f>AVERAGE(E58/E$9,I58/I$9,M58/M$9,N58/N$9,O58/O$9,Q58/Q$9,U58/U$9,Y58/Y$9)</f>
        <v>0.16889199568651078</v>
      </c>
      <c r="C58" s="3">
        <f>STDEV(E58/E$9,I58/I$9,M58/M$9,N58/N$9,O58/O$9,Q58/Q$9,U58/U$9,Y58/Y$9)/SQRT(D58)</f>
        <v>1.9001684632577419E-2</v>
      </c>
      <c r="D58">
        <f>COUNT(E58:AZ58)</f>
        <v>8</v>
      </c>
      <c r="E58">
        <v>7.6361999999999999E-2</v>
      </c>
      <c r="I58">
        <v>7.0707999999999993E-2</v>
      </c>
      <c r="M58">
        <v>6.5537032173872842E-2</v>
      </c>
      <c r="N58">
        <v>7.6974811677829019E-2</v>
      </c>
      <c r="O58">
        <v>6.196959379412393E-2</v>
      </c>
      <c r="Q58">
        <v>2.9718999999999999E-2</v>
      </c>
      <c r="U58">
        <v>3.3722000000000002E-2</v>
      </c>
      <c r="Y58">
        <v>4.7738999999999997E-2</v>
      </c>
    </row>
    <row r="59" spans="1:25">
      <c r="A59" t="s">
        <v>49</v>
      </c>
      <c r="B59" t="s">
        <v>30</v>
      </c>
      <c r="C59" t="s">
        <v>30</v>
      </c>
      <c r="D59">
        <f t="shared" ref="D59" si="7">COUNT(E59:AZ59)</f>
        <v>0</v>
      </c>
    </row>
    <row r="60" spans="1:25">
      <c r="A60" t="s">
        <v>12</v>
      </c>
      <c r="B60" s="3">
        <f>AVERAGE(E60/E$9,I60/I$9,M60/M$9,N60/N$9,O60/O$9,Q60/Q$9,U60/U$9,Y60/Y$9)</f>
        <v>6.5364309377836827E-2</v>
      </c>
      <c r="C60" s="3">
        <f>STDEV(E60/E$9,I60/I$9,M60/M$9,N60/N$9,O60/O$9,Q60/Q$9,U60/U$9,Y60/Y$9)/SQRT(D60)</f>
        <v>8.6948756101907516E-3</v>
      </c>
      <c r="D60">
        <f>COUNT(E60:AZ60)</f>
        <v>8</v>
      </c>
      <c r="E60">
        <v>2.6787999999999999E-2</v>
      </c>
      <c r="I60">
        <v>2.7819E-2</v>
      </c>
      <c r="M60">
        <v>2.6575393525233762E-2</v>
      </c>
      <c r="N60">
        <v>3.325056789878876E-2</v>
      </c>
      <c r="O60">
        <v>2.6658354778686895E-2</v>
      </c>
      <c r="Q60">
        <v>1.0806E-2</v>
      </c>
      <c r="U60">
        <v>1.2356000000000001E-2</v>
      </c>
      <c r="Y60">
        <v>1.4585000000000001E-2</v>
      </c>
    </row>
    <row r="61" spans="1:25">
      <c r="A61" t="s">
        <v>13</v>
      </c>
      <c r="B61" s="3">
        <f>AVERAGE(E61/E$9,I61/I$9,M61/M$9,N61/N$9,O61/O$9,Q61/Q$9,U61/U$9,Y61/Y$9)</f>
        <v>7.8620761413060639E-2</v>
      </c>
      <c r="C61" s="3">
        <f>STDEV(E61/E$9,I61/I$9,M61/M$9,N61/N$9,O61/O$9,Q61/Q$9,U61/U$9,Y61/Y$9)/SQRT(D61)</f>
        <v>1.3600078324453908E-2</v>
      </c>
      <c r="D61">
        <f>COUNT(E61:AZ61)</f>
        <v>8</v>
      </c>
      <c r="E61">
        <v>3.6360999999999997E-2</v>
      </c>
      <c r="I61">
        <v>3.6227000000000002E-2</v>
      </c>
      <c r="M61">
        <v>3.6769645361707251E-2</v>
      </c>
      <c r="N61">
        <v>3.8561879806152319E-2</v>
      </c>
      <c r="O61">
        <v>3.3802742223683513E-2</v>
      </c>
      <c r="Q61">
        <v>1.0345999999999999E-2</v>
      </c>
      <c r="U61">
        <v>1.1802E-2</v>
      </c>
      <c r="Y61">
        <v>1.0963000000000001E-2</v>
      </c>
    </row>
    <row r="62" spans="1:25">
      <c r="A62" t="s">
        <v>14</v>
      </c>
      <c r="B62" s="3">
        <f>AVERAGE(E62/E$9,I62/I$9,M62/M$9,N62/N$9,O62/O$9,Q62/Q$9,U62/U$9,Y62/Y$9)</f>
        <v>9.9641125284159526E-2</v>
      </c>
      <c r="C62" s="3">
        <f>STDEV(E62/E$9,I62/I$9,M62/M$9,N62/N$9,O62/O$9,Q62/Q$9,U62/U$9,Y62/Y$9)/SQRT(D62)</f>
        <v>9.3929042200812246E-3</v>
      </c>
      <c r="D62">
        <f>COUNT(E62:AZ62)</f>
        <v>8</v>
      </c>
      <c r="E62">
        <v>4.7507000000000001E-2</v>
      </c>
      <c r="I62">
        <v>3.6506999999999998E-2</v>
      </c>
      <c r="M62">
        <v>3.3500737407727042E-2</v>
      </c>
      <c r="N62">
        <v>3.5856862657938665E-2</v>
      </c>
      <c r="O62">
        <v>4.3567992737026301E-2</v>
      </c>
      <c r="Q62">
        <v>2.2296E-2</v>
      </c>
      <c r="U62">
        <v>3.1192999999999999E-2</v>
      </c>
      <c r="Y62">
        <v>2.1651E-2</v>
      </c>
    </row>
    <row r="63" spans="1:25">
      <c r="A63" t="s">
        <v>56</v>
      </c>
      <c r="B63" s="3">
        <f>AVERAGE(E63/E$9,I63/I$9,M63/M$9,N63/N$9,O63/O$9,Q63/Q$9,U63/U$9,Y63/Y$9)</f>
        <v>3.5477320069036741E-2</v>
      </c>
      <c r="C63" s="3">
        <f>STDEV(E63/E$9,I63/I$9,M63/M$9,N63/N$9,O63/O$9,Q63/Q$9,U63/U$9,Y63/Y$9)/SQRT(D63)</f>
        <v>9.1036647586752589E-3</v>
      </c>
      <c r="D63">
        <f>COUNT(E63:AZ63)</f>
        <v>8</v>
      </c>
      <c r="E63">
        <v>1.7947999999999999E-2</v>
      </c>
      <c r="I63">
        <v>1.7127E-2</v>
      </c>
      <c r="M63">
        <v>2.6133081580906412E-2</v>
      </c>
      <c r="N63">
        <v>1.545087989364493E-2</v>
      </c>
      <c r="O63">
        <v>1.2018936411336256E-2</v>
      </c>
      <c r="Q63">
        <v>9.3515999999999998E-4</v>
      </c>
      <c r="U63">
        <v>1.5294E-3</v>
      </c>
      <c r="Y63">
        <v>6.2861000000000002E-3</v>
      </c>
    </row>
    <row r="64" spans="1:25">
      <c r="A64" t="s">
        <v>57</v>
      </c>
      <c r="B64" s="3">
        <f>AVERAGE(M64/M$9,N64/N$9,O64/O$9)</f>
        <v>5.9125122049528828E-2</v>
      </c>
      <c r="C64" s="3">
        <f>STDEV(M64/M$9,N64/N$9,O64/O$9)/SQRT(D64)</f>
        <v>1.9814314057377581E-3</v>
      </c>
      <c r="D64">
        <f t="shared" ref="D64" si="8">COUNT(E64:AZ64)</f>
        <v>3</v>
      </c>
      <c r="M64">
        <v>1.9338792197775026E-2</v>
      </c>
      <c r="N64">
        <v>2.1541604214067284E-2</v>
      </c>
      <c r="O64">
        <v>1.9741564170585982E-2</v>
      </c>
    </row>
    <row r="65" spans="1:25">
      <c r="A65" t="s">
        <v>15</v>
      </c>
      <c r="B65" s="3">
        <f>AVERAGE(E65/E$9,I65/I$9,M65/M$9,N65/N$9,O65/O$9,Q65/Q$9,U65/U$9,Y65/Y$9)</f>
        <v>7.587182091073405E-2</v>
      </c>
      <c r="C65" s="3">
        <f>STDEV(E65/E$9,I65/I$9,M65/M$9,N65/N$9,O65/O$9,Q65/Q$9,U65/U$9,Y65/Y$9)/SQRT(D65)</f>
        <v>1.0143970954047413E-2</v>
      </c>
      <c r="D65">
        <f>COUNT(E65:AZ65)</f>
        <v>8</v>
      </c>
      <c r="E65">
        <v>3.1421999999999999E-2</v>
      </c>
      <c r="I65">
        <v>3.0882E-2</v>
      </c>
      <c r="M65">
        <v>3.3337303682052725E-2</v>
      </c>
      <c r="N65">
        <v>3.2374415278453784E-2</v>
      </c>
      <c r="O65">
        <v>3.6069309081149609E-2</v>
      </c>
      <c r="Q65">
        <v>1.2999999999999999E-2</v>
      </c>
      <c r="U65">
        <v>1.8166000000000002E-2</v>
      </c>
      <c r="Y65">
        <v>1.1931000000000001E-2</v>
      </c>
    </row>
    <row r="66" spans="1:25">
      <c r="A66" t="s">
        <v>22</v>
      </c>
      <c r="B66" s="3">
        <f>AVERAGE(M66/M$9,N66/N$9,O66/O$9,Q66/Q$9,U66/U$9,Y66/Y$9)</f>
        <v>3.7780485736691863E-2</v>
      </c>
      <c r="C66" s="3">
        <f>STDEV(M66/M$9,N66/N$9,O66/O$9,Q66/Q$9,U66/U$9,Y66/Y$9)/SQRT(D66)</f>
        <v>6.5470363775811946E-3</v>
      </c>
      <c r="D66">
        <f>COUNT(E66:AZ66)</f>
        <v>6</v>
      </c>
      <c r="M66">
        <v>1.823955465874488E-2</v>
      </c>
      <c r="N66">
        <v>1.6723245354477435E-2</v>
      </c>
      <c r="O66">
        <v>1.8641962121920121E-2</v>
      </c>
      <c r="Q66">
        <v>7.7697E-3</v>
      </c>
      <c r="U66">
        <v>7.8340000000000007E-3</v>
      </c>
      <c r="Y66">
        <v>8.1457999999999999E-3</v>
      </c>
    </row>
    <row r="67" spans="1:25">
      <c r="A67" t="s">
        <v>59</v>
      </c>
      <c r="B67" t="s">
        <v>30</v>
      </c>
      <c r="C67" t="s">
        <v>30</v>
      </c>
    </row>
    <row r="68" spans="1:25">
      <c r="A68" t="s">
        <v>58</v>
      </c>
      <c r="B68" t="s">
        <v>30</v>
      </c>
      <c r="C68" t="s">
        <v>30</v>
      </c>
    </row>
    <row r="69" spans="1:25">
      <c r="A69" t="s">
        <v>151</v>
      </c>
    </row>
    <row r="81" spans="1:30">
      <c r="A81" s="1" t="s">
        <v>32</v>
      </c>
      <c r="E81" s="13">
        <v>43502</v>
      </c>
      <c r="I81" s="13">
        <v>43502</v>
      </c>
      <c r="M81" s="13">
        <v>43530</v>
      </c>
      <c r="Q81" s="13">
        <v>43530</v>
      </c>
      <c r="U81" s="13"/>
      <c r="Y81" s="13"/>
      <c r="AC81" s="13"/>
    </row>
    <row r="82" spans="1:30">
      <c r="A82" s="1" t="s">
        <v>33</v>
      </c>
      <c r="E82" s="14" t="s">
        <v>113</v>
      </c>
      <c r="I82" s="14" t="s">
        <v>113</v>
      </c>
      <c r="M82" s="14" t="s">
        <v>113</v>
      </c>
      <c r="Q82" s="14" t="s">
        <v>113</v>
      </c>
      <c r="U82" s="14" t="s">
        <v>252</v>
      </c>
      <c r="Y82" s="14" t="s">
        <v>252</v>
      </c>
      <c r="AC82" s="14" t="s">
        <v>252</v>
      </c>
    </row>
    <row r="83" spans="1:30">
      <c r="A83" s="1" t="s">
        <v>34</v>
      </c>
      <c r="E83" s="28" t="s">
        <v>165</v>
      </c>
      <c r="I83" s="28" t="s">
        <v>167</v>
      </c>
      <c r="M83" s="28" t="s">
        <v>168</v>
      </c>
      <c r="Q83" s="28" t="s">
        <v>170</v>
      </c>
      <c r="U83" s="28" t="s">
        <v>257</v>
      </c>
      <c r="Y83" s="28" t="s">
        <v>259</v>
      </c>
      <c r="AC83" s="28" t="s">
        <v>260</v>
      </c>
    </row>
    <row r="84" spans="1:30">
      <c r="A84" s="1" t="s">
        <v>35</v>
      </c>
      <c r="E84" s="14" t="s">
        <v>52</v>
      </c>
      <c r="I84" s="14" t="s">
        <v>52</v>
      </c>
      <c r="M84" s="14" t="s">
        <v>52</v>
      </c>
      <c r="Q84" s="14" t="s">
        <v>52</v>
      </c>
      <c r="U84" s="14" t="s">
        <v>52</v>
      </c>
      <c r="Y84" s="14" t="s">
        <v>52</v>
      </c>
      <c r="AC84" s="14" t="s">
        <v>52</v>
      </c>
    </row>
    <row r="85" spans="1:30" ht="32">
      <c r="A85" s="1" t="s">
        <v>36</v>
      </c>
      <c r="E85" s="38" t="s">
        <v>163</v>
      </c>
      <c r="I85" s="38" t="s">
        <v>163</v>
      </c>
      <c r="M85" s="38" t="s">
        <v>163</v>
      </c>
      <c r="Q85" s="38" t="s">
        <v>163</v>
      </c>
      <c r="U85" s="38" t="s">
        <v>163</v>
      </c>
      <c r="Y85" s="38" t="s">
        <v>163</v>
      </c>
      <c r="AC85" s="38" t="s">
        <v>163</v>
      </c>
    </row>
    <row r="86" spans="1:30">
      <c r="A86" s="1" t="s">
        <v>37</v>
      </c>
      <c r="E86" s="2">
        <v>200</v>
      </c>
      <c r="I86" s="2">
        <v>200</v>
      </c>
      <c r="M86" s="2">
        <v>200</v>
      </c>
      <c r="Q86" s="2">
        <v>200</v>
      </c>
      <c r="U86" s="2">
        <v>200</v>
      </c>
      <c r="Y86" s="2">
        <v>200</v>
      </c>
      <c r="AC86" s="2">
        <v>200</v>
      </c>
    </row>
    <row r="87" spans="1:30">
      <c r="A87" s="1" t="s">
        <v>38</v>
      </c>
      <c r="E87" s="2">
        <v>0.1</v>
      </c>
      <c r="I87" s="2">
        <v>0.1</v>
      </c>
      <c r="M87" s="2">
        <v>0.1</v>
      </c>
      <c r="Q87" s="2">
        <v>0.1</v>
      </c>
      <c r="U87" s="2">
        <v>0.1</v>
      </c>
      <c r="Y87" s="2">
        <v>0.1</v>
      </c>
      <c r="AC87" s="2">
        <v>0.1</v>
      </c>
    </row>
    <row r="88" spans="1:30">
      <c r="A88" s="1" t="s">
        <v>43</v>
      </c>
      <c r="E88">
        <f>F110*F88</f>
        <v>0.16876404494382025</v>
      </c>
      <c r="F88" s="43">
        <f>1/0.89</f>
        <v>1.1235955056179776</v>
      </c>
      <c r="I88">
        <f>J110*J88</f>
        <v>0.20191011235955059</v>
      </c>
      <c r="J88" s="43">
        <f>1/0.89</f>
        <v>1.1235955056179776</v>
      </c>
      <c r="M88">
        <f>N110*N88</f>
        <v>0.18685393258426969</v>
      </c>
      <c r="N88" s="43">
        <f>1/0.89</f>
        <v>1.1235955056179776</v>
      </c>
      <c r="Q88">
        <f>R110*R88</f>
        <v>0.17977528089887643</v>
      </c>
      <c r="R88" s="43">
        <f>1/0.89</f>
        <v>1.1235955056179776</v>
      </c>
      <c r="U88">
        <f>V110*V88</f>
        <v>0.21643182561456584</v>
      </c>
      <c r="V88" s="43">
        <f>1/0.89</f>
        <v>1.1235955056179776</v>
      </c>
      <c r="Y88">
        <f>Z110*Z88</f>
        <v>0.24488367319602922</v>
      </c>
      <c r="Z88" s="43">
        <f>1/0.89</f>
        <v>1.1235955056179776</v>
      </c>
      <c r="AC88">
        <f>AD110*AD88</f>
        <v>0.11080881827768621</v>
      </c>
      <c r="AD88" s="43">
        <f>1/0.89</f>
        <v>1.1235955056179776</v>
      </c>
    </row>
    <row r="89" spans="1:30">
      <c r="A89" s="1" t="s">
        <v>54</v>
      </c>
      <c r="E89">
        <f>E88</f>
        <v>0.16876404494382025</v>
      </c>
      <c r="I89">
        <f>I88</f>
        <v>0.20191011235955059</v>
      </c>
      <c r="M89">
        <f>M88</f>
        <v>0.18685393258426969</v>
      </c>
      <c r="Q89">
        <f>Q88</f>
        <v>0.17977528089887643</v>
      </c>
      <c r="U89">
        <f>U88</f>
        <v>0.21643182561456584</v>
      </c>
      <c r="Y89">
        <f>Y88</f>
        <v>0.24488367319602922</v>
      </c>
      <c r="AC89">
        <f>AC88</f>
        <v>0.11080881827768621</v>
      </c>
    </row>
    <row r="90" spans="1:30">
      <c r="A90" s="1" t="s">
        <v>44</v>
      </c>
      <c r="E90" s="21">
        <f>E86*E87*(1-E88)/E88</f>
        <v>98.508655126497985</v>
      </c>
      <c r="I90" s="21">
        <f>I86*I87*(1-I88)/I88</f>
        <v>79.053978853644949</v>
      </c>
      <c r="M90" s="21">
        <f>M86*M87*(1-M88)/M88</f>
        <v>87.035478051713753</v>
      </c>
      <c r="Q90" s="21">
        <f>Q86*Q87*(1-Q88)/Q88</f>
        <v>91.249999999999986</v>
      </c>
      <c r="U90" s="21">
        <f>U86*U87*(1-U88)/U88</f>
        <v>72.407851494156603</v>
      </c>
      <c r="Y90" s="21">
        <f>Y86*Y87*(1-Y88)/Y88</f>
        <v>61.671430924633398</v>
      </c>
      <c r="AC90" s="21">
        <f>AC86*AC87*(1-AC88)/AC88</f>
        <v>160.49105035918822</v>
      </c>
    </row>
    <row r="91" spans="1:30">
      <c r="A91" s="1"/>
    </row>
    <row r="92" spans="1:30">
      <c r="A92" s="1" t="s">
        <v>33</v>
      </c>
      <c r="E92" t="s">
        <v>113</v>
      </c>
      <c r="G92" t="s">
        <v>39</v>
      </c>
      <c r="I92" t="s">
        <v>113</v>
      </c>
      <c r="K92" t="s">
        <v>39</v>
      </c>
      <c r="M92" t="s">
        <v>113</v>
      </c>
      <c r="Q92" t="s">
        <v>113</v>
      </c>
      <c r="U92" t="s">
        <v>252</v>
      </c>
      <c r="Y92" t="s">
        <v>252</v>
      </c>
      <c r="AC92" t="s">
        <v>252</v>
      </c>
    </row>
    <row r="93" spans="1:30">
      <c r="A93" s="1" t="s">
        <v>45</v>
      </c>
      <c r="E93" t="s">
        <v>47</v>
      </c>
      <c r="G93" t="s">
        <v>85</v>
      </c>
      <c r="I93" t="s">
        <v>47</v>
      </c>
      <c r="K93" t="s">
        <v>85</v>
      </c>
      <c r="M93" t="s">
        <v>106</v>
      </c>
      <c r="Q93" t="s">
        <v>106</v>
      </c>
      <c r="U93" t="s">
        <v>47</v>
      </c>
      <c r="Y93" t="s">
        <v>47</v>
      </c>
      <c r="AC93" t="s">
        <v>47</v>
      </c>
    </row>
    <row r="94" spans="1:30" ht="57">
      <c r="A94" s="12" t="s">
        <v>31</v>
      </c>
      <c r="E94" s="68" t="s">
        <v>166</v>
      </c>
      <c r="G94" t="s">
        <v>287</v>
      </c>
      <c r="I94" s="68" t="s">
        <v>166</v>
      </c>
      <c r="K94" t="s">
        <v>287</v>
      </c>
      <c r="M94" s="68" t="s">
        <v>169</v>
      </c>
      <c r="Q94" s="68" t="s">
        <v>169</v>
      </c>
      <c r="U94" s="20" t="s">
        <v>253</v>
      </c>
      <c r="Y94" s="20" t="s">
        <v>253</v>
      </c>
      <c r="AC94" s="20" t="s">
        <v>253</v>
      </c>
    </row>
    <row r="96" spans="1:30">
      <c r="A96" s="1" t="s">
        <v>50</v>
      </c>
    </row>
    <row r="97" spans="1:30">
      <c r="B97" s="1" t="s">
        <v>5</v>
      </c>
      <c r="C97" s="1" t="s">
        <v>6</v>
      </c>
      <c r="D97" s="1" t="s">
        <v>55</v>
      </c>
    </row>
    <row r="98" spans="1:30">
      <c r="A98" s="1" t="s">
        <v>0</v>
      </c>
    </row>
    <row r="99" spans="1:30">
      <c r="A99" t="s">
        <v>60</v>
      </c>
      <c r="B99" s="3">
        <f>AVERAGE(E99/E$89,I99/I$89,M99/M$89,Q99/Q$89,U99/U$89,Y99/Y$89,AC99/AC$89)</f>
        <v>1.5763377938216184E-2</v>
      </c>
      <c r="C99" s="3">
        <f>STDEV(E99/E$89,I99/I$89,M99/M$89,Q99/Q$89,U99/U$89,Y99/Y$89,AC99/AC$89)/SQRT(D99)</f>
        <v>3.3034608182174797E-3</v>
      </c>
      <c r="D99">
        <f>COUNT(E99:AZ99)</f>
        <v>7</v>
      </c>
      <c r="E99">
        <v>1.6593999999999999E-3</v>
      </c>
      <c r="I99">
        <v>1.6708999999999999E-3</v>
      </c>
      <c r="M99">
        <v>3.3015000000000002E-3</v>
      </c>
      <c r="Q99">
        <v>4.9531999999999996E-3</v>
      </c>
      <c r="U99">
        <v>6.0390000000000001E-3</v>
      </c>
      <c r="Y99">
        <v>2.2951999999999998E-3</v>
      </c>
      <c r="AC99">
        <v>1.0792E-3</v>
      </c>
    </row>
    <row r="100" spans="1:30">
      <c r="A100" t="s">
        <v>61</v>
      </c>
      <c r="B100" s="3">
        <f>AVERAGE(E100/E$89,I100/I$89,M100/M$89,Q100/Q$89,U100/U$89,Y100/Y$89,AC100/AC$89)</f>
        <v>2.280383893676393E-2</v>
      </c>
      <c r="C100" s="3">
        <f>STDEV(E100/E$89,I100/I$89,M100/M$89,Q100/Q$89,U100/U$89,Y100/Y$89,AC100/AC$89)/SQRT(D100)</f>
        <v>5.1815556576481694E-3</v>
      </c>
      <c r="D100">
        <f>COUNT(E100:AZ100)</f>
        <v>7</v>
      </c>
      <c r="E100">
        <v>2.6683000000000002E-3</v>
      </c>
      <c r="I100">
        <v>2.3854000000000002E-3</v>
      </c>
      <c r="M100">
        <v>9.2186000000000004E-3</v>
      </c>
      <c r="Q100">
        <v>3.7325000000000001E-3</v>
      </c>
      <c r="U100">
        <v>7.0276999999999996E-3</v>
      </c>
      <c r="Y100">
        <v>2.7279000000000001E-3</v>
      </c>
      <c r="AC100">
        <v>2.0271E-3</v>
      </c>
    </row>
    <row r="101" spans="1:30">
      <c r="A101" t="s">
        <v>62</v>
      </c>
      <c r="B101" s="3">
        <f>AVERAGE(E101/E$89,I101/I$89,M101/M$89,Q101/Q$89,U101/U$89,Y101/Y$89,AC101/AC$89)</f>
        <v>4.7727900611275596E-2</v>
      </c>
      <c r="C101" s="3">
        <f>STDEV(E101/E$89,I101/I$89,M101/M$89,Q101/Q$89,U101/U$89,Y101/Y$89,AC101/AC$89)/SQRT(D101)</f>
        <v>6.3297591570554085E-3</v>
      </c>
      <c r="D101">
        <f>COUNT(E101:AZ101)</f>
        <v>7</v>
      </c>
      <c r="E101">
        <v>7.5782000000000002E-3</v>
      </c>
      <c r="I101">
        <v>7.6249000000000004E-3</v>
      </c>
      <c r="M101">
        <v>5.4400999999999998E-3</v>
      </c>
      <c r="Q101">
        <v>6.0270999999999996E-3</v>
      </c>
      <c r="U101">
        <v>1.4324E-2</v>
      </c>
      <c r="Y101">
        <v>1.1923E-2</v>
      </c>
      <c r="AC101">
        <v>8.1905999999999993E-3</v>
      </c>
    </row>
    <row r="102" spans="1:30">
      <c r="A102" t="s">
        <v>63</v>
      </c>
      <c r="B102" s="3">
        <f>AVERAGE(E102/E$89,I102/I$89,M102/M$89,Q102/Q$89,U102/U$89,Y102/Y$89,AC102/AC$89)</f>
        <v>1.2849124159747731E-2</v>
      </c>
      <c r="C102" s="3">
        <f>STDEV(E102/E$89,I102/I$89,M102/M$89,Q102/Q$89,U102/U$89,Y102/Y$89,AC102/AC$89)/SQRT(D102)</f>
        <v>2.9551155595987275E-3</v>
      </c>
      <c r="D102">
        <f>COUNT(E102:AZ102)</f>
        <v>7</v>
      </c>
      <c r="E102">
        <v>1.2698E-3</v>
      </c>
      <c r="I102">
        <v>1.9086000000000001E-3</v>
      </c>
      <c r="M102">
        <v>3.7800000000000003E-4</v>
      </c>
      <c r="Q102">
        <v>1.5275E-3</v>
      </c>
      <c r="U102">
        <v>4.5475000000000003E-3</v>
      </c>
      <c r="Y102">
        <v>4.9829999999999996E-3</v>
      </c>
      <c r="AC102">
        <v>2.3367000000000001E-3</v>
      </c>
    </row>
    <row r="103" spans="1:30">
      <c r="A103" t="s">
        <v>64</v>
      </c>
      <c r="B103" s="3">
        <f t="shared" ref="B103" si="9">AVERAGE(E103/E$89,I103/I$89,M103/M$89,Q103/Q$89)</f>
        <v>5.1099162409824796E-3</v>
      </c>
      <c r="C103" s="3">
        <f t="shared" ref="C103" si="10">STDEV(E103/E$89,I103/I$89,M103/M$89,Q103/Q$89)/SQRT(D103)</f>
        <v>1.0203757274774318E-3</v>
      </c>
      <c r="D103">
        <f t="shared" ref="D103:D111" si="11">COUNT(E103:AZ103)</f>
        <v>4</v>
      </c>
      <c r="E103">
        <v>6.3323999999999997E-4</v>
      </c>
      <c r="I103">
        <v>6.0479999999999996E-4</v>
      </c>
      <c r="M103">
        <v>1.3305999999999999E-3</v>
      </c>
      <c r="Q103">
        <v>1.1812999999999999E-3</v>
      </c>
      <c r="U103" t="s">
        <v>30</v>
      </c>
      <c r="Y103" t="s">
        <v>30</v>
      </c>
      <c r="AC103" t="s">
        <v>30</v>
      </c>
    </row>
    <row r="104" spans="1:30">
      <c r="A104" t="s">
        <v>65</v>
      </c>
      <c r="B104" s="3">
        <f t="shared" ref="B104:B109" si="12">AVERAGE(E104/E$89,I104/I$89,M104/M$89,Q104/Q$89,U104/U$89,Y104/Y$89,AC104/AC$89)</f>
        <v>1.7239297402210571E-3</v>
      </c>
      <c r="C104" s="3">
        <f t="shared" ref="C104:C109" si="13">STDEV(E104/E$89,I104/I$89,M104/M$89,Q104/Q$89,U104/U$89,Y104/Y$89,AC104/AC$89)/SQRT(D104)</f>
        <v>6.0563683288192348E-4</v>
      </c>
      <c r="D104">
        <f t="shared" ref="D104:D109" si="14">COUNT(E104:AZ104)</f>
        <v>7</v>
      </c>
      <c r="E104">
        <v>1.0509E-4</v>
      </c>
      <c r="I104">
        <v>7.7780999999999998E-4</v>
      </c>
      <c r="M104" s="15">
        <v>4.8485999999999996E-6</v>
      </c>
      <c r="N104" s="15"/>
      <c r="Q104" s="15">
        <v>6.6482000000000005E-5</v>
      </c>
      <c r="U104">
        <v>1.9968000000000001E-4</v>
      </c>
      <c r="Y104">
        <v>6.7181999999999995E-4</v>
      </c>
      <c r="AC104">
        <v>3.9124E-4</v>
      </c>
    </row>
    <row r="105" spans="1:30">
      <c r="A105" t="s">
        <v>66</v>
      </c>
      <c r="B105" s="3">
        <f t="shared" si="12"/>
        <v>9.928447330756982E-5</v>
      </c>
      <c r="C105" s="3">
        <f t="shared" si="13"/>
        <v>5.9798545778645259E-5</v>
      </c>
      <c r="D105">
        <f t="shared" si="14"/>
        <v>7</v>
      </c>
      <c r="E105" s="15">
        <v>7.2069000000000004E-5</v>
      </c>
      <c r="I105">
        <v>0</v>
      </c>
      <c r="M105">
        <v>0</v>
      </c>
      <c r="N105" s="15"/>
      <c r="Q105" s="15">
        <v>2.0217E-5</v>
      </c>
      <c r="U105">
        <v>0</v>
      </c>
      <c r="V105" s="15"/>
      <c r="Y105" s="15">
        <v>3.8077999999999997E-5</v>
      </c>
      <c r="AC105">
        <v>0</v>
      </c>
    </row>
    <row r="106" spans="1:30">
      <c r="A106" t="s">
        <v>67</v>
      </c>
      <c r="B106" s="3">
        <f t="shared" si="12"/>
        <v>1.7923817473567056E-4</v>
      </c>
      <c r="C106" s="3">
        <f t="shared" si="13"/>
        <v>1.7923817473567053E-4</v>
      </c>
      <c r="D106">
        <f t="shared" si="14"/>
        <v>7</v>
      </c>
      <c r="E106">
        <v>0</v>
      </c>
      <c r="I106">
        <v>2.5333000000000002E-4</v>
      </c>
      <c r="M106">
        <v>0</v>
      </c>
      <c r="Q106">
        <v>0</v>
      </c>
      <c r="U106">
        <v>0</v>
      </c>
      <c r="Y106">
        <v>0</v>
      </c>
      <c r="AC106">
        <v>0</v>
      </c>
    </row>
    <row r="107" spans="1:30">
      <c r="A107" t="s">
        <v>71</v>
      </c>
      <c r="B107" s="3">
        <f t="shared" si="12"/>
        <v>7.6685315618507958E-4</v>
      </c>
      <c r="C107" s="3">
        <f t="shared" si="13"/>
        <v>7.6685315618507969E-4</v>
      </c>
      <c r="D107">
        <f t="shared" si="14"/>
        <v>7</v>
      </c>
      <c r="E107">
        <v>0</v>
      </c>
      <c r="I107">
        <v>0</v>
      </c>
      <c r="M107">
        <v>0</v>
      </c>
      <c r="Q107">
        <v>0</v>
      </c>
      <c r="U107">
        <v>1.1617999999999999E-3</v>
      </c>
      <c r="Y107">
        <v>0</v>
      </c>
      <c r="AC107">
        <v>0</v>
      </c>
    </row>
    <row r="108" spans="1:30">
      <c r="A108" t="s">
        <v>72</v>
      </c>
      <c r="B108" s="3">
        <f t="shared" si="12"/>
        <v>6.328336186592314E-3</v>
      </c>
      <c r="C108" s="3">
        <f t="shared" si="13"/>
        <v>4.3367068913252827E-3</v>
      </c>
      <c r="D108">
        <f t="shared" si="14"/>
        <v>7</v>
      </c>
      <c r="E108">
        <v>0</v>
      </c>
      <c r="I108">
        <v>0</v>
      </c>
      <c r="M108">
        <v>5.8687000000000001E-3</v>
      </c>
      <c r="Q108">
        <v>0</v>
      </c>
      <c r="U108">
        <v>1.2679E-3</v>
      </c>
      <c r="Y108">
        <v>0</v>
      </c>
      <c r="AC108">
        <v>7.7923000000000001E-4</v>
      </c>
    </row>
    <row r="109" spans="1:30">
      <c r="A109" t="s">
        <v>69</v>
      </c>
      <c r="B109" s="3">
        <f t="shared" si="12"/>
        <v>5.514653835701213E-2</v>
      </c>
      <c r="C109" s="3">
        <f t="shared" si="13"/>
        <v>1.7425554098704877E-2</v>
      </c>
      <c r="D109">
        <f t="shared" si="14"/>
        <v>7</v>
      </c>
      <c r="E109">
        <v>3.8815999999999998E-3</v>
      </c>
      <c r="I109">
        <v>3.6738999999999999E-3</v>
      </c>
      <c r="M109">
        <v>1.3335E-2</v>
      </c>
      <c r="Q109">
        <v>3.3782E-3</v>
      </c>
      <c r="U109">
        <v>1.1445E-2</v>
      </c>
      <c r="Y109">
        <v>1.2991000000000001E-2</v>
      </c>
      <c r="AC109">
        <v>1.6482E-2</v>
      </c>
    </row>
    <row r="110" spans="1:30">
      <c r="A110" t="s">
        <v>68</v>
      </c>
      <c r="B110" s="3">
        <f>AVERAGE(F110/E$89,J110/I$89,N110/M$89,R110/Q$89)*F88</f>
        <v>1</v>
      </c>
      <c r="C110" s="3">
        <f>STDEV(F110/E$89,J110/I$89,N110/M$89,R110/Q$89)/SQRT(D110*F88)</f>
        <v>0</v>
      </c>
      <c r="D110">
        <f t="shared" ref="D110" si="15">COUNT(E110:AZ110)</f>
        <v>7</v>
      </c>
      <c r="F110" s="27">
        <v>0.1502</v>
      </c>
      <c r="J110" s="27">
        <v>0.1797</v>
      </c>
      <c r="N110" s="27">
        <v>0.1663</v>
      </c>
      <c r="R110" s="27">
        <v>0.16</v>
      </c>
      <c r="V110">
        <v>0.19262432479696359</v>
      </c>
      <c r="Z110">
        <v>0.217946469144466</v>
      </c>
      <c r="AD110">
        <v>9.8619848267140722E-2</v>
      </c>
    </row>
    <row r="111" spans="1:30" s="54" customFormat="1">
      <c r="A111" s="54" t="s">
        <v>70</v>
      </c>
      <c r="B111" s="55">
        <f>AVERAGE(G111/E89,K111/I88)</f>
        <v>0</v>
      </c>
      <c r="C111" s="55">
        <f>STDEV(G111/E89,K111/I89)/SQRT(D111)</f>
        <v>0</v>
      </c>
      <c r="D111" s="54">
        <f t="shared" si="11"/>
        <v>2</v>
      </c>
      <c r="G111" s="54">
        <v>0</v>
      </c>
      <c r="K111" s="54">
        <v>0</v>
      </c>
      <c r="N111" s="56"/>
    </row>
    <row r="112" spans="1:30">
      <c r="A112" t="s">
        <v>23</v>
      </c>
      <c r="B112" s="3">
        <f>AVERAGE(E112/E$89,I112/I$89,M112/M$89,Q112/Q$89,U112/U$89,Y112/Y$89,AC112/AC$89)</f>
        <v>0</v>
      </c>
      <c r="C112" s="3">
        <f>STDEV(E112/E$89,I112/I$89,M112/M$89,Q112/Q$89,U112/U$89,Y112/Y$89,AC112/AC$89)/SQRT(D112)</f>
        <v>0</v>
      </c>
      <c r="D112">
        <f>COUNT(E112:AZ112)</f>
        <v>7</v>
      </c>
      <c r="E112">
        <v>0</v>
      </c>
      <c r="I112">
        <v>0</v>
      </c>
      <c r="M112">
        <v>0</v>
      </c>
      <c r="Q112">
        <v>0</v>
      </c>
      <c r="U112">
        <v>0</v>
      </c>
      <c r="Y112">
        <v>0</v>
      </c>
      <c r="AC112">
        <v>0</v>
      </c>
    </row>
    <row r="113" spans="1:29">
      <c r="A113" t="s">
        <v>24</v>
      </c>
      <c r="B113" s="3">
        <f>AVERAGE(E113/E$89,I113/I$89,M113/M$89,Q113/Q$89,U113/U$89,Y113/Y$89,AC113/AC$89)</f>
        <v>0</v>
      </c>
      <c r="C113" s="3">
        <f>STDEV(E113/E$89,I113/I$89,M113/M$89,Q113/Q$89,U113/U$89,Y113/Y$89,AC113/AC$89)/SQRT(D113)</f>
        <v>0</v>
      </c>
      <c r="D113">
        <f>COUNT(E113:AZ113)</f>
        <v>7</v>
      </c>
      <c r="E113">
        <v>0</v>
      </c>
      <c r="I113">
        <v>0</v>
      </c>
      <c r="M113">
        <v>0</v>
      </c>
      <c r="Q113">
        <v>0</v>
      </c>
      <c r="U113">
        <v>0</v>
      </c>
      <c r="Y113">
        <v>0</v>
      </c>
      <c r="AC113">
        <v>0</v>
      </c>
    </row>
    <row r="116" spans="1:29">
      <c r="A116" s="1" t="s">
        <v>16</v>
      </c>
    </row>
    <row r="117" spans="1:29">
      <c r="A117" t="s">
        <v>7</v>
      </c>
      <c r="B117" s="3">
        <f>AVERAGE(E117/E$89,I117/I$89,M117/M$89,Q117/Q$89)</f>
        <v>2.2301907873133769E-2</v>
      </c>
      <c r="C117" s="3">
        <f>STDEV(E117/E$89,I117/I$89,M117/M$89,Q117/Q$89)/SQRT(D117)</f>
        <v>2.3072405270107995E-3</v>
      </c>
      <c r="D117">
        <f>COUNT(E117:AZ117)</f>
        <v>4</v>
      </c>
      <c r="E117">
        <v>3.4445000000000001E-3</v>
      </c>
      <c r="I117">
        <v>3.4791000000000002E-3</v>
      </c>
      <c r="M117">
        <v>4.3927000000000003E-3</v>
      </c>
      <c r="Q117">
        <v>5.0441000000000001E-3</v>
      </c>
    </row>
    <row r="118" spans="1:29">
      <c r="A118" t="s">
        <v>8</v>
      </c>
      <c r="B118" s="3">
        <f t="shared" ref="B118:B119" si="16">AVERAGE(E118/E$89,I118/I$89,M118/M$89,Q118/Q$89)</f>
        <v>6.47131283111885E-2</v>
      </c>
      <c r="C118" s="3">
        <f t="shared" ref="C118:C119" si="17">STDEV(E118/E$89,I118/I$89,M118/M$89,Q118/Q$89)/SQRT(D118)</f>
        <v>4.5467804128960119E-3</v>
      </c>
      <c r="D118">
        <f t="shared" ref="D118:D119" si="18">COUNT(E118:AZ118)</f>
        <v>4</v>
      </c>
      <c r="E118">
        <v>1.2551E-2</v>
      </c>
      <c r="I118">
        <v>1.3894E-2</v>
      </c>
      <c r="M118">
        <v>1.1677E-2</v>
      </c>
      <c r="Q118">
        <v>9.5598999999999996E-3</v>
      </c>
    </row>
    <row r="119" spans="1:29">
      <c r="A119" t="s">
        <v>9</v>
      </c>
      <c r="B119" s="3">
        <f t="shared" si="16"/>
        <v>8.3797703143949881E-2</v>
      </c>
      <c r="C119" s="3">
        <f t="shared" si="17"/>
        <v>1.3335074039914482E-2</v>
      </c>
      <c r="D119">
        <f t="shared" si="18"/>
        <v>4</v>
      </c>
      <c r="E119">
        <v>1.6965999999999998E-2</v>
      </c>
      <c r="I119">
        <v>1.9875E-2</v>
      </c>
      <c r="M119">
        <v>1.7203E-2</v>
      </c>
      <c r="Q119">
        <v>7.9386000000000005E-3</v>
      </c>
    </row>
    <row r="120" spans="1:29">
      <c r="A120" t="s">
        <v>10</v>
      </c>
      <c r="B120" s="3">
        <f>AVERAGE(E120/E$89,I120/I$89,M120/M$89,Q120/Q$89,U120/U$89,Y120/Y$89,AC120/AC$89)</f>
        <v>2.605890732445653E-2</v>
      </c>
      <c r="C120" s="3">
        <f>STDEV(E120/E$89,I120/I$89,M120/M$89,Q120/Q$89,U120/U$89,Y120/Y$89,AC120/AC$89)/SQRT(D120)</f>
        <v>3.8534769905762011E-3</v>
      </c>
      <c r="D120">
        <f t="shared" ref="D120:D122" si="19">COUNT(E120:AZ120)</f>
        <v>7</v>
      </c>
      <c r="E120">
        <v>3.0885999999999999E-3</v>
      </c>
      <c r="I120">
        <v>4.2662999999999998E-3</v>
      </c>
      <c r="M120">
        <v>3.2161999999999998E-3</v>
      </c>
      <c r="Q120">
        <v>4.7492999999999997E-3</v>
      </c>
      <c r="U120">
        <v>7.2433999999999997E-3</v>
      </c>
      <c r="Y120">
        <v>5.0124000000000002E-3</v>
      </c>
      <c r="AC120">
        <v>5.0324000000000002E-3</v>
      </c>
    </row>
    <row r="121" spans="1:29">
      <c r="A121" t="s">
        <v>11</v>
      </c>
      <c r="B121" s="3">
        <f t="shared" ref="B121" si="20">AVERAGE(E121/E$89,I121/I$89,M121/M$89,Q121/Q$89)</f>
        <v>0.15010197222614674</v>
      </c>
      <c r="C121" s="3">
        <f t="shared" ref="C121" si="21">STDEV(E121/E$89,I121/I$89,M121/M$89,Q121/Q$89)/SQRT(D121)</f>
        <v>1.4139345558671535E-2</v>
      </c>
      <c r="D121">
        <f t="shared" si="19"/>
        <v>4</v>
      </c>
      <c r="E121">
        <v>2.8188000000000001E-2</v>
      </c>
      <c r="I121">
        <v>3.6337000000000001E-2</v>
      </c>
      <c r="M121">
        <v>2.5159999999999998E-2</v>
      </c>
      <c r="Q121">
        <v>2.1350999999999998E-2</v>
      </c>
    </row>
    <row r="122" spans="1:29">
      <c r="A122" t="s">
        <v>49</v>
      </c>
      <c r="B122" t="s">
        <v>30</v>
      </c>
      <c r="C122" t="s">
        <v>30</v>
      </c>
      <c r="D122">
        <f t="shared" si="19"/>
        <v>0</v>
      </c>
    </row>
    <row r="123" spans="1:29">
      <c r="A123" t="s">
        <v>12</v>
      </c>
      <c r="B123" s="3">
        <f>AVERAGE(E123/E$89,I123/I$89,M123/M$89,Q123/Q$89)</f>
        <v>4.8269680114562674E-2</v>
      </c>
      <c r="C123" s="3">
        <f>STDEV(E123/E$89,I123/I$89,M123/M$89,Q123/Q$89)/SQRT(D123)</f>
        <v>1.0235926538641315E-2</v>
      </c>
      <c r="D123">
        <f>COUNT(E123:AZ123)</f>
        <v>4</v>
      </c>
      <c r="E123">
        <v>1.1494000000000001E-2</v>
      </c>
      <c r="I123">
        <v>1.2792E-2</v>
      </c>
      <c r="M123">
        <v>6.4358000000000002E-3</v>
      </c>
      <c r="Q123">
        <v>4.8852000000000001E-3</v>
      </c>
    </row>
    <row r="124" spans="1:29">
      <c r="A124" t="s">
        <v>13</v>
      </c>
      <c r="B124" s="3">
        <f t="shared" ref="B124:B126" si="22">AVERAGE(E124/E$89,I124/I$89,M124/M$89,Q124/Q$89)</f>
        <v>0.10860810825216179</v>
      </c>
      <c r="C124" s="3">
        <f t="shared" ref="C124:C126" si="23">STDEV(E124/E$89,I124/I$89,M124/M$89,Q124/Q$89)/SQRT(D124)</f>
        <v>1.5206613157068059E-2</v>
      </c>
      <c r="D124">
        <f t="shared" ref="D124:D129" si="24">COUNT(E124:AZ124)</f>
        <v>4</v>
      </c>
      <c r="E124">
        <v>1.6902E-2</v>
      </c>
      <c r="I124">
        <v>3.1029999999999999E-2</v>
      </c>
      <c r="M124">
        <v>1.7021999999999999E-2</v>
      </c>
      <c r="Q124">
        <v>1.609E-2</v>
      </c>
    </row>
    <row r="125" spans="1:29">
      <c r="A125" t="s">
        <v>14</v>
      </c>
      <c r="B125" s="3">
        <f t="shared" si="22"/>
        <v>6.7659469189372601E-2</v>
      </c>
      <c r="C125" s="3">
        <f t="shared" si="23"/>
        <v>3.4807475523125223E-3</v>
      </c>
      <c r="D125">
        <f t="shared" si="24"/>
        <v>4</v>
      </c>
      <c r="E125">
        <v>1.3077E-2</v>
      </c>
      <c r="I125">
        <v>1.234E-2</v>
      </c>
      <c r="M125">
        <v>1.2233000000000001E-2</v>
      </c>
      <c r="Q125">
        <v>1.1967E-2</v>
      </c>
    </row>
    <row r="126" spans="1:29">
      <c r="A126" t="s">
        <v>56</v>
      </c>
      <c r="B126" s="3">
        <f t="shared" si="22"/>
        <v>6.1336251282787468E-2</v>
      </c>
      <c r="C126" s="3">
        <f t="shared" si="23"/>
        <v>5.1602744580224909E-3</v>
      </c>
      <c r="D126">
        <f t="shared" si="24"/>
        <v>4</v>
      </c>
      <c r="E126">
        <v>1.1467E-2</v>
      </c>
      <c r="I126">
        <v>1.3258000000000001E-2</v>
      </c>
      <c r="M126">
        <v>1.2295E-2</v>
      </c>
      <c r="Q126">
        <v>8.2579999999999997E-3</v>
      </c>
    </row>
    <row r="127" spans="1:29">
      <c r="A127" t="s">
        <v>57</v>
      </c>
      <c r="B127" t="s">
        <v>30</v>
      </c>
      <c r="C127" t="s">
        <v>30</v>
      </c>
      <c r="D127">
        <f t="shared" si="24"/>
        <v>0</v>
      </c>
    </row>
    <row r="128" spans="1:29">
      <c r="A128" t="s">
        <v>15</v>
      </c>
      <c r="B128" s="3">
        <f>AVERAGE(E128/E$89,I128/I$89,M128/M$89,Q128/Q$89,U128/U$89,Y128/Y$89,AC128/AC$89)</f>
        <v>8.2915930691068104E-2</v>
      </c>
      <c r="C128" s="3">
        <f>STDEV(E128/E$89,I128/I$89,M128/M$89,Q128/Q$89,U128/U$89,Y128/Y$89,AC128/AC$89)/SQRT(D128)</f>
        <v>6.0491246148793153E-3</v>
      </c>
      <c r="D128">
        <f t="shared" si="24"/>
        <v>7</v>
      </c>
      <c r="E128">
        <v>1.0496999999999999E-2</v>
      </c>
      <c r="I128">
        <v>1.5633000000000001E-2</v>
      </c>
      <c r="M128">
        <v>1.3584000000000001E-2</v>
      </c>
      <c r="Q128">
        <v>1.3568999999999999E-2</v>
      </c>
      <c r="U128">
        <v>1.9698E-2</v>
      </c>
      <c r="Y128">
        <v>2.2159000000000002E-2</v>
      </c>
      <c r="AC128">
        <v>1.2312E-2</v>
      </c>
    </row>
    <row r="129" spans="1:29">
      <c r="A129" t="s">
        <v>22</v>
      </c>
      <c r="B129" s="3">
        <f>AVERAGE(E129/E$89,I129/I$89,M129/M$89,Q129/Q$89,U129/U$89,Y129/Y$89,AC129/AC$89)</f>
        <v>3.9729132710161687E-2</v>
      </c>
      <c r="C129" s="3">
        <f>STDEV(E129/E$89,I129/I$89,M129/M$89,Q129/Q$89,U129/U$89,Y129/Y$89,AC129/AC$89)/SQRT(D129)</f>
        <v>4.2690470930377318E-3</v>
      </c>
      <c r="D129">
        <f t="shared" si="24"/>
        <v>7</v>
      </c>
      <c r="E129">
        <v>7.7438000000000003E-3</v>
      </c>
      <c r="I129">
        <v>6.3845999999999998E-3</v>
      </c>
      <c r="M129">
        <v>8.6333E-3</v>
      </c>
      <c r="Q129">
        <v>7.3001000000000003E-3</v>
      </c>
      <c r="U129">
        <v>6.3971999999999996E-3</v>
      </c>
      <c r="Y129">
        <v>6.4247999999999996E-3</v>
      </c>
      <c r="AC129">
        <v>6.4262E-3</v>
      </c>
    </row>
    <row r="130" spans="1:29">
      <c r="A130" t="s">
        <v>59</v>
      </c>
      <c r="B130" t="s">
        <v>30</v>
      </c>
      <c r="C130" t="s">
        <v>30</v>
      </c>
      <c r="D130">
        <f t="shared" ref="D130:D131" si="25">COUNT(E130:AZ130)</f>
        <v>0</v>
      </c>
    </row>
    <row r="131" spans="1:29">
      <c r="A131" t="s">
        <v>58</v>
      </c>
      <c r="B131" t="s">
        <v>30</v>
      </c>
      <c r="C131" t="s">
        <v>30</v>
      </c>
      <c r="D131">
        <f t="shared" si="25"/>
        <v>0</v>
      </c>
    </row>
    <row r="132" spans="1:29">
      <c r="A132" t="s">
        <v>151</v>
      </c>
      <c r="B132" s="3">
        <f>AVERAGE(E132/E$89,I132/I$89)</f>
        <v>5.9155726482664178E-2</v>
      </c>
      <c r="C132" s="3">
        <f>STDEV(E132/E$89,I132/I$89)/SQRT(D132)</f>
        <v>5.3581299447147852E-3</v>
      </c>
      <c r="D132">
        <f t="shared" ref="D132" si="26">COUNT(E132:AZ132)</f>
        <v>2</v>
      </c>
      <c r="E132">
        <v>9.0790999999999997E-3</v>
      </c>
      <c r="I132">
        <v>1.3025999999999999E-2</v>
      </c>
    </row>
    <row r="133" spans="1:29">
      <c r="A133" s="1" t="s">
        <v>17</v>
      </c>
    </row>
    <row r="134" spans="1:29">
      <c r="A134" t="s">
        <v>7</v>
      </c>
      <c r="B134" s="3">
        <f>AVERAGE(E134/E$89,I134/I$89,M134/M$89,Q134/Q$89)</f>
        <v>2.01007815428416E-2</v>
      </c>
      <c r="C134" s="3">
        <f>STDEV(E134/E$89,I134/I$89,M134/M$89,Q134/Q$89)/SQRT(D134)</f>
        <v>1.5863257759262846E-3</v>
      </c>
      <c r="D134">
        <f>COUNT(E134:AZ134)</f>
        <v>4</v>
      </c>
      <c r="E134">
        <v>3.1879E-3</v>
      </c>
      <c r="I134">
        <v>3.2717000000000002E-3</v>
      </c>
      <c r="M134">
        <v>4.1399999999999996E-3</v>
      </c>
      <c r="Q134">
        <v>4.1624000000000001E-3</v>
      </c>
    </row>
    <row r="135" spans="1:29">
      <c r="A135" t="s">
        <v>8</v>
      </c>
      <c r="B135" s="3">
        <f t="shared" ref="B135:B138" si="27">AVERAGE(E135/E$89,I135/I$89,M135/M$89,Q135/Q$89)</f>
        <v>6.1791408529141362E-2</v>
      </c>
      <c r="C135" s="3">
        <f t="shared" ref="C135:C138" si="28">STDEV(E135/E$89,I135/I$89,M135/M$89,Q135/Q$89)/SQRT(D135)</f>
        <v>9.0978682800791719E-3</v>
      </c>
      <c r="D135">
        <f t="shared" ref="D135:D139" si="29">COUNT(E135:AZ135)</f>
        <v>4</v>
      </c>
      <c r="E135">
        <v>1.3691E-2</v>
      </c>
      <c r="I135">
        <v>1.46E-2</v>
      </c>
      <c r="M135">
        <v>9.8080000000000007E-3</v>
      </c>
      <c r="Q135">
        <v>7.4140999999999999E-3</v>
      </c>
    </row>
    <row r="136" spans="1:29">
      <c r="A136" t="s">
        <v>9</v>
      </c>
      <c r="B136" s="3">
        <f t="shared" si="27"/>
        <v>0.10486011087848278</v>
      </c>
      <c r="C136" s="3">
        <f t="shared" si="28"/>
        <v>5.4309436429804576E-3</v>
      </c>
      <c r="D136">
        <f t="shared" si="29"/>
        <v>4</v>
      </c>
      <c r="E136">
        <v>1.8821000000000001E-2</v>
      </c>
      <c r="I136">
        <v>2.0906000000000001E-2</v>
      </c>
      <c r="M136">
        <v>2.1357999999999999E-2</v>
      </c>
      <c r="Q136">
        <v>1.6192999999999999E-2</v>
      </c>
    </row>
    <row r="137" spans="1:29">
      <c r="A137" t="s">
        <v>10</v>
      </c>
      <c r="B137" s="3">
        <f>AVERAGE(E137/E$89,I137/I$89,M137/M$89,Q137/Q$89,U137/U$89,Y137/Y$89,AC137/AC$89)</f>
        <v>2.3742160421314627E-2</v>
      </c>
      <c r="C137" s="3">
        <f>STDEV(E137/E$89,I137/I$89,M137/M$89,Q137/Q$89,U137/U$89,Y137/Y$89,AC137/AC$89)/SQRT(D137)</f>
        <v>3.5937566269782042E-3</v>
      </c>
      <c r="D137">
        <f t="shared" si="29"/>
        <v>7</v>
      </c>
      <c r="E137">
        <v>3.5999999999999999E-3</v>
      </c>
      <c r="I137">
        <v>4.4260999999999997E-3</v>
      </c>
      <c r="M137">
        <v>2.7924E-3</v>
      </c>
      <c r="Q137">
        <v>2.5969999999999999E-3</v>
      </c>
      <c r="U137">
        <v>6.6262999999999999E-3</v>
      </c>
      <c r="Y137">
        <v>5.2398000000000002E-3</v>
      </c>
      <c r="AC137">
        <v>4.6029E-3</v>
      </c>
    </row>
    <row r="138" spans="1:29">
      <c r="A138" t="s">
        <v>11</v>
      </c>
      <c r="B138" s="3">
        <f t="shared" si="27"/>
        <v>0.15085144060712222</v>
      </c>
      <c r="C138" s="3">
        <f t="shared" si="28"/>
        <v>2.209214768988747E-2</v>
      </c>
      <c r="D138">
        <f t="shared" si="29"/>
        <v>4</v>
      </c>
      <c r="E138">
        <v>3.0627000000000001E-2</v>
      </c>
      <c r="I138">
        <v>3.9543000000000002E-2</v>
      </c>
      <c r="M138">
        <v>2.1905999999999998E-2</v>
      </c>
      <c r="Q138">
        <v>1.9567999999999999E-2</v>
      </c>
    </row>
    <row r="139" spans="1:29">
      <c r="A139" t="s">
        <v>49</v>
      </c>
      <c r="B139" t="s">
        <v>30</v>
      </c>
      <c r="C139" t="s">
        <v>30</v>
      </c>
      <c r="D139">
        <f t="shared" si="29"/>
        <v>0</v>
      </c>
    </row>
    <row r="140" spans="1:29">
      <c r="A140" t="s">
        <v>12</v>
      </c>
      <c r="B140" s="3">
        <f>AVERAGE(E140/E$89,I140/I$89,M140/M$89,Q140/Q$89)</f>
        <v>6.3771883634835339E-2</v>
      </c>
      <c r="C140" s="3">
        <f>STDEV(E140/E$89,I140/I$89,M140/M$89,Q140/Q$89)/SQRT(D140)</f>
        <v>3.1631019405833076E-3</v>
      </c>
      <c r="D140">
        <f>COUNT(E140:AZ140)</f>
        <v>4</v>
      </c>
      <c r="E140">
        <v>1.1183E-2</v>
      </c>
      <c r="I140">
        <v>1.3688000000000001E-2</v>
      </c>
      <c r="M140">
        <v>1.2463E-2</v>
      </c>
      <c r="Q140">
        <v>9.7675000000000001E-3</v>
      </c>
    </row>
    <row r="141" spans="1:29">
      <c r="A141" t="s">
        <v>13</v>
      </c>
      <c r="B141" s="3">
        <f t="shared" ref="B141:B143" si="30">AVERAGE(E141/E$89,I141/I$89,M141/M$89,Q141/Q$89)</f>
        <v>0.10903958816224919</v>
      </c>
      <c r="C141" s="3">
        <f t="shared" ref="C141:C143" si="31">STDEV(E141/E$89,I141/I$89,M141/M$89,Q141/Q$89)/SQRT(D141)</f>
        <v>2.2127581968562564E-2</v>
      </c>
      <c r="D141">
        <f t="shared" ref="D141:D149" si="32">COUNT(E141:AZ141)</f>
        <v>4</v>
      </c>
      <c r="E141">
        <v>1.6420000000000001E-2</v>
      </c>
      <c r="I141">
        <v>3.5181999999999998E-2</v>
      </c>
      <c r="M141">
        <v>1.4385E-2</v>
      </c>
      <c r="Q141">
        <v>1.5754000000000001E-2</v>
      </c>
    </row>
    <row r="142" spans="1:29">
      <c r="A142" t="s">
        <v>14</v>
      </c>
      <c r="B142" s="3">
        <f t="shared" si="30"/>
        <v>6.142657552788805E-2</v>
      </c>
      <c r="C142" s="3">
        <f t="shared" si="31"/>
        <v>3.6721422378198656E-3</v>
      </c>
      <c r="D142">
        <f t="shared" si="32"/>
        <v>4</v>
      </c>
      <c r="E142">
        <v>1.1875999999999999E-2</v>
      </c>
      <c r="I142">
        <v>1.1781E-2</v>
      </c>
      <c r="M142">
        <v>1.1911E-2</v>
      </c>
      <c r="Q142">
        <v>9.5718000000000001E-3</v>
      </c>
    </row>
    <row r="143" spans="1:29">
      <c r="A143" t="s">
        <v>56</v>
      </c>
      <c r="B143" s="3">
        <f t="shared" si="30"/>
        <v>5.3913889676064815E-2</v>
      </c>
      <c r="C143" s="3">
        <f t="shared" si="31"/>
        <v>2.7726899999693882E-3</v>
      </c>
      <c r="D143">
        <f t="shared" si="32"/>
        <v>4</v>
      </c>
      <c r="E143">
        <v>8.8742000000000005E-3</v>
      </c>
      <c r="I143">
        <v>1.2227E-2</v>
      </c>
      <c r="M143">
        <v>1.0328E-2</v>
      </c>
      <c r="Q143">
        <v>8.4930000000000005E-3</v>
      </c>
    </row>
    <row r="144" spans="1:29">
      <c r="A144" t="s">
        <v>57</v>
      </c>
      <c r="B144" t="s">
        <v>30</v>
      </c>
      <c r="C144" t="s">
        <v>30</v>
      </c>
      <c r="D144">
        <f t="shared" si="32"/>
        <v>0</v>
      </c>
    </row>
    <row r="145" spans="1:29">
      <c r="A145" t="s">
        <v>15</v>
      </c>
      <c r="B145" s="3">
        <f>AVERAGE(E145/E$89,I145/I$89,M145/M$89,Q145/Q$89,U145/U$89,Y145/Y$89,AC145/AC$89)</f>
        <v>7.7340572293896861E-2</v>
      </c>
      <c r="C145" s="3">
        <f>STDEV(E145/E$89,I145/I$89,M145/M$89,Q145/Q$89,U145/U$89,Y145/Y$89,AC145/AC$89)/SQRT(D145)</f>
        <v>8.6650284090821067E-3</v>
      </c>
      <c r="D145">
        <f t="shared" si="32"/>
        <v>7</v>
      </c>
      <c r="E145">
        <v>9.4503E-3</v>
      </c>
      <c r="I145">
        <v>1.5699000000000001E-2</v>
      </c>
      <c r="M145">
        <v>1.0089000000000001E-2</v>
      </c>
      <c r="Q145">
        <v>1.1200999999999999E-2</v>
      </c>
      <c r="U145">
        <v>2.0264999999999998E-2</v>
      </c>
      <c r="Y145">
        <v>1.951E-2</v>
      </c>
      <c r="AC145">
        <v>1.3079E-2</v>
      </c>
    </row>
    <row r="146" spans="1:29">
      <c r="A146" t="s">
        <v>22</v>
      </c>
      <c r="B146" s="3">
        <f>AVERAGE(E146/E$89,I146/I$89,M146/M$89,Q146/Q$89,U146/U$89,Y146/Y$89,AC146/AC$89)</f>
        <v>3.5588241753534831E-2</v>
      </c>
      <c r="C146" s="3">
        <f>STDEV(E146/E$89,I146/I$89,M146/M$89,Q146/Q$89,U146/U$89,Y146/Y$89,AC146/AC$89)/SQRT(D146)</f>
        <v>3.1360283664951748E-3</v>
      </c>
      <c r="D146">
        <f t="shared" si="32"/>
        <v>7</v>
      </c>
      <c r="E146">
        <v>7.5355999999999999E-3</v>
      </c>
      <c r="I146">
        <v>7.0051999999999996E-3</v>
      </c>
      <c r="M146">
        <v>6.3952000000000002E-3</v>
      </c>
      <c r="Q146">
        <v>5.6974E-3</v>
      </c>
      <c r="U146">
        <v>7.6188000000000002E-3</v>
      </c>
      <c r="Y146">
        <v>5.3584000000000001E-3</v>
      </c>
      <c r="AC146">
        <v>5.1825999999999999E-3</v>
      </c>
    </row>
    <row r="147" spans="1:29">
      <c r="A147" t="s">
        <v>59</v>
      </c>
      <c r="B147" t="s">
        <v>30</v>
      </c>
      <c r="C147" t="s">
        <v>30</v>
      </c>
      <c r="D147">
        <f t="shared" si="32"/>
        <v>0</v>
      </c>
    </row>
    <row r="148" spans="1:29">
      <c r="A148" t="s">
        <v>58</v>
      </c>
      <c r="B148" t="s">
        <v>30</v>
      </c>
      <c r="C148" t="s">
        <v>30</v>
      </c>
      <c r="D148">
        <f t="shared" si="32"/>
        <v>0</v>
      </c>
    </row>
    <row r="149" spans="1:29">
      <c r="A149" t="s">
        <v>151</v>
      </c>
      <c r="B149" s="3">
        <f>AVERAGE(E149/E$89,I149/I$89)</f>
        <v>3.9493660887690463E-2</v>
      </c>
      <c r="C149" s="3">
        <f>STDEV(E149/E$89,I149/I$89)/SQRT(D149)</f>
        <v>5.6061109542683372E-3</v>
      </c>
      <c r="D149">
        <f t="shared" si="32"/>
        <v>2</v>
      </c>
      <c r="E149">
        <v>5.7190000000000001E-3</v>
      </c>
      <c r="I149">
        <v>9.1061000000000007E-3</v>
      </c>
    </row>
  </sheetData>
  <pageMargins left="0.7" right="0.7" top="0.75" bottom="0.75" header="0.3" footer="0.3"/>
  <pageSetup orientation="portrait" horizontalDpi="0" verticalDpi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AB149"/>
  <sheetViews>
    <sheetView workbookViewId="0">
      <selection activeCell="M54" sqref="M54"/>
    </sheetView>
  </sheetViews>
  <sheetFormatPr baseColWidth="10" defaultRowHeight="16"/>
  <cols>
    <col min="1" max="1" width="17.6640625" bestFit="1" customWidth="1"/>
    <col min="2" max="4" width="17.6640625" customWidth="1"/>
    <col min="5" max="5" width="19.1640625" customWidth="1"/>
    <col min="6" max="6" width="20.33203125" customWidth="1"/>
    <col min="8" max="8" width="13.6640625" bestFit="1" customWidth="1"/>
    <col min="9" max="9" width="18" bestFit="1" customWidth="1"/>
    <col min="10" max="10" width="14" customWidth="1"/>
    <col min="13" max="13" width="18" customWidth="1"/>
    <col min="14" max="14" width="17.6640625" customWidth="1"/>
    <col min="17" max="17" width="19" customWidth="1"/>
    <col min="18" max="18" width="16.5" customWidth="1"/>
    <col min="19" max="19" width="14.33203125" customWidth="1"/>
    <col min="21" max="22" width="15.33203125" customWidth="1"/>
    <col min="23" max="23" width="14.6640625" customWidth="1"/>
    <col min="25" max="25" width="13.6640625" bestFit="1" customWidth="1"/>
    <col min="27" max="27" width="18.1640625" customWidth="1"/>
  </cols>
  <sheetData>
    <row r="1" spans="1:23">
      <c r="A1" s="1" t="s">
        <v>32</v>
      </c>
      <c r="B1" s="1"/>
      <c r="C1" s="1"/>
      <c r="D1" s="1"/>
      <c r="E1" s="74">
        <v>43370</v>
      </c>
      <c r="I1" s="74">
        <v>43370</v>
      </c>
      <c r="M1" s="74">
        <v>43416</v>
      </c>
      <c r="Q1" s="74">
        <v>43416</v>
      </c>
      <c r="U1" s="2"/>
      <c r="V1" s="2"/>
      <c r="W1" s="2"/>
    </row>
    <row r="2" spans="1:23">
      <c r="A2" s="1" t="s">
        <v>33</v>
      </c>
      <c r="B2" s="1"/>
      <c r="C2" s="1"/>
      <c r="D2" s="1"/>
      <c r="E2" s="75" t="s">
        <v>39</v>
      </c>
      <c r="I2" s="75" t="s">
        <v>39</v>
      </c>
      <c r="M2" s="75" t="s">
        <v>39</v>
      </c>
      <c r="Q2" s="75" t="s">
        <v>39</v>
      </c>
      <c r="U2" s="2" t="s">
        <v>113</v>
      </c>
      <c r="V2" s="2" t="s">
        <v>113</v>
      </c>
      <c r="W2" s="2" t="s">
        <v>113</v>
      </c>
    </row>
    <row r="3" spans="1:23">
      <c r="A3" s="1" t="s">
        <v>34</v>
      </c>
      <c r="B3" s="1"/>
      <c r="C3" s="1"/>
      <c r="D3" s="1"/>
      <c r="E3" s="79" t="s">
        <v>40</v>
      </c>
      <c r="I3" s="79" t="s">
        <v>73</v>
      </c>
      <c r="M3" s="79" t="s">
        <v>40</v>
      </c>
      <c r="Q3" s="79" t="s">
        <v>75</v>
      </c>
      <c r="U3" s="2"/>
      <c r="V3" s="2"/>
      <c r="W3" s="2"/>
    </row>
    <row r="4" spans="1:23">
      <c r="A4" s="1" t="s">
        <v>35</v>
      </c>
      <c r="B4" s="1"/>
      <c r="C4" s="1"/>
      <c r="D4" s="1"/>
      <c r="E4" s="75" t="s">
        <v>41</v>
      </c>
      <c r="I4" s="75" t="s">
        <v>41</v>
      </c>
      <c r="M4" s="75" t="s">
        <v>41</v>
      </c>
      <c r="Q4" s="75" t="s">
        <v>41</v>
      </c>
      <c r="U4" s="14" t="s">
        <v>41</v>
      </c>
      <c r="V4" s="14" t="s">
        <v>41</v>
      </c>
      <c r="W4" s="14" t="s">
        <v>41</v>
      </c>
    </row>
    <row r="5" spans="1:23" ht="17">
      <c r="A5" s="1" t="s">
        <v>36</v>
      </c>
      <c r="B5" s="1"/>
      <c r="C5" s="1"/>
      <c r="D5" s="1"/>
      <c r="E5" s="75" t="s">
        <v>42</v>
      </c>
      <c r="I5" s="75" t="s">
        <v>42</v>
      </c>
      <c r="M5" s="75" t="s">
        <v>42</v>
      </c>
      <c r="Q5" s="75" t="s">
        <v>42</v>
      </c>
      <c r="U5" s="26" t="s">
        <v>42</v>
      </c>
      <c r="V5" s="26" t="s">
        <v>42</v>
      </c>
      <c r="W5" s="26" t="s">
        <v>42</v>
      </c>
    </row>
    <row r="6" spans="1:23">
      <c r="A6" s="1" t="s">
        <v>37</v>
      </c>
      <c r="B6" s="1"/>
      <c r="C6" s="1"/>
      <c r="D6" s="1"/>
      <c r="E6" s="44">
        <v>100</v>
      </c>
      <c r="I6" s="44">
        <v>100</v>
      </c>
      <c r="M6" s="75">
        <v>100</v>
      </c>
      <c r="Q6" s="75">
        <v>100</v>
      </c>
      <c r="U6" s="2"/>
      <c r="V6" s="2"/>
      <c r="W6" s="2"/>
    </row>
    <row r="7" spans="1:23">
      <c r="A7" s="1" t="s">
        <v>38</v>
      </c>
      <c r="B7" s="1"/>
      <c r="C7" s="1"/>
      <c r="D7" s="1"/>
      <c r="E7" s="44">
        <v>0.1</v>
      </c>
      <c r="I7" s="44">
        <v>0.1</v>
      </c>
      <c r="M7" s="75">
        <v>0.1</v>
      </c>
      <c r="Q7" s="75">
        <v>0.1</v>
      </c>
      <c r="U7" s="2"/>
      <c r="V7" s="2"/>
      <c r="W7" s="2"/>
    </row>
    <row r="8" spans="1:23">
      <c r="A8" s="1" t="s">
        <v>43</v>
      </c>
      <c r="B8" s="1"/>
      <c r="C8" s="1"/>
      <c r="D8" s="1"/>
      <c r="E8">
        <f>F31</f>
        <v>0.13300000000000001</v>
      </c>
      <c r="I8">
        <f>J31</f>
        <v>0.123</v>
      </c>
      <c r="M8">
        <f>N31</f>
        <v>0.126</v>
      </c>
      <c r="Q8">
        <f>R31</f>
        <v>0.109</v>
      </c>
    </row>
    <row r="9" spans="1:23">
      <c r="A9" s="1" t="s">
        <v>53</v>
      </c>
      <c r="B9" s="1"/>
      <c r="C9" s="1"/>
      <c r="D9" s="1"/>
      <c r="E9">
        <v>0.13300000000000001</v>
      </c>
      <c r="I9">
        <v>0.123</v>
      </c>
      <c r="M9">
        <v>0.126</v>
      </c>
      <c r="Q9">
        <v>0.109</v>
      </c>
      <c r="U9">
        <v>0.40052337587553533</v>
      </c>
      <c r="V9">
        <v>0.39675073243434328</v>
      </c>
      <c r="W9">
        <v>0.36731867600000001</v>
      </c>
    </row>
    <row r="10" spans="1:23">
      <c r="A10" s="1" t="s">
        <v>44</v>
      </c>
      <c r="B10" s="22">
        <f>AVERAGE(E10,I10,M10,Q10)</f>
        <v>71.899245391019136</v>
      </c>
      <c r="C10" s="22">
        <f>STDEV(E10,I10,M10,Q10)/SQRT(D10)</f>
        <v>3.5204543979298761</v>
      </c>
      <c r="D10" s="1">
        <v>4</v>
      </c>
      <c r="E10" s="21">
        <f>E6*E7*(1-E8)/E8</f>
        <v>65.187969924812023</v>
      </c>
      <c r="I10" s="21">
        <f>I6*I7*(1-I8)/I8</f>
        <v>71.300813008130078</v>
      </c>
      <c r="M10" s="21">
        <f>M6*M7*(1-M8)/M8</f>
        <v>69.365079365079367</v>
      </c>
      <c r="Q10" s="21">
        <f>Q6*Q7*(1-Q8)/Q8</f>
        <v>81.743119266055047</v>
      </c>
    </row>
    <row r="11" spans="1:23">
      <c r="A11" s="1"/>
      <c r="B11" s="1"/>
      <c r="C11" s="1"/>
      <c r="D11" s="1"/>
    </row>
    <row r="12" spans="1:23">
      <c r="A12" s="1" t="s">
        <v>33</v>
      </c>
      <c r="B12" s="1"/>
      <c r="C12" s="1"/>
      <c r="D12" s="1"/>
      <c r="E12" t="s">
        <v>39</v>
      </c>
      <c r="F12" t="s">
        <v>39</v>
      </c>
      <c r="I12" t="s">
        <v>39</v>
      </c>
      <c r="J12" t="s">
        <v>39</v>
      </c>
      <c r="M12" t="s">
        <v>39</v>
      </c>
      <c r="N12" t="s">
        <v>39</v>
      </c>
      <c r="Q12" t="s">
        <v>39</v>
      </c>
      <c r="R12" t="s">
        <v>39</v>
      </c>
    </row>
    <row r="13" spans="1:23">
      <c r="A13" s="1" t="s">
        <v>45</v>
      </c>
      <c r="B13" s="1"/>
      <c r="C13" s="1"/>
      <c r="D13" s="1"/>
      <c r="E13" t="s">
        <v>47</v>
      </c>
      <c r="F13" t="s">
        <v>47</v>
      </c>
      <c r="I13" t="s">
        <v>47</v>
      </c>
      <c r="J13" t="s">
        <v>47</v>
      </c>
      <c r="M13" t="s">
        <v>47</v>
      </c>
      <c r="N13" t="s">
        <v>47</v>
      </c>
      <c r="Q13" t="s">
        <v>47</v>
      </c>
      <c r="R13" t="s">
        <v>47</v>
      </c>
    </row>
    <row r="14" spans="1:23" s="10" customFormat="1" ht="51">
      <c r="A14" s="12" t="s">
        <v>31</v>
      </c>
      <c r="B14" s="12"/>
      <c r="C14" s="12"/>
      <c r="D14" s="12"/>
      <c r="E14" s="11" t="s">
        <v>46</v>
      </c>
      <c r="F14" s="11" t="s">
        <v>48</v>
      </c>
      <c r="I14" s="11" t="s">
        <v>46</v>
      </c>
      <c r="J14" s="11" t="s">
        <v>48</v>
      </c>
      <c r="M14" s="11" t="s">
        <v>74</v>
      </c>
      <c r="N14" s="11" t="s">
        <v>48</v>
      </c>
      <c r="Q14" s="11" t="s">
        <v>74</v>
      </c>
      <c r="R14" s="11" t="s">
        <v>48</v>
      </c>
    </row>
    <row r="16" spans="1:23">
      <c r="A16" s="1" t="s">
        <v>50</v>
      </c>
      <c r="B16" s="1"/>
      <c r="C16" s="1"/>
      <c r="D16" s="1"/>
    </row>
    <row r="17" spans="1:23">
      <c r="B17" s="1" t="s">
        <v>5</v>
      </c>
      <c r="C17" s="1" t="s">
        <v>6</v>
      </c>
      <c r="D17" s="1" t="s">
        <v>55</v>
      </c>
    </row>
    <row r="18" spans="1:23">
      <c r="A18" s="1" t="s">
        <v>0</v>
      </c>
      <c r="B18" s="1"/>
      <c r="C18" s="1"/>
      <c r="D18" s="1"/>
    </row>
    <row r="19" spans="1:23">
      <c r="A19" t="s">
        <v>60</v>
      </c>
      <c r="B19" s="3">
        <f t="shared" ref="B19:B29" si="0">AVERAGE(E19/E$9,I19/I$9,M19/M$9,Q19/Q$9)</f>
        <v>0.34882156590009372</v>
      </c>
      <c r="C19" s="3">
        <f t="shared" ref="C19:C29" si="1">STDEV(E19/E$9,I19/I$9,M19/M$9,Q19/Q$9)/SQRT(D19)</f>
        <v>5.75918475676915E-2</v>
      </c>
      <c r="D19">
        <v>4</v>
      </c>
      <c r="E19">
        <v>3.5328999999999999E-2</v>
      </c>
      <c r="I19">
        <v>3.4549999999999997E-2</v>
      </c>
      <c r="M19">
        <v>4.1907E-2</v>
      </c>
      <c r="Q19">
        <v>5.6262E-2</v>
      </c>
    </row>
    <row r="20" spans="1:23">
      <c r="A20" t="s">
        <v>61</v>
      </c>
      <c r="B20" s="3">
        <f t="shared" si="0"/>
        <v>0.24734321087925304</v>
      </c>
      <c r="C20" s="3">
        <f t="shared" si="1"/>
        <v>3.1306849450874023E-2</v>
      </c>
      <c r="D20">
        <v>4</v>
      </c>
      <c r="E20">
        <v>2.9626E-2</v>
      </c>
      <c r="I20">
        <v>2.8825E-2</v>
      </c>
      <c r="M20">
        <v>2.4499E-2</v>
      </c>
      <c r="Q20">
        <v>3.6824000000000003E-2</v>
      </c>
    </row>
    <row r="21" spans="1:23">
      <c r="A21" t="s">
        <v>62</v>
      </c>
      <c r="B21" s="3">
        <f t="shared" si="0"/>
        <v>3.7771838057140315E-2</v>
      </c>
      <c r="C21" s="3">
        <f t="shared" si="1"/>
        <v>3.8787285642943301E-3</v>
      </c>
      <c r="D21">
        <v>4</v>
      </c>
      <c r="E21">
        <v>6.3007999999999996E-3</v>
      </c>
      <c r="I21">
        <v>4.9129999999999998E-3</v>
      </c>
      <c r="M21">
        <v>3.6806E-3</v>
      </c>
      <c r="Q21">
        <v>3.7669000000000001E-3</v>
      </c>
    </row>
    <row r="22" spans="1:23">
      <c r="A22" t="s">
        <v>63</v>
      </c>
      <c r="B22" s="3">
        <f t="shared" si="0"/>
        <v>0.13531248610823696</v>
      </c>
      <c r="C22" s="3">
        <f t="shared" si="1"/>
        <v>4.543869822680717E-2</v>
      </c>
      <c r="D22">
        <v>4</v>
      </c>
      <c r="E22">
        <v>2.3140999999999998E-2</v>
      </c>
      <c r="I22">
        <v>0</v>
      </c>
      <c r="M22">
        <v>2.1590000000000002E-2</v>
      </c>
      <c r="Q22">
        <v>2.1354000000000001E-2</v>
      </c>
    </row>
    <row r="23" spans="1:23">
      <c r="A23" t="s">
        <v>64</v>
      </c>
      <c r="B23" s="3">
        <f t="shared" si="0"/>
        <v>2.5754905556574365E-3</v>
      </c>
      <c r="C23" s="3">
        <f t="shared" si="1"/>
        <v>1.4890871254314465E-3</v>
      </c>
      <c r="D23">
        <v>4</v>
      </c>
      <c r="E23">
        <v>7.1100000000000004E-4</v>
      </c>
      <c r="I23">
        <v>6.0959999999999996E-4</v>
      </c>
      <c r="M23">
        <v>0</v>
      </c>
      <c r="Q23">
        <v>0</v>
      </c>
    </row>
    <row r="24" spans="1:23">
      <c r="A24" t="s">
        <v>65</v>
      </c>
      <c r="B24" s="3">
        <f t="shared" si="0"/>
        <v>9.9057931413900594E-4</v>
      </c>
      <c r="C24" s="3">
        <f t="shared" si="1"/>
        <v>8.5534291803749144E-4</v>
      </c>
      <c r="D24">
        <v>4</v>
      </c>
      <c r="E24">
        <v>4.707E-4</v>
      </c>
      <c r="I24" s="15">
        <v>5.2055999999999998E-5</v>
      </c>
      <c r="M24">
        <v>0</v>
      </c>
      <c r="Q24">
        <v>0</v>
      </c>
    </row>
    <row r="25" spans="1:23">
      <c r="A25" t="s">
        <v>66</v>
      </c>
      <c r="B25" s="3">
        <f t="shared" si="0"/>
        <v>5.3150219394050872E-4</v>
      </c>
      <c r="C25" s="3">
        <f t="shared" si="1"/>
        <v>2.4186318812434863E-4</v>
      </c>
      <c r="D25">
        <v>4</v>
      </c>
      <c r="E25" s="15">
        <v>3.3232999999999998E-5</v>
      </c>
      <c r="I25">
        <v>0</v>
      </c>
      <c r="M25">
        <v>1.0948E-4</v>
      </c>
      <c r="Q25">
        <v>1.0979E-4</v>
      </c>
    </row>
    <row r="26" spans="1:23">
      <c r="A26" t="s">
        <v>67</v>
      </c>
      <c r="B26" s="3">
        <f t="shared" si="0"/>
        <v>2.4148066813374897E-3</v>
      </c>
      <c r="C26" s="3">
        <f t="shared" si="1"/>
        <v>2.1518839561825791E-3</v>
      </c>
      <c r="D26">
        <v>4</v>
      </c>
      <c r="E26">
        <v>1.0833E-4</v>
      </c>
      <c r="I26">
        <v>1.0878999999999999E-3</v>
      </c>
      <c r="M26">
        <v>0</v>
      </c>
      <c r="Q26">
        <v>0</v>
      </c>
    </row>
    <row r="27" spans="1:23">
      <c r="A27" t="s">
        <v>71</v>
      </c>
      <c r="B27" s="3">
        <f t="shared" si="0"/>
        <v>4.0525321802866235E-2</v>
      </c>
      <c r="C27" s="3">
        <f t="shared" si="1"/>
        <v>1.0607779336649765E-2</v>
      </c>
      <c r="D27">
        <v>4</v>
      </c>
      <c r="E27">
        <v>7.4231999999999996E-3</v>
      </c>
      <c r="I27">
        <v>5.3622000000000001E-3</v>
      </c>
      <c r="M27">
        <v>1.2199999999999999E-3</v>
      </c>
      <c r="Q27">
        <v>5.7781000000000004E-3</v>
      </c>
    </row>
    <row r="28" spans="1:23">
      <c r="A28" t="s">
        <v>72</v>
      </c>
      <c r="B28" s="3">
        <f t="shared" si="0"/>
        <v>1.2477295668873086E-2</v>
      </c>
      <c r="C28" s="3">
        <f t="shared" si="1"/>
        <v>2.9889581660168148E-3</v>
      </c>
      <c r="D28">
        <v>4</v>
      </c>
      <c r="E28">
        <v>2.2696000000000001E-3</v>
      </c>
      <c r="I28">
        <v>8.6735000000000002E-4</v>
      </c>
      <c r="M28">
        <v>2.2939000000000002E-3</v>
      </c>
      <c r="Q28">
        <v>8.2702000000000003E-4</v>
      </c>
    </row>
    <row r="29" spans="1:23">
      <c r="A29" t="s">
        <v>69</v>
      </c>
      <c r="B29" s="3">
        <f t="shared" si="0"/>
        <v>1.4515216282482889E-2</v>
      </c>
      <c r="C29" s="3">
        <f t="shared" si="1"/>
        <v>6.9690627460084224E-3</v>
      </c>
      <c r="D29">
        <v>4</v>
      </c>
      <c r="E29">
        <v>4.4241999999999997E-3</v>
      </c>
      <c r="I29">
        <v>1.8213999999999999E-3</v>
      </c>
      <c r="M29">
        <v>0</v>
      </c>
      <c r="Q29">
        <v>1.0887E-3</v>
      </c>
    </row>
    <row r="30" spans="1:23">
      <c r="A30" t="s">
        <v>68</v>
      </c>
      <c r="B30" s="3">
        <f>AVERAGE(U30/U9,V30/V9,W30/W9)</f>
        <v>2.4823164000783358E-2</v>
      </c>
      <c r="C30" s="3">
        <f>STDEV(U30/U9,V30/V9,W30/W9)/SQRT(D30)</f>
        <v>9.8466812113487678E-3</v>
      </c>
      <c r="D30">
        <f>COUNT(E30:AZ30)</f>
        <v>3</v>
      </c>
      <c r="U30">
        <v>9.5615004931231852E-3</v>
      </c>
      <c r="V30">
        <v>1.679587005076191E-2</v>
      </c>
      <c r="W30">
        <v>3.035308034076097E-3</v>
      </c>
    </row>
    <row r="31" spans="1:23">
      <c r="A31" t="s">
        <v>70</v>
      </c>
      <c r="B31" s="3">
        <f>AVERAGE(F31/E$9,J31/I$9,N31/M$9,R31/Q$9)</f>
        <v>1</v>
      </c>
      <c r="C31" s="3">
        <f>STDEV(F31/E$9,J31/I$9,N31/M$9,R31/Q$9)/SQRT(D31)</f>
        <v>0</v>
      </c>
      <c r="D31">
        <v>4</v>
      </c>
      <c r="F31">
        <v>0.13300000000000001</v>
      </c>
      <c r="J31">
        <v>0.123</v>
      </c>
      <c r="N31">
        <v>0.126</v>
      </c>
      <c r="R31">
        <v>0.109</v>
      </c>
    </row>
    <row r="32" spans="1:23">
      <c r="A32" t="s">
        <v>23</v>
      </c>
      <c r="B32" s="3">
        <f>AVERAGE(E32/E$9,I32/I$9,M32/M$9,Q32/Q$9)</f>
        <v>0</v>
      </c>
      <c r="C32" s="3">
        <f>STDEV(E32/E$9,I32/I$9,M32/M$9,Q32/Q$9)/SQRT(D32)</f>
        <v>0</v>
      </c>
      <c r="D32">
        <v>4</v>
      </c>
      <c r="E32">
        <v>0</v>
      </c>
      <c r="I32">
        <v>0</v>
      </c>
      <c r="M32">
        <v>0</v>
      </c>
      <c r="Q32">
        <v>0</v>
      </c>
    </row>
    <row r="33" spans="1:17">
      <c r="A33" t="s">
        <v>24</v>
      </c>
      <c r="B33" s="3">
        <f>AVERAGE(E33/E$9,I33/I$9,M33/M$9,Q33/Q$9)</f>
        <v>0</v>
      </c>
      <c r="C33" s="3">
        <f>STDEV(E33/E$9,I33/I$9,M33/M$9,Q33/Q$9)/SQRT(D33)</f>
        <v>0</v>
      </c>
      <c r="D33">
        <v>4</v>
      </c>
      <c r="E33">
        <v>0</v>
      </c>
      <c r="I33">
        <v>0</v>
      </c>
      <c r="M33">
        <v>0</v>
      </c>
      <c r="Q33">
        <v>0</v>
      </c>
    </row>
    <row r="34" spans="1:17">
      <c r="B34" s="3"/>
      <c r="C34" s="3"/>
    </row>
    <row r="35" spans="1:17">
      <c r="B35" s="3"/>
      <c r="C35" s="3"/>
    </row>
    <row r="36" spans="1:17">
      <c r="A36" s="1" t="s">
        <v>16</v>
      </c>
      <c r="B36" s="24"/>
      <c r="C36" s="24"/>
      <c r="D36" s="1"/>
    </row>
    <row r="37" spans="1:17">
      <c r="A37" t="s">
        <v>7</v>
      </c>
      <c r="B37" s="3">
        <f>AVERAGE(I37/I$9,M37/M$9,Q37/Q$9)</f>
        <v>0.29015823764179105</v>
      </c>
      <c r="C37" s="3">
        <f>STDEV(I37/I$9,M37/M$9,Q37/Q$9)/SQRT(D37)</f>
        <v>2.9995724665962932E-2</v>
      </c>
      <c r="D37">
        <v>3</v>
      </c>
      <c r="E37" s="17">
        <v>0.25</v>
      </c>
      <c r="I37">
        <v>3.1647000000000002E-2</v>
      </c>
      <c r="M37">
        <v>3.3154000000000003E-2</v>
      </c>
      <c r="Q37">
        <v>3.8156000000000002E-2</v>
      </c>
    </row>
    <row r="38" spans="1:17">
      <c r="A38" t="s">
        <v>8</v>
      </c>
      <c r="B38" s="3">
        <f>AVERAGE(E38/E$9,I38/I$9,M38/M$9,Q38/Q$9)</f>
        <v>3.9045748440523997E-2</v>
      </c>
      <c r="C38" s="3">
        <f>STDEV(E38/E$9,I38/I$9,M38/M$9,Q38/Q$9)/SQRT(D38)</f>
        <v>8.0680430848793193E-3</v>
      </c>
      <c r="D38">
        <v>4</v>
      </c>
      <c r="E38">
        <v>6.0334999999999998E-3</v>
      </c>
      <c r="I38">
        <v>7.0307E-3</v>
      </c>
      <c r="M38">
        <v>4.3340999999999996E-3</v>
      </c>
      <c r="Q38">
        <v>2.0994E-3</v>
      </c>
    </row>
    <row r="39" spans="1:17">
      <c r="A39" t="s">
        <v>9</v>
      </c>
      <c r="B39" s="3">
        <f>AVERAGE(E39/E$9,I39/I$9,M39/M$9,Q39/Q$9)</f>
        <v>9.5264687561280328E-2</v>
      </c>
      <c r="C39" s="3">
        <f>STDEV(E39/E$9,I39/I$9,M39/M$9,Q39/Q$9)/SQRT(D39)</f>
        <v>6.7521806698344422E-3</v>
      </c>
      <c r="D39">
        <v>4</v>
      </c>
      <c r="E39">
        <v>1.3261E-2</v>
      </c>
      <c r="I39">
        <v>1.2533000000000001E-2</v>
      </c>
      <c r="M39">
        <v>9.4753000000000007E-3</v>
      </c>
      <c r="Q39">
        <v>1.1364000000000001E-2</v>
      </c>
    </row>
    <row r="40" spans="1:17">
      <c r="A40" t="s">
        <v>10</v>
      </c>
      <c r="B40" s="3">
        <f>AVERAGE(E40/E$9,I40/I$9,M40/M$9,Q40/Q$9)</f>
        <v>7.0964917162096713E-2</v>
      </c>
      <c r="C40" s="3">
        <f>STDEV(E40/E$9,I40/I$9,M40/M$9,Q40/Q$9)/SQRT(D40)</f>
        <v>6.3061918902062543E-3</v>
      </c>
      <c r="D40">
        <v>4</v>
      </c>
      <c r="E40">
        <v>8.9453999999999992E-3</v>
      </c>
      <c r="I40">
        <v>9.5977000000000007E-3</v>
      </c>
      <c r="M40">
        <v>6.9305E-3</v>
      </c>
      <c r="Q40">
        <v>9.1088000000000002E-3</v>
      </c>
    </row>
    <row r="41" spans="1:17">
      <c r="A41" t="s">
        <v>11</v>
      </c>
      <c r="B41" s="3">
        <f>AVERAGE(E41/E$9,I41/I$9,M41/M$9,Q41/Q$9)</f>
        <v>4.288765864650438E-2</v>
      </c>
      <c r="C41" s="3">
        <f>STDEV(E41/E$9,I41/I$9,M41/M$9,Q41/Q$9)/SQRT(D41)</f>
        <v>7.5634219956363449E-3</v>
      </c>
      <c r="D41">
        <v>4</v>
      </c>
      <c r="E41">
        <v>7.2664000000000001E-3</v>
      </c>
      <c r="I41">
        <v>7.0022000000000001E-3</v>
      </c>
      <c r="M41">
        <v>4.1657999999999999E-3</v>
      </c>
      <c r="Q41">
        <v>2.9348999999999998E-3</v>
      </c>
    </row>
    <row r="42" spans="1:17">
      <c r="A42" t="s">
        <v>49</v>
      </c>
      <c r="B42" s="3" t="s">
        <v>30</v>
      </c>
      <c r="C42" s="3" t="s">
        <v>30</v>
      </c>
    </row>
    <row r="43" spans="1:17">
      <c r="A43" t="s">
        <v>12</v>
      </c>
      <c r="B43" s="3">
        <f>AVERAGE(E43/E$9,I43/I$9,M43/M$9,Q43/Q$9)</f>
        <v>4.4711153055122334E-2</v>
      </c>
      <c r="C43" s="3">
        <f>STDEV(E43/E$9,I43/I$9,M43/M$9,Q43/Q$9)/SQRT(D43)</f>
        <v>3.1951678087481844E-3</v>
      </c>
      <c r="D43">
        <v>4</v>
      </c>
      <c r="E43">
        <v>6.6525000000000004E-3</v>
      </c>
      <c r="I43">
        <v>5.8081000000000001E-3</v>
      </c>
      <c r="M43">
        <v>4.4656000000000001E-3</v>
      </c>
      <c r="Q43">
        <v>5.0318999999999997E-3</v>
      </c>
    </row>
    <row r="44" spans="1:17">
      <c r="A44" t="s">
        <v>13</v>
      </c>
      <c r="B44" s="3">
        <f>AVERAGE(E44/E$9,I44/I$9,M44/M$9,Q44/Q$9)</f>
        <v>6.6292481013733709E-2</v>
      </c>
      <c r="C44" s="3">
        <f>STDEV(E44/E$9,I44/I$9,M44/M$9,Q44/Q$9)/SQRT(D44)</f>
        <v>1.7545559680317182E-3</v>
      </c>
      <c r="D44">
        <v>4</v>
      </c>
      <c r="E44">
        <v>8.7556000000000005E-3</v>
      </c>
      <c r="I44">
        <v>8.6184E-3</v>
      </c>
      <c r="M44">
        <v>7.7768999999999998E-3</v>
      </c>
      <c r="Q44">
        <v>7.3628000000000001E-3</v>
      </c>
    </row>
    <row r="45" spans="1:17">
      <c r="A45" t="s">
        <v>14</v>
      </c>
      <c r="B45" s="3">
        <f>AVERAGE(E45/E$9,I45/I$9,M45/M$9,Q45/Q$9)</f>
        <v>2.2045036920544072E-2</v>
      </c>
      <c r="C45" s="3">
        <f>STDEV(E45/E$9,I45/I$9,M45/M$9,Q45/Q$9)/SQRT(D45)</f>
        <v>4.1567182635702093E-3</v>
      </c>
      <c r="D45">
        <v>4</v>
      </c>
      <c r="E45">
        <v>3.0363E-3</v>
      </c>
      <c r="I45">
        <v>2.8919000000000002E-3</v>
      </c>
      <c r="M45">
        <v>3.9023E-3</v>
      </c>
      <c r="Q45">
        <v>1.1846999999999999E-3</v>
      </c>
    </row>
    <row r="46" spans="1:17">
      <c r="A46" t="s">
        <v>56</v>
      </c>
      <c r="B46" s="3">
        <f>AVERAGE(E46/E$9,I46/I$9,M46/M$9)</f>
        <v>2.0312182896265053E-2</v>
      </c>
      <c r="C46" s="3">
        <f>STDEV(E46/E$9,I46/I$9,M46/M$9)/SQRT(D46)</f>
        <v>1.0643036430771502E-2</v>
      </c>
      <c r="D46">
        <v>3</v>
      </c>
      <c r="E46">
        <v>4.7854000000000004E-3</v>
      </c>
      <c r="I46" s="15">
        <v>3.0696E-3</v>
      </c>
      <c r="M46">
        <v>0</v>
      </c>
      <c r="Q46" s="17" t="s">
        <v>30</v>
      </c>
    </row>
    <row r="47" spans="1:17">
      <c r="A47" t="s">
        <v>57</v>
      </c>
      <c r="B47" s="3" t="s">
        <v>30</v>
      </c>
      <c r="C47" s="3" t="s">
        <v>30</v>
      </c>
      <c r="D47">
        <v>4</v>
      </c>
      <c r="E47" s="15"/>
    </row>
    <row r="48" spans="1:17">
      <c r="A48" t="s">
        <v>15</v>
      </c>
      <c r="B48" s="3">
        <f>AVERAGE(E48/E$9,I48/I$9,M48/M$9,Q48/Q$9)</f>
        <v>4.2194241982221159E-2</v>
      </c>
      <c r="C48" s="3">
        <f>STDEV(E48/E$9,I48/I$9,M48/M$9,Q48/Q$9)/SQRT(D48)</f>
        <v>8.6332381638133723E-3</v>
      </c>
      <c r="D48">
        <v>4</v>
      </c>
      <c r="E48" s="15">
        <v>6.5189999999999996E-3</v>
      </c>
      <c r="I48" s="15">
        <v>7.7919E-3</v>
      </c>
      <c r="M48">
        <v>3.8219999999999999E-3</v>
      </c>
      <c r="Q48">
        <v>2.8427000000000001E-3</v>
      </c>
    </row>
    <row r="49" spans="1:17">
      <c r="A49" t="s">
        <v>22</v>
      </c>
      <c r="B49" s="3">
        <f>AVERAGE(E49/E$9,I49/I$9,Q49/Q$9)</f>
        <v>4.3738226206225639E-2</v>
      </c>
      <c r="C49" s="3">
        <f>STDEV(E49/E$9,I49/I$9,Q49/Q$9)/SQRT(D49)</f>
        <v>2.8690332828513877E-3</v>
      </c>
      <c r="D49">
        <v>3</v>
      </c>
      <c r="E49">
        <v>6.5605000000000004E-3</v>
      </c>
      <c r="I49">
        <v>4.8976000000000002E-3</v>
      </c>
      <c r="M49" s="17" t="s">
        <v>30</v>
      </c>
      <c r="Q49">
        <v>4.5855999999999996E-3</v>
      </c>
    </row>
    <row r="50" spans="1:17">
      <c r="A50" t="s">
        <v>59</v>
      </c>
      <c r="B50" s="3" t="s">
        <v>30</v>
      </c>
      <c r="C50" s="3" t="s">
        <v>30</v>
      </c>
    </row>
    <row r="51" spans="1:17">
      <c r="A51" t="s">
        <v>58</v>
      </c>
      <c r="B51" s="3" t="s">
        <v>30</v>
      </c>
      <c r="C51" s="3" t="s">
        <v>30</v>
      </c>
    </row>
    <row r="52" spans="1:17">
      <c r="B52" s="3"/>
      <c r="C52" s="3"/>
    </row>
    <row r="53" spans="1:17">
      <c r="A53" s="1" t="s">
        <v>17</v>
      </c>
      <c r="B53" s="24"/>
      <c r="C53" s="24"/>
      <c r="D53" s="1"/>
    </row>
    <row r="54" spans="1:17">
      <c r="A54" t="s">
        <v>7</v>
      </c>
      <c r="B54" s="3">
        <f>AVERAGE(E54/E$9,I54/I$9,M54/M$9,Q54/Q$9)</f>
        <v>0.22272509546877564</v>
      </c>
      <c r="C54" s="3">
        <f>STDEV(E54/E$9,I54/I$9,M54/M$9,Q54/Q$9)/SQRT(D54)</f>
        <v>7.1199673211126219E-2</v>
      </c>
      <c r="D54">
        <v>4</v>
      </c>
      <c r="E54">
        <v>2.9705000000000001E-3</v>
      </c>
      <c r="I54">
        <v>3.0549E-2</v>
      </c>
      <c r="M54">
        <v>3.2932000000000003E-2</v>
      </c>
      <c r="Q54">
        <v>3.9113000000000002E-2</v>
      </c>
    </row>
    <row r="55" spans="1:17">
      <c r="A55" t="s">
        <v>8</v>
      </c>
      <c r="B55" s="3">
        <f>AVERAGE(I55/I$9,M55/M$9,Q55/Q$9)</f>
        <v>3.6688198122042381E-2</v>
      </c>
      <c r="C55" s="3">
        <f>STDEV(I55/I$9,M55/M$9,Q55/Q$9)/SQRT(D55)</f>
        <v>6.4126017617565784E-3</v>
      </c>
      <c r="D55">
        <v>3</v>
      </c>
      <c r="E55" s="17" t="s">
        <v>30</v>
      </c>
      <c r="I55">
        <v>5.7146999999999996E-3</v>
      </c>
      <c r="M55">
        <v>4.9132999999999998E-3</v>
      </c>
      <c r="Q55">
        <v>2.6824000000000001E-3</v>
      </c>
    </row>
    <row r="56" spans="1:17">
      <c r="A56" t="s">
        <v>9</v>
      </c>
      <c r="B56" s="3">
        <f>AVERAGE(E56/E$9,I56/I$9,M56/M$9,Q56/Q$9)</f>
        <v>9.1666787374287129E-2</v>
      </c>
      <c r="C56" s="3">
        <f>STDEV(E56/E$9,I56/I$9,M56/M$9,Q56/Q$9)/SQRT(D56)</f>
        <v>5.8553673183254001E-3</v>
      </c>
      <c r="D56">
        <v>4</v>
      </c>
      <c r="E56">
        <v>1.2997999999999999E-2</v>
      </c>
      <c r="I56">
        <v>1.2364999999999999E-2</v>
      </c>
      <c r="M56">
        <v>9.3986999999999994E-3</v>
      </c>
      <c r="Q56">
        <v>1.0226000000000001E-2</v>
      </c>
    </row>
    <row r="57" spans="1:17">
      <c r="A57" t="s">
        <v>10</v>
      </c>
      <c r="B57" s="3">
        <f>AVERAGE(E57/E$9,I57/I$9,M57/M$9,Q57/Q$9)</f>
        <v>6.8686852751330851E-2</v>
      </c>
      <c r="C57" s="3">
        <f>STDEV(E57/E$9,I57/I$9,M57/M$9,Q57/Q$9)/SQRT(D57)</f>
        <v>3.7386267169967013E-3</v>
      </c>
      <c r="D57">
        <v>4</v>
      </c>
      <c r="E57">
        <v>9.3752999999999996E-3</v>
      </c>
      <c r="I57">
        <v>8.8365000000000006E-3</v>
      </c>
      <c r="M57">
        <v>7.2795999999999998E-3</v>
      </c>
      <c r="Q57">
        <v>8.1358000000000003E-3</v>
      </c>
    </row>
    <row r="58" spans="1:17">
      <c r="A58" t="s">
        <v>11</v>
      </c>
      <c r="B58" s="3">
        <f>AVERAGE(E58/E$9,I58/I$9,M58/M$9,Q58/Q$9)</f>
        <v>3.7278704427306054E-2</v>
      </c>
      <c r="C58" s="3">
        <f>STDEV(E58/E$9,I58/I$9,M58/M$9,Q58/Q$9)/SQRT(D58)</f>
        <v>9.2465977425777949E-3</v>
      </c>
      <c r="D58">
        <v>4</v>
      </c>
      <c r="E58">
        <v>6.9461000000000002E-3</v>
      </c>
      <c r="I58">
        <v>6.6766000000000004E-3</v>
      </c>
      <c r="M58">
        <v>2.8403E-3</v>
      </c>
      <c r="Q58">
        <v>2.1871E-3</v>
      </c>
    </row>
    <row r="59" spans="1:17">
      <c r="A59" t="s">
        <v>49</v>
      </c>
      <c r="B59" s="3" t="s">
        <v>30</v>
      </c>
      <c r="C59" s="3" t="s">
        <v>30</v>
      </c>
    </row>
    <row r="60" spans="1:17">
      <c r="A60" t="s">
        <v>12</v>
      </c>
      <c r="B60" s="3">
        <f>AVERAGE(E60/E$9,I60/I$9,M60/M$9,Q60/Q$9)</f>
        <v>4.0706992111067555E-2</v>
      </c>
      <c r="C60" s="3">
        <f>STDEV(E60/E$9,I60/I$9,M60/M$9,Q60/Q$9)/SQRT(D60)</f>
        <v>2.4467444561852326E-3</v>
      </c>
      <c r="D60">
        <v>4</v>
      </c>
      <c r="E60">
        <v>6.0511999999999996E-3</v>
      </c>
      <c r="I60">
        <v>5.0473999999999996E-3</v>
      </c>
      <c r="M60">
        <v>4.2744000000000002E-3</v>
      </c>
      <c r="Q60">
        <v>4.6183999999999999E-3</v>
      </c>
    </row>
    <row r="61" spans="1:17">
      <c r="A61" t="s">
        <v>13</v>
      </c>
      <c r="B61" s="3">
        <f>AVERAGE(E61/E$9,I61/I$9,M61/M$9,Q61/Q$9)</f>
        <v>5.1302009160198177E-2</v>
      </c>
      <c r="C61" s="3">
        <f>STDEV(E61/E$9,I61/I$9,M61/M$9,Q61/Q$9)/SQRT(D61)</f>
        <v>4.0407556946833092E-3</v>
      </c>
      <c r="D61">
        <v>4</v>
      </c>
      <c r="E61">
        <v>8.2170999999999998E-3</v>
      </c>
      <c r="I61">
        <v>6.5706000000000002E-3</v>
      </c>
      <c r="M61">
        <v>5.8038999999999999E-3</v>
      </c>
      <c r="Q61">
        <v>4.7898000000000003E-3</v>
      </c>
    </row>
    <row r="62" spans="1:17">
      <c r="A62" t="s">
        <v>14</v>
      </c>
      <c r="B62" s="3">
        <f>AVERAGE(E62/E$9,I62/I$9,M62/M$9,Q62/Q$9)</f>
        <v>1.9678796119952303E-2</v>
      </c>
      <c r="C62" s="3">
        <f>STDEV(E62/E$9,I62/I$9,M62/M$9,Q62/Q$9)/SQRT(D62)</f>
        <v>4.2459383009717721E-3</v>
      </c>
      <c r="D62">
        <v>4</v>
      </c>
      <c r="E62">
        <v>2.8643000000000002E-3</v>
      </c>
      <c r="I62">
        <v>2.0893000000000001E-3</v>
      </c>
      <c r="M62">
        <v>3.8086999999999999E-3</v>
      </c>
      <c r="Q62">
        <v>1.0862000000000001E-3</v>
      </c>
    </row>
    <row r="63" spans="1:17">
      <c r="A63" t="s">
        <v>56</v>
      </c>
      <c r="B63" s="3">
        <f>AVERAGE(E63/E$9,I63/I$9,M63/M$9,Q63/Q$9)</f>
        <v>2.6404730540923054E-2</v>
      </c>
      <c r="C63" s="3">
        <f>STDEV(E63/E$9,I63/I$9,M63/M$9,Q63/Q$9)/SQRT(D63)</f>
        <v>1.2799557509030109E-2</v>
      </c>
      <c r="D63">
        <v>4</v>
      </c>
      <c r="E63">
        <v>5.1435999999999999E-3</v>
      </c>
      <c r="I63">
        <v>6.9604000000000003E-3</v>
      </c>
      <c r="M63">
        <v>8.1254000000000005E-4</v>
      </c>
      <c r="Q63">
        <v>4.2596000000000002E-4</v>
      </c>
    </row>
    <row r="64" spans="1:17">
      <c r="A64" t="s">
        <v>57</v>
      </c>
      <c r="B64" s="3" t="s">
        <v>30</v>
      </c>
      <c r="C64" s="3" t="s">
        <v>30</v>
      </c>
    </row>
    <row r="65" spans="1:17">
      <c r="A65" t="s">
        <v>15</v>
      </c>
      <c r="B65" s="3">
        <f>AVERAGE(E65/E$9,I65/I$9,M65/M$9,Q65/Q$9)</f>
        <v>5.1129433136152078E-2</v>
      </c>
      <c r="C65" s="3">
        <f>STDEV(E65/E$9,I65/I$9,M65/M$9,Q65/Q$9)/SQRT(D65)</f>
        <v>9.4272931486215367E-3</v>
      </c>
      <c r="D65">
        <v>4</v>
      </c>
      <c r="E65">
        <v>7.6997999999999997E-3</v>
      </c>
      <c r="I65">
        <v>9.1009000000000003E-3</v>
      </c>
      <c r="M65">
        <v>3.8901000000000001E-3</v>
      </c>
      <c r="Q65">
        <v>4.5517999999999999E-3</v>
      </c>
    </row>
    <row r="66" spans="1:17">
      <c r="A66" t="s">
        <v>22</v>
      </c>
      <c r="B66" s="3">
        <f>AVERAGE(E66/E$9,I66/I$9,M66/M$9,Q66/Q$9)</f>
        <v>4.9645494650047209E-2</v>
      </c>
      <c r="C66" s="3">
        <f>STDEV(E66/E$9,I66/I$9,M66/M$9,Q66/Q$9)/SQRT(D66)</f>
        <v>4.9228947583043001E-3</v>
      </c>
      <c r="D66">
        <v>4</v>
      </c>
      <c r="E66">
        <v>6.4127000000000003E-3</v>
      </c>
      <c r="I66">
        <v>4.8370000000000002E-3</v>
      </c>
      <c r="M66">
        <v>6.0474999999999999E-3</v>
      </c>
      <c r="Q66">
        <v>6.8719000000000002E-3</v>
      </c>
    </row>
    <row r="67" spans="1:17">
      <c r="A67" t="s">
        <v>59</v>
      </c>
      <c r="B67" s="3" t="s">
        <v>30</v>
      </c>
      <c r="C67" s="3" t="s">
        <v>30</v>
      </c>
    </row>
    <row r="68" spans="1:17">
      <c r="A68" t="s">
        <v>58</v>
      </c>
      <c r="B68" s="3" t="s">
        <v>30</v>
      </c>
      <c r="C68" s="3" t="s">
        <v>30</v>
      </c>
    </row>
    <row r="81" spans="1:27">
      <c r="A81" s="1" t="s">
        <v>32</v>
      </c>
      <c r="B81" s="1"/>
      <c r="C81" s="1"/>
      <c r="D81" s="1"/>
      <c r="E81" s="8"/>
      <c r="H81" s="8"/>
      <c r="I81" s="74">
        <v>43423</v>
      </c>
      <c r="J81" s="9"/>
      <c r="K81" s="9"/>
      <c r="L81" s="9"/>
      <c r="M81" s="74">
        <v>43423</v>
      </c>
      <c r="N81" s="9"/>
      <c r="O81" s="9"/>
      <c r="Q81" s="74"/>
      <c r="R81" s="9"/>
      <c r="U81" s="74"/>
      <c r="V81" s="9"/>
      <c r="Y81" s="74"/>
      <c r="Z81" s="9"/>
    </row>
    <row r="82" spans="1:27">
      <c r="A82" s="1" t="s">
        <v>33</v>
      </c>
      <c r="B82" s="1"/>
      <c r="C82" s="1"/>
      <c r="D82" s="1"/>
      <c r="E82" s="9"/>
      <c r="I82" s="44" t="s">
        <v>39</v>
      </c>
      <c r="M82" s="44" t="s">
        <v>39</v>
      </c>
      <c r="Q82" s="44" t="s">
        <v>132</v>
      </c>
      <c r="U82" s="44" t="s">
        <v>132</v>
      </c>
      <c r="Y82" s="44" t="s">
        <v>132</v>
      </c>
    </row>
    <row r="83" spans="1:27">
      <c r="A83" s="1" t="s">
        <v>34</v>
      </c>
      <c r="B83" s="1"/>
      <c r="C83" s="1"/>
      <c r="D83" s="1"/>
      <c r="E83" s="25"/>
      <c r="I83" s="80" t="s">
        <v>40</v>
      </c>
      <c r="M83" s="80" t="s">
        <v>73</v>
      </c>
      <c r="Q83" s="80" t="s">
        <v>247</v>
      </c>
      <c r="U83" s="80" t="s">
        <v>248</v>
      </c>
      <c r="Y83" s="80" t="s">
        <v>249</v>
      </c>
    </row>
    <row r="84" spans="1:27">
      <c r="A84" s="1" t="s">
        <v>35</v>
      </c>
      <c r="B84" s="1"/>
      <c r="C84" s="1"/>
      <c r="D84" s="1"/>
      <c r="E84" s="9"/>
      <c r="I84" s="44" t="s">
        <v>52</v>
      </c>
      <c r="M84" s="44" t="s">
        <v>52</v>
      </c>
      <c r="Q84" s="44" t="s">
        <v>52</v>
      </c>
      <c r="U84" s="44" t="s">
        <v>52</v>
      </c>
      <c r="Y84" s="44" t="s">
        <v>52</v>
      </c>
    </row>
    <row r="85" spans="1:27">
      <c r="A85" s="1" t="s">
        <v>36</v>
      </c>
      <c r="B85" s="1"/>
      <c r="C85" s="1"/>
      <c r="D85" s="1"/>
      <c r="E85" s="9"/>
      <c r="I85" s="75" t="s">
        <v>42</v>
      </c>
      <c r="M85" s="75" t="s">
        <v>42</v>
      </c>
      <c r="Q85" s="75" t="s">
        <v>42</v>
      </c>
      <c r="U85" s="75" t="s">
        <v>42</v>
      </c>
      <c r="Y85" s="75" t="s">
        <v>42</v>
      </c>
    </row>
    <row r="86" spans="1:27">
      <c r="A86" s="1" t="s">
        <v>37</v>
      </c>
      <c r="B86" s="1"/>
      <c r="C86" s="1"/>
      <c r="D86" s="1"/>
      <c r="I86" s="44">
        <v>100</v>
      </c>
      <c r="M86" s="44">
        <v>100</v>
      </c>
      <c r="Q86" s="44">
        <v>100</v>
      </c>
      <c r="U86" s="44">
        <v>100</v>
      </c>
      <c r="Y86" s="44">
        <v>100</v>
      </c>
    </row>
    <row r="87" spans="1:27">
      <c r="A87" s="1" t="s">
        <v>38</v>
      </c>
      <c r="B87" s="1"/>
      <c r="C87" s="1"/>
      <c r="D87" s="1"/>
      <c r="I87" s="44">
        <v>0.1</v>
      </c>
      <c r="M87" s="44">
        <v>0.1</v>
      </c>
      <c r="Q87" s="44">
        <v>0.1</v>
      </c>
      <c r="U87" s="44">
        <v>0.1</v>
      </c>
      <c r="Y87" s="44">
        <v>0.1</v>
      </c>
    </row>
    <row r="88" spans="1:27">
      <c r="A88" s="1" t="s">
        <v>43</v>
      </c>
      <c r="B88" s="1"/>
      <c r="C88" s="1"/>
      <c r="D88" s="1"/>
      <c r="I88">
        <f>J111</f>
        <v>0.17799999999999999</v>
      </c>
      <c r="M88">
        <f>N111</f>
        <v>0.14000000000000001</v>
      </c>
      <c r="Q88">
        <f>AVERAGE(S111:T111)</f>
        <v>0.11651526040431201</v>
      </c>
      <c r="U88">
        <f>AVERAGE(W111:X111)</f>
        <v>0.126403667861128</v>
      </c>
      <c r="Y88">
        <f>AVERAGE(AA111:AB111)</f>
        <v>0.12358835226298751</v>
      </c>
    </row>
    <row r="89" spans="1:27">
      <c r="A89" s="1" t="s">
        <v>54</v>
      </c>
      <c r="B89" s="1"/>
      <c r="C89" s="1"/>
      <c r="D89" s="1"/>
      <c r="I89">
        <v>0.17799999999999999</v>
      </c>
      <c r="M89">
        <v>0.14000000000000001</v>
      </c>
      <c r="Q89">
        <f>Q88</f>
        <v>0.11651526040431201</v>
      </c>
      <c r="U89">
        <f>U88</f>
        <v>0.126403667861128</v>
      </c>
      <c r="Y89">
        <f>Y88</f>
        <v>0.12358835226298751</v>
      </c>
    </row>
    <row r="90" spans="1:27">
      <c r="A90" s="1" t="s">
        <v>44</v>
      </c>
      <c r="B90" s="22">
        <f>AVERAGE(I90,M90)</f>
        <v>53.804173354735155</v>
      </c>
      <c r="C90" s="22">
        <f>STDEV(I90,M90)/SQRT(D90)</f>
        <v>4.8220927402246367</v>
      </c>
      <c r="D90" s="1">
        <v>5</v>
      </c>
      <c r="E90" s="23"/>
      <c r="I90" s="21">
        <f>I86*I87*(1-I88)/I88</f>
        <v>46.17977528089888</v>
      </c>
      <c r="M90" s="21">
        <f>M86*M87*(1-M88)/M88</f>
        <v>61.428571428571423</v>
      </c>
      <c r="Q90" s="21">
        <f>Q86*Q87*(1-Q88)/Q88</f>
        <v>75.825667515994482</v>
      </c>
      <c r="U90" s="21">
        <f>U86*U87*(1-U88)/U88</f>
        <v>69.111628398207486</v>
      </c>
      <c r="Y90" s="21">
        <f>Y86*Y87*(1-Y88)/Y88</f>
        <v>70.913773967312778</v>
      </c>
    </row>
    <row r="91" spans="1:27">
      <c r="A91" s="1"/>
      <c r="B91" s="1"/>
      <c r="C91" s="1"/>
      <c r="D91" s="1"/>
    </row>
    <row r="92" spans="1:27">
      <c r="A92" s="1" t="s">
        <v>33</v>
      </c>
      <c r="B92" s="1"/>
      <c r="C92" s="1"/>
      <c r="D92" s="1"/>
      <c r="I92" t="s">
        <v>39</v>
      </c>
      <c r="J92" t="s">
        <v>39</v>
      </c>
      <c r="K92" t="s">
        <v>113</v>
      </c>
      <c r="M92" t="s">
        <v>39</v>
      </c>
      <c r="N92" t="s">
        <v>39</v>
      </c>
      <c r="O92" t="s">
        <v>113</v>
      </c>
      <c r="Q92" t="s">
        <v>132</v>
      </c>
      <c r="S92" t="s">
        <v>132</v>
      </c>
      <c r="U92" t="s">
        <v>132</v>
      </c>
      <c r="W92" t="s">
        <v>132</v>
      </c>
      <c r="Y92" t="s">
        <v>132</v>
      </c>
      <c r="AA92" t="s">
        <v>132</v>
      </c>
    </row>
    <row r="93" spans="1:27">
      <c r="A93" s="1" t="s">
        <v>45</v>
      </c>
      <c r="B93" s="1"/>
      <c r="C93" s="1"/>
      <c r="D93" s="1"/>
      <c r="I93" t="s">
        <v>47</v>
      </c>
      <c r="J93" t="s">
        <v>47</v>
      </c>
      <c r="M93" t="s">
        <v>47</v>
      </c>
      <c r="N93" t="s">
        <v>47</v>
      </c>
      <c r="Q93" t="s">
        <v>246</v>
      </c>
      <c r="S93" t="s">
        <v>47</v>
      </c>
      <c r="U93" t="s">
        <v>246</v>
      </c>
      <c r="W93" t="s">
        <v>47</v>
      </c>
      <c r="Y93" t="s">
        <v>47</v>
      </c>
      <c r="AA93" t="s">
        <v>47</v>
      </c>
    </row>
    <row r="94" spans="1:27" ht="85">
      <c r="A94" s="12" t="s">
        <v>31</v>
      </c>
      <c r="B94" s="12"/>
      <c r="C94" s="12"/>
      <c r="D94" s="12"/>
      <c r="E94" s="11"/>
      <c r="F94" s="11"/>
      <c r="G94" s="10"/>
      <c r="H94" s="10"/>
      <c r="I94" s="11" t="s">
        <v>78</v>
      </c>
      <c r="J94" s="11" t="s">
        <v>48</v>
      </c>
      <c r="K94" s="47">
        <v>43672</v>
      </c>
      <c r="M94" s="11" t="s">
        <v>78</v>
      </c>
      <c r="N94" s="11" t="s">
        <v>48</v>
      </c>
      <c r="O94" s="47">
        <v>43672</v>
      </c>
      <c r="Q94" s="10" t="s">
        <v>244</v>
      </c>
      <c r="R94" s="10"/>
      <c r="S94" s="10" t="s">
        <v>245</v>
      </c>
      <c r="U94" s="10" t="s">
        <v>244</v>
      </c>
      <c r="V94" s="10"/>
      <c r="W94" s="10" t="s">
        <v>245</v>
      </c>
      <c r="Y94" s="10" t="s">
        <v>250</v>
      </c>
      <c r="Z94" s="10"/>
      <c r="AA94" s="10" t="s">
        <v>245</v>
      </c>
    </row>
    <row r="96" spans="1:27">
      <c r="A96" s="1" t="s">
        <v>50</v>
      </c>
      <c r="B96" s="1"/>
      <c r="C96" s="1"/>
      <c r="D96" s="1"/>
      <c r="Y96" t="s">
        <v>251</v>
      </c>
    </row>
    <row r="97" spans="1:28">
      <c r="B97" s="1" t="s">
        <v>5</v>
      </c>
      <c r="C97" s="1" t="s">
        <v>6</v>
      </c>
      <c r="D97" s="1" t="s">
        <v>55</v>
      </c>
    </row>
    <row r="98" spans="1:28">
      <c r="A98" s="1" t="s">
        <v>0</v>
      </c>
      <c r="B98" s="1"/>
      <c r="C98" s="1"/>
      <c r="D98" s="1"/>
    </row>
    <row r="99" spans="1:28">
      <c r="A99" t="s">
        <v>60</v>
      </c>
      <c r="B99">
        <f>AVERAGE(I99/I$89,M99/M$89,AVERAGE(Q99/Q$89,R99/Q$89),AVERAGE(U99/U$89,V99/U$89))</f>
        <v>5.7744719615013609E-2</v>
      </c>
      <c r="C99">
        <f>STDEV(I99/I$89,M99/M$89,AVERAGE(Q99/Q$89,R99/Q$89),AVERAGE(U99/U$89,V99/U$89))/SQRT(D99)</f>
        <v>5.0738728263856961E-3</v>
      </c>
      <c r="D99">
        <v>4</v>
      </c>
      <c r="E99" s="17"/>
      <c r="F99" s="17"/>
      <c r="I99">
        <v>7.9083000000000001E-3</v>
      </c>
      <c r="M99">
        <v>9.4923999999999998E-3</v>
      </c>
      <c r="Q99">
        <v>6.6333E-3</v>
      </c>
      <c r="R99">
        <v>6.3763999999999999E-3</v>
      </c>
      <c r="U99">
        <v>6.9603E-3</v>
      </c>
      <c r="V99">
        <v>8.9461000000000002E-3</v>
      </c>
    </row>
    <row r="100" spans="1:28">
      <c r="A100" t="s">
        <v>61</v>
      </c>
      <c r="B100">
        <f>AVERAGE(I100/I$89,M100/M$89,AVERAGE(Q100/Q$89,R100/Q$89),AVERAGE(U100/U$89,V100/U$89))</f>
        <v>8.1802781523001078E-2</v>
      </c>
      <c r="C100">
        <f>STDEV(I100/I$89,M100/M$89,AVERAGE(Q100/Q$89,R100/Q$89),AVERAGE(U100/U$89,V100/U$89))/SQRT(D100)</f>
        <v>6.5994703147427645E-3</v>
      </c>
      <c r="D100">
        <v>4</v>
      </c>
      <c r="E100" s="17"/>
      <c r="F100" s="17"/>
      <c r="I100">
        <v>1.1106E-2</v>
      </c>
      <c r="M100">
        <v>1.1975E-2</v>
      </c>
      <c r="Q100">
        <v>9.4661999999999993E-3</v>
      </c>
      <c r="R100">
        <v>1.0926E-2</v>
      </c>
      <c r="U100">
        <v>1.1004999999999999E-2</v>
      </c>
      <c r="V100">
        <v>1.2196E-2</v>
      </c>
    </row>
    <row r="101" spans="1:28">
      <c r="A101" t="s">
        <v>62</v>
      </c>
      <c r="B101">
        <f t="shared" ref="B101:B109" si="2">AVERAGE(I101/I$89,M101/M$89,AVERAGE(Q101/Q$89,R101/Q$89),AVERAGE(U101/U$89,V101/U$89))</f>
        <v>1.2003951696440994E-2</v>
      </c>
      <c r="C101">
        <f t="shared" ref="C101:C109" si="3">STDEV(I101/I$89,M101/M$89,AVERAGE(Q101/Q$89,R101/Q$89),AVERAGE(U101/U$89,V101/U$89))/SQRT(D101)</f>
        <v>1.9638973107994179E-3</v>
      </c>
      <c r="D101">
        <v>4</v>
      </c>
      <c r="E101" s="17"/>
      <c r="F101" s="17"/>
      <c r="I101">
        <v>2.2694E-3</v>
      </c>
      <c r="M101">
        <v>2.4077999999999999E-3</v>
      </c>
      <c r="Q101">
        <v>9.6692999999999996E-4</v>
      </c>
      <c r="R101">
        <v>1.3110999999999999E-3</v>
      </c>
      <c r="U101">
        <v>7.8100999999999995E-4</v>
      </c>
      <c r="V101">
        <v>1.3152999999999999E-3</v>
      </c>
    </row>
    <row r="102" spans="1:28">
      <c r="A102" t="s">
        <v>63</v>
      </c>
      <c r="B102">
        <f t="shared" si="2"/>
        <v>3.253453169543364E-2</v>
      </c>
      <c r="C102">
        <f t="shared" si="3"/>
        <v>9.1780514113762989E-3</v>
      </c>
      <c r="D102">
        <v>4</v>
      </c>
      <c r="E102" s="17"/>
      <c r="F102" s="17"/>
      <c r="I102">
        <v>6.4428000000000003E-3</v>
      </c>
      <c r="M102">
        <v>7.8434000000000004E-3</v>
      </c>
      <c r="Q102">
        <v>2.8479999999999998E-3</v>
      </c>
      <c r="R102">
        <v>3.0168E-3</v>
      </c>
      <c r="U102">
        <v>1.4928000000000001E-3</v>
      </c>
      <c r="V102">
        <v>1.7306999999999999E-3</v>
      </c>
    </row>
    <row r="103" spans="1:28">
      <c r="A103" t="s">
        <v>64</v>
      </c>
      <c r="B103">
        <f t="shared" si="2"/>
        <v>0</v>
      </c>
      <c r="C103">
        <f t="shared" si="3"/>
        <v>0</v>
      </c>
      <c r="D103">
        <v>4</v>
      </c>
      <c r="E103" s="17"/>
      <c r="F103" s="17"/>
      <c r="I103">
        <v>0</v>
      </c>
      <c r="M103">
        <v>0</v>
      </c>
      <c r="Q103">
        <v>0</v>
      </c>
      <c r="R103">
        <v>0</v>
      </c>
      <c r="U103">
        <v>0</v>
      </c>
      <c r="V103">
        <v>0</v>
      </c>
    </row>
    <row r="104" spans="1:28">
      <c r="A104" t="s">
        <v>65</v>
      </c>
      <c r="B104">
        <f t="shared" si="2"/>
        <v>7.9788632832342507E-5</v>
      </c>
      <c r="C104">
        <f t="shared" si="3"/>
        <v>5.3888973538634361E-5</v>
      </c>
      <c r="D104">
        <v>4</v>
      </c>
      <c r="E104" s="17"/>
      <c r="F104" s="17"/>
      <c r="I104">
        <v>0</v>
      </c>
      <c r="J104" s="15"/>
      <c r="M104" s="15">
        <v>6.0927000000000001E-6</v>
      </c>
      <c r="Q104" s="15">
        <v>5.5668999999999998E-5</v>
      </c>
      <c r="R104">
        <v>0</v>
      </c>
      <c r="U104">
        <v>0</v>
      </c>
      <c r="V104" s="15">
        <v>9.2891000000000006E-6</v>
      </c>
    </row>
    <row r="105" spans="1:28">
      <c r="A105" t="s">
        <v>66</v>
      </c>
      <c r="B105">
        <f t="shared" si="2"/>
        <v>0</v>
      </c>
      <c r="C105">
        <f t="shared" si="3"/>
        <v>0</v>
      </c>
      <c r="D105">
        <v>4</v>
      </c>
      <c r="E105" s="17"/>
      <c r="F105" s="17"/>
      <c r="I105">
        <v>0</v>
      </c>
      <c r="M105">
        <v>0</v>
      </c>
      <c r="Q105">
        <v>0</v>
      </c>
      <c r="R105">
        <v>0</v>
      </c>
      <c r="U105">
        <v>0</v>
      </c>
      <c r="V105">
        <v>0</v>
      </c>
    </row>
    <row r="106" spans="1:28">
      <c r="A106" t="s">
        <v>67</v>
      </c>
      <c r="B106">
        <f t="shared" si="2"/>
        <v>0</v>
      </c>
      <c r="C106">
        <f t="shared" si="3"/>
        <v>0</v>
      </c>
      <c r="D106">
        <v>4</v>
      </c>
      <c r="E106" s="17"/>
      <c r="F106" s="17"/>
      <c r="I106">
        <v>0</v>
      </c>
      <c r="M106">
        <v>0</v>
      </c>
      <c r="Q106">
        <v>0</v>
      </c>
      <c r="R106">
        <v>0</v>
      </c>
      <c r="U106">
        <v>0</v>
      </c>
      <c r="V106">
        <v>0</v>
      </c>
    </row>
    <row r="107" spans="1:28">
      <c r="A107" t="s">
        <v>71</v>
      </c>
      <c r="B107">
        <f t="shared" si="2"/>
        <v>7.6525638105218357E-3</v>
      </c>
      <c r="C107">
        <f t="shared" si="3"/>
        <v>1.404461494254157E-3</v>
      </c>
      <c r="D107">
        <v>4</v>
      </c>
      <c r="E107" s="17"/>
      <c r="F107" s="17"/>
      <c r="I107">
        <v>1.5808E-3</v>
      </c>
      <c r="M107">
        <v>1.0651E-3</v>
      </c>
      <c r="Q107">
        <v>0</v>
      </c>
      <c r="R107">
        <v>8.8206000000000005E-4</v>
      </c>
      <c r="U107">
        <v>2.6131000000000001E-3</v>
      </c>
      <c r="V107">
        <v>0</v>
      </c>
    </row>
    <row r="108" spans="1:28">
      <c r="A108" t="s">
        <v>72</v>
      </c>
      <c r="B108">
        <f t="shared" si="2"/>
        <v>0</v>
      </c>
      <c r="C108">
        <f t="shared" si="3"/>
        <v>0</v>
      </c>
      <c r="D108">
        <v>4</v>
      </c>
      <c r="E108" s="17"/>
      <c r="F108" s="17"/>
      <c r="I108">
        <v>0</v>
      </c>
      <c r="M108">
        <v>0</v>
      </c>
      <c r="Q108">
        <v>0</v>
      </c>
      <c r="R108">
        <v>0</v>
      </c>
      <c r="U108">
        <v>0</v>
      </c>
      <c r="V108">
        <v>0</v>
      </c>
    </row>
    <row r="109" spans="1:28">
      <c r="A109" t="s">
        <v>69</v>
      </c>
      <c r="B109">
        <f t="shared" si="2"/>
        <v>7.9883087243082691E-3</v>
      </c>
      <c r="C109">
        <f t="shared" si="3"/>
        <v>2.9628576606942057E-3</v>
      </c>
      <c r="D109">
        <v>4</v>
      </c>
      <c r="E109" s="17"/>
      <c r="F109" s="17"/>
      <c r="I109">
        <v>9.2228999999999998E-4</v>
      </c>
      <c r="M109">
        <v>1.4171E-4</v>
      </c>
      <c r="Q109">
        <v>1.6711E-3</v>
      </c>
      <c r="R109">
        <v>1.4904E-3</v>
      </c>
      <c r="U109">
        <v>8.9860999999999999E-4</v>
      </c>
      <c r="V109">
        <v>2.1838000000000001E-3</v>
      </c>
    </row>
    <row r="110" spans="1:28" s="44" customFormat="1">
      <c r="A110" s="44" t="s">
        <v>68</v>
      </c>
      <c r="B110" s="44">
        <f>AVERAGE(K110/I89,O110/M89)</f>
        <v>4.5861784547051084E-3</v>
      </c>
      <c r="C110" s="44">
        <f>STDEV(K110/I89,O110/M89)/SQRT(D110)</f>
        <v>1.1493312683960139E-3</v>
      </c>
      <c r="D110" s="44">
        <v>2</v>
      </c>
      <c r="E110" s="45"/>
      <c r="F110" s="45"/>
      <c r="K110">
        <v>6.1175879916301875E-4</v>
      </c>
      <c r="O110">
        <v>8.0297136123415715E-4</v>
      </c>
    </row>
    <row r="111" spans="1:28">
      <c r="A111" t="s">
        <v>70</v>
      </c>
      <c r="B111">
        <f>AVERAGE(J111/I$89,N111/M$89)</f>
        <v>1</v>
      </c>
      <c r="C111">
        <f>STDEV(J111/I$89,N111/M$89)/SQRT(D111)</f>
        <v>0</v>
      </c>
      <c r="D111">
        <v>4</v>
      </c>
      <c r="E111" s="17"/>
      <c r="F111" s="17"/>
      <c r="J111">
        <v>0.17799999999999999</v>
      </c>
      <c r="N111">
        <v>0.14000000000000001</v>
      </c>
      <c r="S111">
        <v>0.124570333960797</v>
      </c>
      <c r="T111">
        <v>0.108460186847827</v>
      </c>
      <c r="W111">
        <v>0.128325082905975</v>
      </c>
      <c r="X111">
        <v>0.124482252816281</v>
      </c>
      <c r="AA111">
        <v>0.124079312341695</v>
      </c>
      <c r="AB111">
        <v>0.12309739218427999</v>
      </c>
    </row>
    <row r="112" spans="1:28">
      <c r="A112" t="s">
        <v>23</v>
      </c>
      <c r="B112">
        <f t="shared" ref="B112:B113" si="4">AVERAGE(I112/I$89,M112/M$89,AVERAGE(Q112/Q$89,R112/Q$89),AVERAGE(U112/U$89,V112/U$89))</f>
        <v>0</v>
      </c>
      <c r="C112">
        <f t="shared" ref="C112:C113" si="5">STDEV(I112/I$89,M112/M$89,AVERAGE(Q112/Q$89,R112/Q$89),AVERAGE(U112/U$89,V112/U$89))/SQRT(D112)</f>
        <v>0</v>
      </c>
      <c r="D112">
        <v>4</v>
      </c>
      <c r="E112" s="17"/>
      <c r="F112" s="17"/>
      <c r="I112">
        <v>0</v>
      </c>
      <c r="M112">
        <v>0</v>
      </c>
      <c r="Q112">
        <v>0</v>
      </c>
      <c r="R112">
        <v>0</v>
      </c>
      <c r="U112">
        <v>0</v>
      </c>
      <c r="V112">
        <v>0</v>
      </c>
    </row>
    <row r="113" spans="1:25">
      <c r="A113" t="s">
        <v>24</v>
      </c>
      <c r="B113">
        <f t="shared" si="4"/>
        <v>0</v>
      </c>
      <c r="C113">
        <f t="shared" si="5"/>
        <v>0</v>
      </c>
      <c r="D113">
        <v>4</v>
      </c>
      <c r="E113" s="17"/>
      <c r="F113" s="17"/>
      <c r="I113">
        <v>0</v>
      </c>
      <c r="M113">
        <v>0</v>
      </c>
      <c r="Q113">
        <v>0</v>
      </c>
      <c r="R113">
        <v>0</v>
      </c>
      <c r="U113">
        <v>0</v>
      </c>
      <c r="V113">
        <v>0</v>
      </c>
    </row>
    <row r="114" spans="1:25">
      <c r="E114" s="17"/>
      <c r="F114" s="17"/>
    </row>
    <row r="115" spans="1:25">
      <c r="E115" s="17"/>
      <c r="F115" s="17"/>
    </row>
    <row r="116" spans="1:25">
      <c r="A116" s="1" t="s">
        <v>16</v>
      </c>
      <c r="B116" s="1"/>
      <c r="C116" s="1"/>
      <c r="D116" s="1"/>
      <c r="E116" s="17"/>
      <c r="F116" s="17"/>
    </row>
    <row r="117" spans="1:25">
      <c r="A117" t="s">
        <v>7</v>
      </c>
      <c r="B117">
        <f>AVERAGE(I117/I$89,M117/M$89,Q117/Q$89,U117/U$89,Y117/Y$89)</f>
        <v>5.642437882358782E-2</v>
      </c>
      <c r="C117">
        <f>STDEV(I117/I$89,M117/M$89,Q117/Q$89,U117/U$89,Y117/Y$89)/SQRT(D117)</f>
        <v>6.3841895056624366E-3</v>
      </c>
      <c r="D117">
        <f>COUNT(E117:Z117)</f>
        <v>5</v>
      </c>
      <c r="E117" s="17"/>
      <c r="F117" s="17"/>
      <c r="I117">
        <v>6.1155999999999997E-3</v>
      </c>
      <c r="M117">
        <v>7.0730999999999997E-3</v>
      </c>
      <c r="Q117">
        <v>7.2959000000000001E-3</v>
      </c>
      <c r="U117">
        <v>8.8868000000000003E-3</v>
      </c>
      <c r="Y117">
        <v>7.9492E-3</v>
      </c>
    </row>
    <row r="118" spans="1:25">
      <c r="A118" t="s">
        <v>8</v>
      </c>
      <c r="B118">
        <f>AVERAGE(I118/I$89,M118/M$89,Q118/Q$89,U118/U$89,Y118/Y$89)</f>
        <v>2.9544578314072534E-2</v>
      </c>
      <c r="C118">
        <f>STDEV(I118/I$89,M118/M$89,Q118/Q$89,U118/U$89,Y118/Y$89)/SQRT(D118)</f>
        <v>7.4488074199266473E-3</v>
      </c>
      <c r="D118">
        <f>COUNT(E118:Z118)</f>
        <v>5</v>
      </c>
      <c r="E118" s="17"/>
      <c r="F118" s="17"/>
      <c r="I118">
        <v>1.8933999999999999E-3</v>
      </c>
      <c r="M118">
        <v>1.8466999999999999E-3</v>
      </c>
      <c r="Q118">
        <v>4.6318000000000002E-3</v>
      </c>
      <c r="U118">
        <v>4.5878999999999998E-3</v>
      </c>
      <c r="Y118">
        <v>5.9132999999999998E-3</v>
      </c>
    </row>
    <row r="119" spans="1:25">
      <c r="A119" t="s">
        <v>9</v>
      </c>
      <c r="B119">
        <f>AVERAGE(M119/M$89,Q119/Q$89,U119/U$89,Y119/Y$89)</f>
        <v>7.6027169438777506E-2</v>
      </c>
      <c r="C119">
        <f>STDEV(M119/M$89,Q119/Q$89,U119/U$89,Y119/Y$89)/SQRT(D119)</f>
        <v>5.6687724777941349E-3</v>
      </c>
      <c r="D119">
        <f t="shared" ref="D119:D121" si="6">COUNT(E119:Z119)</f>
        <v>4</v>
      </c>
      <c r="E119" s="17"/>
      <c r="F119" s="17"/>
      <c r="I119" s="17"/>
      <c r="M119">
        <v>9.1865999999999996E-3</v>
      </c>
      <c r="Q119">
        <v>1.0104999999999999E-2</v>
      </c>
      <c r="U119">
        <v>1.0732E-2</v>
      </c>
      <c r="Y119">
        <v>8.2632000000000001E-3</v>
      </c>
    </row>
    <row r="120" spans="1:25">
      <c r="A120" t="s">
        <v>10</v>
      </c>
      <c r="B120">
        <f t="shared" ref="B120:B121" si="7">AVERAGE(I120/I$89,M120/M$89,Q120/Q$89,U120/U$89,Y120/Y$89)</f>
        <v>4.0146728731439187E-2</v>
      </c>
      <c r="C120">
        <f t="shared" ref="C120:C121" si="8">STDEV(I120/I$89,M120/M$89,Q120/Q$89,U120/U$89,Y120/Y$89)/SQRT(D120)</f>
        <v>4.43770198065346E-3</v>
      </c>
      <c r="D120">
        <f t="shared" si="6"/>
        <v>5</v>
      </c>
      <c r="E120" s="17"/>
      <c r="F120" s="17"/>
      <c r="I120">
        <v>4.4609999999999997E-3</v>
      </c>
      <c r="M120">
        <v>5.2789000000000004E-3</v>
      </c>
      <c r="Q120">
        <v>5.8983999999999998E-3</v>
      </c>
      <c r="U120">
        <v>5.0666000000000001E-3</v>
      </c>
      <c r="Y120">
        <v>5.8406999999999999E-3</v>
      </c>
    </row>
    <row r="121" spans="1:25">
      <c r="A121" t="s">
        <v>11</v>
      </c>
      <c r="B121">
        <f t="shared" si="7"/>
        <v>2.6053152246094835E-2</v>
      </c>
      <c r="C121">
        <f t="shared" si="8"/>
        <v>5.6948642069104376E-3</v>
      </c>
      <c r="D121">
        <f t="shared" si="6"/>
        <v>5</v>
      </c>
      <c r="E121" s="17"/>
      <c r="F121" s="17"/>
      <c r="I121">
        <v>1.5116999999999999E-3</v>
      </c>
      <c r="M121">
        <v>2.5531E-3</v>
      </c>
      <c r="Q121">
        <v>4.4941E-3</v>
      </c>
      <c r="U121">
        <v>3.5422000000000001E-3</v>
      </c>
      <c r="Y121">
        <v>4.5656999999999998E-3</v>
      </c>
    </row>
    <row r="122" spans="1:25">
      <c r="A122" t="s">
        <v>49</v>
      </c>
      <c r="B122" t="s">
        <v>30</v>
      </c>
      <c r="C122" t="s">
        <v>30</v>
      </c>
      <c r="D122">
        <f>COUNT(E122:Z122)</f>
        <v>0</v>
      </c>
      <c r="E122" s="17"/>
      <c r="F122" s="17"/>
    </row>
    <row r="123" spans="1:25">
      <c r="A123" t="s">
        <v>12</v>
      </c>
      <c r="B123">
        <f t="shared" ref="B123:B125" si="9">AVERAGE(I123/I$89,M123/M$89,Q123/Q$89,U123/U$89,Y123/Y$89)</f>
        <v>2.854179708699537E-2</v>
      </c>
      <c r="C123">
        <f t="shared" ref="C123:C125" si="10">STDEV(I123/I$89,M123/M$89,Q123/Q$89,U123/U$89,Y123/Y$89)/SQRT(D123)</f>
        <v>3.5591558896044782E-3</v>
      </c>
      <c r="D123">
        <f t="shared" ref="D123:D125" si="11">COUNT(E123:Z123)</f>
        <v>5</v>
      </c>
      <c r="E123" s="17"/>
      <c r="F123" s="17"/>
      <c r="I123">
        <v>3.4683000000000001E-3</v>
      </c>
      <c r="M123">
        <v>3.3111999999999998E-3</v>
      </c>
      <c r="Q123">
        <v>3.7279000000000001E-3</v>
      </c>
      <c r="U123">
        <v>3.4694999999999999E-3</v>
      </c>
      <c r="Y123">
        <v>4.9595999999999998E-3</v>
      </c>
    </row>
    <row r="124" spans="1:25">
      <c r="A124" t="s">
        <v>13</v>
      </c>
      <c r="B124">
        <f t="shared" si="9"/>
        <v>4.3475652289407155E-2</v>
      </c>
      <c r="C124">
        <f t="shared" si="10"/>
        <v>4.5735165398940328E-3</v>
      </c>
      <c r="D124">
        <f t="shared" si="11"/>
        <v>5</v>
      </c>
      <c r="E124" s="17"/>
      <c r="F124" s="17"/>
      <c r="I124">
        <v>5.4400999999999998E-3</v>
      </c>
      <c r="M124">
        <v>4.836E-3</v>
      </c>
      <c r="Q124">
        <v>5.6077999999999996E-3</v>
      </c>
      <c r="U124">
        <v>6.7190000000000001E-3</v>
      </c>
      <c r="Y124">
        <v>6.3016000000000001E-3</v>
      </c>
    </row>
    <row r="125" spans="1:25">
      <c r="A125" t="s">
        <v>14</v>
      </c>
      <c r="B125">
        <f t="shared" si="9"/>
        <v>4.5727118331641767E-2</v>
      </c>
      <c r="C125">
        <f t="shared" si="10"/>
        <v>6.029098463905409E-3</v>
      </c>
      <c r="D125">
        <f t="shared" si="11"/>
        <v>5</v>
      </c>
      <c r="E125" s="17"/>
      <c r="F125" s="17"/>
      <c r="I125">
        <v>4.7968999999999998E-3</v>
      </c>
      <c r="M125">
        <v>6.0936000000000002E-3</v>
      </c>
      <c r="Q125">
        <v>6.9947000000000004E-3</v>
      </c>
      <c r="U125">
        <v>5.1345000000000002E-3</v>
      </c>
      <c r="Y125">
        <v>7.1073999999999998E-3</v>
      </c>
    </row>
    <row r="126" spans="1:25">
      <c r="A126" t="s">
        <v>56</v>
      </c>
      <c r="B126">
        <f>AVERAGE(Q126/Q$89,U126/U$89,Y126/Y$89)</f>
        <v>2.4510795474960503E-2</v>
      </c>
      <c r="C126">
        <f>STDEV(Q126/Q$89,U126/U$89,Y126/Y$89)/SQRT(D126)</f>
        <v>7.0688817331672031E-3</v>
      </c>
      <c r="D126">
        <f>COUNT(E126:Z126)</f>
        <v>3</v>
      </c>
      <c r="E126" s="17"/>
      <c r="F126" s="17"/>
      <c r="I126" s="17" t="s">
        <v>30</v>
      </c>
      <c r="M126" s="17" t="s">
        <v>30</v>
      </c>
      <c r="Q126">
        <v>3.4160000000000002E-3</v>
      </c>
      <c r="U126">
        <v>1.3389999999999999E-3</v>
      </c>
      <c r="Y126">
        <v>4.1552000000000004E-3</v>
      </c>
    </row>
    <row r="127" spans="1:25">
      <c r="A127" t="s">
        <v>57</v>
      </c>
      <c r="B127">
        <f>AVERAGE(Q127/Q$89,U127/U$89,Y127/Y$89)</f>
        <v>3.4396924450241062E-2</v>
      </c>
      <c r="C127">
        <f>STDEV(Q127/Q$89,U127/U$89,Y127/Y$89)/SQRT(D127)</f>
        <v>8.9676151390802004E-3</v>
      </c>
      <c r="D127">
        <f>COUNT(E127:Z127)</f>
        <v>3</v>
      </c>
      <c r="E127" s="17"/>
      <c r="F127" s="17"/>
      <c r="Q127">
        <v>2.8154E-3</v>
      </c>
      <c r="U127">
        <v>3.3823E-3</v>
      </c>
      <c r="Y127">
        <v>6.4599000000000002E-3</v>
      </c>
    </row>
    <row r="128" spans="1:25">
      <c r="A128" t="s">
        <v>15</v>
      </c>
      <c r="B128">
        <f t="shared" ref="B128:B129" si="12">AVERAGE(I128/I$89,M128/M$89,Q128/Q$89,U128/U$89,Y128/Y$89)</f>
        <v>2.3390912383678596E-2</v>
      </c>
      <c r="C128">
        <f t="shared" ref="C128:C129" si="13">STDEV(I128/I$89,M128/M$89,Q128/Q$89,U128/U$89,Y128/Y$89)/SQRT(D128)</f>
        <v>3.6616420170480289E-3</v>
      </c>
      <c r="D128">
        <f t="shared" ref="D128:D129" si="14">COUNT(E128:Z128)</f>
        <v>5</v>
      </c>
      <c r="E128" s="17"/>
      <c r="F128" s="17"/>
      <c r="I128">
        <v>3.8405000000000002E-3</v>
      </c>
      <c r="M128">
        <v>1.9463E-3</v>
      </c>
      <c r="Q128">
        <v>2.0804E-3</v>
      </c>
      <c r="U128">
        <v>4.1592E-3</v>
      </c>
      <c r="Y128">
        <v>3.7962999999999998E-3</v>
      </c>
    </row>
    <row r="129" spans="1:25">
      <c r="A129" t="s">
        <v>22</v>
      </c>
      <c r="B129">
        <f t="shared" si="12"/>
        <v>6.057797496586239E-2</v>
      </c>
      <c r="C129">
        <f t="shared" si="13"/>
        <v>9.910568008788664E-3</v>
      </c>
      <c r="D129">
        <f t="shared" si="14"/>
        <v>5</v>
      </c>
      <c r="E129" s="17"/>
      <c r="F129" s="17"/>
      <c r="I129">
        <v>5.5707999999999999E-3</v>
      </c>
      <c r="M129">
        <v>6.0087999999999999E-3</v>
      </c>
      <c r="Q129">
        <v>8.3260999999999995E-3</v>
      </c>
      <c r="U129">
        <v>1.0397999999999999E-2</v>
      </c>
      <c r="Y129">
        <v>9.2633999999999998E-3</v>
      </c>
    </row>
    <row r="130" spans="1:25">
      <c r="A130" t="s">
        <v>59</v>
      </c>
      <c r="B130">
        <f>AVERAGE(Q130/Q$89,U130/U$89,Y130/Y$89)</f>
        <v>3.6773367967613685E-2</v>
      </c>
      <c r="C130">
        <f>STDEV(Q130/Q$89,U130/U$89,Y130/Y$89)/SQRT(D130)</f>
        <v>4.1331418160323579E-3</v>
      </c>
      <c r="D130">
        <f>COUNT(E130:Z130)</f>
        <v>3</v>
      </c>
      <c r="E130" s="17"/>
      <c r="F130" s="17"/>
      <c r="Q130">
        <v>3.6670000000000001E-3</v>
      </c>
      <c r="U130">
        <v>4.2890000000000003E-3</v>
      </c>
      <c r="Y130">
        <v>5.5512000000000001E-3</v>
      </c>
    </row>
    <row r="131" spans="1:25">
      <c r="A131" t="s">
        <v>58</v>
      </c>
      <c r="B131" t="s">
        <v>30</v>
      </c>
      <c r="C131" t="s">
        <v>30</v>
      </c>
      <c r="D131">
        <f>COUNT(E131:Z131)</f>
        <v>0</v>
      </c>
      <c r="E131" s="17"/>
      <c r="F131" s="17"/>
    </row>
    <row r="132" spans="1:25">
      <c r="A132" t="s">
        <v>137</v>
      </c>
      <c r="B132">
        <f>AVERAGE(Q132/Q$89,U132/U$89,Y132/Y$89)</f>
        <v>5.5652020166669224E-2</v>
      </c>
      <c r="C132">
        <f>STDEV(Q132/Q$89,U132/U$89,Y132/Y$89)/SQRT(D132)</f>
        <v>6.6696317530803607E-3</v>
      </c>
      <c r="D132">
        <f>COUNT(E132:Z132)</f>
        <v>3</v>
      </c>
      <c r="E132" s="17"/>
      <c r="F132" s="17"/>
      <c r="Q132">
        <v>5.4269000000000001E-3</v>
      </c>
      <c r="U132">
        <v>6.5380000000000004E-3</v>
      </c>
      <c r="Y132">
        <v>8.4851000000000006E-3</v>
      </c>
    </row>
    <row r="133" spans="1:25">
      <c r="A133" s="1" t="s">
        <v>17</v>
      </c>
      <c r="E133" s="17"/>
      <c r="F133" s="17"/>
    </row>
    <row r="134" spans="1:25">
      <c r="A134" t="s">
        <v>7</v>
      </c>
      <c r="B134">
        <f>AVERAGE(I134/I$89,M134/M$89,Q134/Q$89,U134/U$89,Y134/Y$89)</f>
        <v>5.3410246991282162E-2</v>
      </c>
      <c r="C134">
        <f>STDEV(I134/I$89,M134/M$89,Q134/Q$89,U134/U$89,Y134/Y$89)/SQRT(D134)</f>
        <v>9.8278252501925092E-3</v>
      </c>
      <c r="D134">
        <f>COUNT(E134:Z134)</f>
        <v>5</v>
      </c>
      <c r="E134" s="17"/>
      <c r="F134" s="17"/>
      <c r="I134">
        <v>4.7036999999999999E-3</v>
      </c>
      <c r="M134">
        <v>4.7597000000000004E-3</v>
      </c>
      <c r="Q134">
        <v>7.7042999999999999E-3</v>
      </c>
      <c r="U134">
        <v>9.7639000000000007E-3</v>
      </c>
      <c r="Y134">
        <v>7.8183999999999997E-3</v>
      </c>
    </row>
    <row r="135" spans="1:25">
      <c r="A135" t="s">
        <v>8</v>
      </c>
      <c r="B135">
        <f>AVERAGE(I135/I$89,M135/M$89,Q135/Q$89,U135/U$89,Y135/Y$89)</f>
        <v>2.4789070190882417E-2</v>
      </c>
      <c r="C135">
        <f>STDEV(I135/I$89,M135/M$89,Q135/Q$89,U135/U$89,Y135/Y$89)/SQRT(D135)</f>
        <v>9.9688601866166383E-3</v>
      </c>
      <c r="D135">
        <f>COUNT(E135:Z135)</f>
        <v>5</v>
      </c>
      <c r="E135" s="17"/>
      <c r="F135" s="17"/>
      <c r="I135">
        <v>1.2857E-4</v>
      </c>
      <c r="M135">
        <v>2.7792000000000002E-4</v>
      </c>
      <c r="Q135">
        <v>4.9912999999999997E-3</v>
      </c>
      <c r="U135">
        <v>3.8704999999999998E-3</v>
      </c>
      <c r="Y135">
        <v>5.9049999999999997E-3</v>
      </c>
    </row>
    <row r="136" spans="1:25">
      <c r="A136" t="s">
        <v>9</v>
      </c>
      <c r="B136">
        <f>AVERAGE(M136/M$89,Q136/Q$89,U136/U$89,Y136/Y$89)</f>
        <v>6.9769118431579652E-2</v>
      </c>
      <c r="C136">
        <f>STDEV(M136/M$89,Q136/Q$89,U136/U$89,Y136/Y$89)/SQRT(D136)</f>
        <v>7.1454535173477145E-3</v>
      </c>
      <c r="D136">
        <f t="shared" ref="D136:D138" si="15">COUNT(E136:Z136)</f>
        <v>4</v>
      </c>
      <c r="E136" s="17"/>
      <c r="F136" s="17"/>
      <c r="I136" s="17" t="s">
        <v>30</v>
      </c>
      <c r="M136">
        <v>7.2323999999999999E-3</v>
      </c>
      <c r="Q136">
        <v>9.3529000000000008E-3</v>
      </c>
      <c r="U136">
        <v>1.0378E-2</v>
      </c>
      <c r="Y136">
        <v>8.0385000000000005E-3</v>
      </c>
    </row>
    <row r="137" spans="1:25">
      <c r="A137" t="s">
        <v>10</v>
      </c>
      <c r="B137">
        <f t="shared" ref="B137:B138" si="16">AVERAGE(I137/I$89,M137/M$89,Q137/Q$89,U137/U$89,Y137/Y$89)</f>
        <v>3.3309076769082076E-2</v>
      </c>
      <c r="C137">
        <f t="shared" ref="C137:C138" si="17">STDEV(I137/I$89,M137/M$89,Q137/Q$89,U137/U$89,Y137/Y$89)/SQRT(D137)</f>
        <v>6.5340642127689665E-3</v>
      </c>
      <c r="D137">
        <f t="shared" si="15"/>
        <v>5</v>
      </c>
      <c r="E137" s="17"/>
      <c r="F137" s="17"/>
      <c r="I137">
        <v>1.5727E-3</v>
      </c>
      <c r="M137">
        <v>4.6100999999999998E-3</v>
      </c>
      <c r="Q137">
        <v>4.9135999999999997E-3</v>
      </c>
      <c r="U137">
        <v>4.5994E-3</v>
      </c>
      <c r="Y137">
        <v>5.7126E-3</v>
      </c>
    </row>
    <row r="138" spans="1:25">
      <c r="A138" t="s">
        <v>11</v>
      </c>
      <c r="B138">
        <f t="shared" si="16"/>
        <v>2.016394905984659E-2</v>
      </c>
      <c r="C138">
        <f t="shared" si="17"/>
        <v>8.0294305531570971E-3</v>
      </c>
      <c r="D138">
        <f t="shared" si="15"/>
        <v>5</v>
      </c>
      <c r="E138" s="17"/>
      <c r="F138" s="17"/>
      <c r="I138">
        <v>2.7029000000000002E-4</v>
      </c>
      <c r="M138">
        <v>0</v>
      </c>
      <c r="Q138">
        <v>4.2040999999999997E-3</v>
      </c>
      <c r="U138">
        <v>3.5978E-3</v>
      </c>
      <c r="Y138">
        <v>4.2954999999999998E-3</v>
      </c>
    </row>
    <row r="139" spans="1:25">
      <c r="A139" t="s">
        <v>49</v>
      </c>
      <c r="B139" t="s">
        <v>30</v>
      </c>
      <c r="C139" t="s">
        <v>30</v>
      </c>
      <c r="D139">
        <f>COUNT(E139:Z139)</f>
        <v>0</v>
      </c>
      <c r="E139" s="17"/>
      <c r="F139" s="17"/>
    </row>
    <row r="140" spans="1:25">
      <c r="A140" t="s">
        <v>12</v>
      </c>
      <c r="B140">
        <f t="shared" ref="B140:B142" si="18">AVERAGE(I140/I$89,M140/M$89,Q140/Q$89,U140/U$89,Y140/Y$89)</f>
        <v>2.3943714985463452E-2</v>
      </c>
      <c r="C140">
        <f t="shared" ref="C140:C142" si="19">STDEV(I140/I$89,M140/M$89,Q140/Q$89,U140/U$89,Y140/Y$89)/SQRT(D140)</f>
        <v>5.5123108722057931E-3</v>
      </c>
      <c r="D140">
        <f t="shared" ref="D140:D142" si="20">COUNT(E140:Z140)</f>
        <v>5</v>
      </c>
      <c r="E140" s="17"/>
      <c r="F140" s="17"/>
      <c r="I140">
        <v>1.8269E-3</v>
      </c>
      <c r="M140">
        <v>1.7340999999999999E-3</v>
      </c>
      <c r="Q140">
        <v>3.3982999999999999E-3</v>
      </c>
      <c r="U140">
        <v>3.6026000000000001E-3</v>
      </c>
      <c r="Y140">
        <v>4.8696E-3</v>
      </c>
    </row>
    <row r="141" spans="1:25">
      <c r="A141" t="s">
        <v>13</v>
      </c>
      <c r="B141">
        <f t="shared" si="18"/>
        <v>2.9651474080258578E-2</v>
      </c>
      <c r="C141">
        <f t="shared" si="19"/>
        <v>1.1943534409045593E-2</v>
      </c>
      <c r="D141">
        <f t="shared" si="20"/>
        <v>5</v>
      </c>
      <c r="E141" s="17"/>
      <c r="F141" s="17"/>
      <c r="I141">
        <v>1.5375999999999999E-4</v>
      </c>
      <c r="M141">
        <v>0</v>
      </c>
      <c r="Q141">
        <v>5.5640000000000004E-3</v>
      </c>
      <c r="U141">
        <v>6.4716000000000001E-3</v>
      </c>
      <c r="Y141">
        <v>5.9868999999999999E-3</v>
      </c>
    </row>
    <row r="142" spans="1:25">
      <c r="A142" t="s">
        <v>14</v>
      </c>
      <c r="B142">
        <f t="shared" si="18"/>
        <v>4.5797002592547334E-2</v>
      </c>
      <c r="C142">
        <f t="shared" si="19"/>
        <v>6.4050006391585413E-3</v>
      </c>
      <c r="D142">
        <f t="shared" si="20"/>
        <v>5</v>
      </c>
      <c r="E142" s="17"/>
      <c r="F142" s="17"/>
      <c r="I142">
        <v>5.3375000000000002E-3</v>
      </c>
      <c r="M142">
        <v>5.0854000000000003E-3</v>
      </c>
      <c r="Q142">
        <v>4.9633000000000004E-3</v>
      </c>
      <c r="U142">
        <v>6.8691000000000004E-3</v>
      </c>
      <c r="Y142">
        <v>8.1239999999999993E-3</v>
      </c>
    </row>
    <row r="143" spans="1:25">
      <c r="A143" t="s">
        <v>56</v>
      </c>
      <c r="B143">
        <f>AVERAGE(Q143/Q$89,U143/U$89,Y143/Y$89)</f>
        <v>2.2609945902439758E-2</v>
      </c>
      <c r="C143">
        <f>STDEV(Q143/Q$89,U143/U$89,Y143/Y$89)/SQRT(D143)</f>
        <v>5.0439999123342676E-3</v>
      </c>
      <c r="D143">
        <f>COUNT(E143:Z143)</f>
        <v>5</v>
      </c>
      <c r="E143" s="17"/>
      <c r="F143" s="17"/>
      <c r="I143">
        <v>0</v>
      </c>
      <c r="M143">
        <v>8.4581000000000001E-4</v>
      </c>
      <c r="Q143">
        <v>3.0894E-3</v>
      </c>
      <c r="U143">
        <v>1.2511E-3</v>
      </c>
      <c r="Y143">
        <v>3.8828000000000001E-3</v>
      </c>
    </row>
    <row r="144" spans="1:25">
      <c r="A144" t="s">
        <v>57</v>
      </c>
      <c r="B144">
        <f>AVERAGE(Q144/Q$89,U144/U$89,Y144/Y$89)</f>
        <v>4.4661476141473942E-2</v>
      </c>
      <c r="C144">
        <f>STDEV(Q144/Q$89,U144/U$89,Y144/Y$89)/SQRT(D144)</f>
        <v>8.7008116030715538E-3</v>
      </c>
      <c r="D144">
        <f>COUNT(E144:Z144)</f>
        <v>3</v>
      </c>
      <c r="E144" s="17"/>
      <c r="F144" s="17"/>
      <c r="Q144">
        <v>4.3078999999999999E-3</v>
      </c>
      <c r="U144">
        <v>4.4223999999999999E-3</v>
      </c>
      <c r="Y144">
        <v>7.6655999999999998E-3</v>
      </c>
    </row>
    <row r="145" spans="1:25">
      <c r="A145" t="s">
        <v>15</v>
      </c>
      <c r="B145">
        <f t="shared" ref="B145:B146" si="21">AVERAGE(I145/I$89,M145/M$89,Q145/Q$89,U145/U$89,Y145/Y$89)</f>
        <v>1.9592068475697919E-2</v>
      </c>
      <c r="C145">
        <f t="shared" ref="C145:C146" si="22">STDEV(I145/I$89,M145/M$89,Q145/Q$89,U145/U$89,Y145/Y$89)/SQRT(D145)</f>
        <v>7.0733186049415885E-3</v>
      </c>
      <c r="D145">
        <f t="shared" ref="D145:D146" si="23">COUNT(E145:Z145)</f>
        <v>5</v>
      </c>
      <c r="E145" s="17"/>
      <c r="F145" s="17"/>
      <c r="I145">
        <v>6.357E-4</v>
      </c>
      <c r="M145">
        <v>8.7980999999999997E-4</v>
      </c>
      <c r="Q145">
        <v>1.8301000000000001E-3</v>
      </c>
      <c r="U145">
        <v>4.5342999999999998E-3</v>
      </c>
      <c r="Y145">
        <v>4.5142000000000003E-3</v>
      </c>
    </row>
    <row r="146" spans="1:25">
      <c r="A146" t="s">
        <v>22</v>
      </c>
      <c r="B146">
        <f t="shared" si="21"/>
        <v>6.5481712019091448E-2</v>
      </c>
      <c r="C146">
        <f t="shared" si="22"/>
        <v>1.2171012465545647E-2</v>
      </c>
      <c r="D146">
        <f t="shared" si="23"/>
        <v>5</v>
      </c>
      <c r="E146" s="17"/>
      <c r="F146" s="17"/>
      <c r="I146">
        <v>5.5827000000000003E-3</v>
      </c>
      <c r="M146">
        <v>5.8642E-3</v>
      </c>
      <c r="Q146">
        <v>9.2488999999999991E-3</v>
      </c>
      <c r="U146">
        <v>1.1889E-2</v>
      </c>
      <c r="Y146">
        <v>9.9763999999999999E-3</v>
      </c>
    </row>
    <row r="147" spans="1:25">
      <c r="A147" t="s">
        <v>59</v>
      </c>
      <c r="B147">
        <f>AVERAGE(Q147/Q$89,U147/U$89,Y147/Y$89)</f>
        <v>3.6677576747462193E-2</v>
      </c>
      <c r="C147">
        <f>STDEV(Q147/Q$89,U147/U$89,Y147/Y$89)/SQRT(D147)</f>
        <v>2.7038042634949262E-3</v>
      </c>
      <c r="D147">
        <f>COUNT(E147:Z147)</f>
        <v>3</v>
      </c>
      <c r="E147" s="17"/>
      <c r="F147" s="17"/>
      <c r="Q147">
        <v>4.3908999999999997E-3</v>
      </c>
      <c r="U147">
        <v>3.9909000000000003E-3</v>
      </c>
      <c r="Y147">
        <v>5.0393E-3</v>
      </c>
    </row>
    <row r="148" spans="1:25">
      <c r="A148" t="s">
        <v>58</v>
      </c>
      <c r="B148" t="s">
        <v>30</v>
      </c>
      <c r="C148" t="s">
        <v>30</v>
      </c>
      <c r="D148">
        <f>COUNT(E148:Z148)</f>
        <v>0</v>
      </c>
      <c r="E148" s="17"/>
      <c r="F148" s="17"/>
    </row>
    <row r="149" spans="1:25">
      <c r="A149" t="s">
        <v>137</v>
      </c>
      <c r="B149">
        <f>AVERAGE(Q149/Q$89,U149/U$89,Y149/Y$89)</f>
        <v>5.3892767161732302E-2</v>
      </c>
      <c r="C149">
        <f>STDEV(Q149/Q$89,U149/U$89,Y149/Y$89)/SQRT(D149)</f>
        <v>3.0716019018684733E-3</v>
      </c>
      <c r="D149">
        <f>COUNT(E149:Z149)</f>
        <v>3</v>
      </c>
      <c r="Q149">
        <v>5.6108E-3</v>
      </c>
      <c r="U149">
        <v>6.9346E-3</v>
      </c>
      <c r="Y149">
        <v>7.2500000000000004E-3</v>
      </c>
    </row>
  </sheetData>
  <pageMargins left="0.7" right="0.7" top="0.75" bottom="0.75" header="0.3" footer="0.3"/>
  <pageSetup orientation="portrait" horizontalDpi="0" verticalDpi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Y149"/>
  <sheetViews>
    <sheetView zoomScale="109" workbookViewId="0">
      <pane xSplit="1" topLeftCell="B1" activePane="topRight" state="frozen"/>
      <selection pane="topRight" activeCell="K80" sqref="K80"/>
    </sheetView>
  </sheetViews>
  <sheetFormatPr baseColWidth="10" defaultRowHeight="16"/>
  <cols>
    <col min="1" max="1" width="17.6640625" bestFit="1" customWidth="1"/>
    <col min="5" max="5" width="16.1640625" customWidth="1"/>
    <col min="9" max="9" width="19.6640625" bestFit="1" customWidth="1"/>
    <col min="13" max="13" width="19.6640625" bestFit="1" customWidth="1"/>
    <col min="17" max="17" width="20" customWidth="1"/>
    <col min="21" max="21" width="19" customWidth="1"/>
    <col min="25" max="25" width="21.33203125" customWidth="1"/>
  </cols>
  <sheetData>
    <row r="1" spans="1:21">
      <c r="A1" s="1" t="s">
        <v>32</v>
      </c>
      <c r="E1" s="13">
        <v>42989</v>
      </c>
      <c r="I1" s="13">
        <v>42989</v>
      </c>
      <c r="M1" s="13">
        <v>43444</v>
      </c>
      <c r="Q1" s="13">
        <v>43549</v>
      </c>
      <c r="U1" s="13">
        <v>43549</v>
      </c>
    </row>
    <row r="2" spans="1:21">
      <c r="A2" s="1" t="s">
        <v>33</v>
      </c>
      <c r="E2" s="14" t="s">
        <v>149</v>
      </c>
      <c r="I2" s="14" t="s">
        <v>149</v>
      </c>
      <c r="M2" s="14" t="s">
        <v>149</v>
      </c>
      <c r="Q2" s="14" t="s">
        <v>149</v>
      </c>
      <c r="U2" s="14" t="s">
        <v>149</v>
      </c>
    </row>
    <row r="3" spans="1:21">
      <c r="A3" s="1" t="s">
        <v>34</v>
      </c>
      <c r="E3" s="28" t="s">
        <v>73</v>
      </c>
      <c r="I3" s="28" t="s">
        <v>51</v>
      </c>
      <c r="M3" s="28" t="s">
        <v>73</v>
      </c>
      <c r="Q3" s="28" t="s">
        <v>40</v>
      </c>
      <c r="U3" s="59" t="s">
        <v>73</v>
      </c>
    </row>
    <row r="4" spans="1:21">
      <c r="A4" s="1" t="s">
        <v>35</v>
      </c>
      <c r="E4" s="14" t="s">
        <v>41</v>
      </c>
      <c r="I4" s="14" t="s">
        <v>41</v>
      </c>
      <c r="M4" s="14" t="s">
        <v>41</v>
      </c>
      <c r="Q4" s="14" t="s">
        <v>41</v>
      </c>
      <c r="U4" s="14" t="s">
        <v>41</v>
      </c>
    </row>
    <row r="5" spans="1:21" ht="64">
      <c r="A5" s="1" t="s">
        <v>36</v>
      </c>
      <c r="E5" s="38" t="s">
        <v>154</v>
      </c>
      <c r="H5" s="37"/>
      <c r="I5" s="38" t="s">
        <v>153</v>
      </c>
      <c r="M5" s="38" t="s">
        <v>152</v>
      </c>
      <c r="Q5" s="38" t="s">
        <v>152</v>
      </c>
      <c r="U5" s="38" t="s">
        <v>152</v>
      </c>
    </row>
    <row r="6" spans="1:21">
      <c r="A6" s="1" t="s">
        <v>37</v>
      </c>
      <c r="E6" s="2"/>
      <c r="H6" s="37"/>
      <c r="I6" s="2"/>
      <c r="M6" s="2"/>
      <c r="Q6" s="2"/>
      <c r="U6" s="2"/>
    </row>
    <row r="7" spans="1:21">
      <c r="A7" s="1" t="s">
        <v>38</v>
      </c>
      <c r="E7" s="2">
        <v>0.1</v>
      </c>
      <c r="H7" s="37"/>
      <c r="I7" s="2">
        <v>0.1</v>
      </c>
      <c r="M7" s="2">
        <v>0.1</v>
      </c>
      <c r="Q7" s="2"/>
      <c r="U7" s="2"/>
    </row>
    <row r="8" spans="1:21">
      <c r="A8" s="1" t="s">
        <v>43</v>
      </c>
      <c r="E8">
        <f>E9</f>
        <v>0.38149598545072089</v>
      </c>
      <c r="I8">
        <f>I9</f>
        <v>0.22779616066684796</v>
      </c>
      <c r="M8">
        <f>M9</f>
        <v>7.5961333333333339E-2</v>
      </c>
      <c r="Q8">
        <f>Q32</f>
        <v>4.8229830057712648E-2</v>
      </c>
      <c r="U8">
        <f>U32</f>
        <v>4.1139933321882871E-2</v>
      </c>
    </row>
    <row r="9" spans="1:21">
      <c r="A9" s="1" t="s">
        <v>53</v>
      </c>
      <c r="E9">
        <f>E32</f>
        <v>0.38149598545072089</v>
      </c>
      <c r="I9">
        <f>I32</f>
        <v>0.22779616066684796</v>
      </c>
      <c r="M9">
        <f>M32</f>
        <v>7.5961333333333339E-2</v>
      </c>
      <c r="Q9">
        <f>Q8</f>
        <v>4.8229830057712648E-2</v>
      </c>
      <c r="U9">
        <f>U8</f>
        <v>4.1139933321882871E-2</v>
      </c>
    </row>
    <row r="10" spans="1:21">
      <c r="A10" s="1" t="s">
        <v>44</v>
      </c>
      <c r="B10" s="21">
        <f>8*(1-E8)/E8</f>
        <v>12.970076501718225</v>
      </c>
      <c r="C10" s="21">
        <f>9.6*(1-E8)/E8</f>
        <v>15.564091802061867</v>
      </c>
      <c r="D10" s="21">
        <f>4.8*(1-E8)/E8</f>
        <v>7.7820459010309335</v>
      </c>
      <c r="E10" s="21"/>
      <c r="F10" s="21">
        <f>4*(1-I8)/I8</f>
        <v>13.559558459152447</v>
      </c>
      <c r="G10" s="21">
        <f>4.8*(1-I8)/I8</f>
        <v>16.271470150982935</v>
      </c>
      <c r="H10" s="21">
        <f>2.4*(1-I8)/I8</f>
        <v>8.1357350754914677</v>
      </c>
      <c r="I10" s="21"/>
      <c r="J10" s="21">
        <f>1*(1-M8)/M8</f>
        <v>12.164592511979778</v>
      </c>
      <c r="K10" s="21">
        <f>1.2*(1-M8)/M8</f>
        <v>14.597511014375733</v>
      </c>
      <c r="L10" s="21">
        <f>0.6*(1-M8)/M8</f>
        <v>7.2987555071878667</v>
      </c>
      <c r="M10" s="21"/>
      <c r="Q10" s="21"/>
      <c r="U10" s="21"/>
    </row>
    <row r="11" spans="1:21">
      <c r="A11" s="1"/>
    </row>
    <row r="12" spans="1:21">
      <c r="A12" s="1" t="s">
        <v>33</v>
      </c>
      <c r="E12" t="s">
        <v>149</v>
      </c>
      <c r="I12" t="s">
        <v>149</v>
      </c>
      <c r="M12" t="s">
        <v>149</v>
      </c>
      <c r="Q12" t="s">
        <v>149</v>
      </c>
      <c r="U12" t="s">
        <v>149</v>
      </c>
    </row>
    <row r="13" spans="1:21">
      <c r="A13" s="1" t="s">
        <v>45</v>
      </c>
      <c r="E13" t="s">
        <v>47</v>
      </c>
      <c r="I13" t="s">
        <v>47</v>
      </c>
      <c r="M13" t="s">
        <v>47</v>
      </c>
      <c r="Q13" t="s">
        <v>293</v>
      </c>
      <c r="U13" t="s">
        <v>293</v>
      </c>
    </row>
    <row r="14" spans="1:21" s="61" customFormat="1" ht="43">
      <c r="A14" s="60" t="s">
        <v>31</v>
      </c>
      <c r="E14" s="67" t="s">
        <v>150</v>
      </c>
      <c r="I14" s="67" t="s">
        <v>150</v>
      </c>
      <c r="M14" s="68" t="s">
        <v>155</v>
      </c>
      <c r="N14" s="69" t="s">
        <v>296</v>
      </c>
      <c r="Q14" s="63" t="s">
        <v>294</v>
      </c>
      <c r="U14" s="63" t="s">
        <v>294</v>
      </c>
    </row>
    <row r="16" spans="1:21">
      <c r="A16" s="1" t="s">
        <v>50</v>
      </c>
      <c r="Q16" t="s">
        <v>295</v>
      </c>
      <c r="U16" t="s">
        <v>295</v>
      </c>
    </row>
    <row r="17" spans="1:21">
      <c r="B17" s="1" t="s">
        <v>5</v>
      </c>
      <c r="C17" s="1" t="s">
        <v>6</v>
      </c>
      <c r="D17" s="1" t="s">
        <v>55</v>
      </c>
    </row>
    <row r="18" spans="1:21">
      <c r="A18" s="1" t="s">
        <v>0</v>
      </c>
    </row>
    <row r="19" spans="1:21">
      <c r="A19" t="s">
        <v>60</v>
      </c>
      <c r="B19" s="3">
        <f>AVERAGE(E19/E$9,I19/I$9,M19/M$9)</f>
        <v>6.8492865251899258E-3</v>
      </c>
      <c r="C19" s="3">
        <f>STDEV(E19/E$9,I19/I$9,M19/M$9)/SQRT(D19)</f>
        <v>1.439714414780435E-3</v>
      </c>
      <c r="D19">
        <f>COUNT(E19:AZ19)</f>
        <v>3</v>
      </c>
      <c r="E19">
        <v>2.2818000000000001E-3</v>
      </c>
      <c r="I19">
        <v>1.1175E-3</v>
      </c>
      <c r="M19">
        <v>7.3386000000000002E-4</v>
      </c>
    </row>
    <row r="20" spans="1:21">
      <c r="A20" t="s">
        <v>61</v>
      </c>
      <c r="B20" s="3">
        <f t="shared" ref="B20:B29" si="0">AVERAGE(E20/E$9,I20/I$9,M20/M$9)</f>
        <v>1.1731304836083334E-2</v>
      </c>
      <c r="C20" s="3">
        <f t="shared" ref="C20:C29" si="1">STDEV(E20/E$9,I20/I$9,M20/M$9)/SQRT(D20)</f>
        <v>3.5329345083844109E-4</v>
      </c>
      <c r="D20">
        <f t="shared" ref="D20:D33" si="2">COUNT(E20:AZ20)</f>
        <v>3</v>
      </c>
      <c r="E20">
        <v>4.2452000000000002E-3</v>
      </c>
      <c r="I20">
        <v>2.6686000000000001E-3</v>
      </c>
      <c r="M20">
        <v>9.3822000000000003E-4</v>
      </c>
    </row>
    <row r="21" spans="1:21">
      <c r="A21" t="s">
        <v>62</v>
      </c>
      <c r="B21" s="3">
        <f t="shared" si="0"/>
        <v>1.4597735330527216E-2</v>
      </c>
      <c r="C21" s="3">
        <f t="shared" si="1"/>
        <v>2.1598771271834657E-3</v>
      </c>
      <c r="D21">
        <f t="shared" si="2"/>
        <v>3</v>
      </c>
      <c r="E21">
        <v>7.0163999999999999E-3</v>
      </c>
      <c r="I21">
        <v>3.3005999999999999E-3</v>
      </c>
      <c r="M21">
        <v>8.2890000000000004E-4</v>
      </c>
    </row>
    <row r="22" spans="1:21">
      <c r="A22" t="s">
        <v>63</v>
      </c>
      <c r="B22" s="3">
        <f t="shared" si="0"/>
        <v>1.4927405296399854E-2</v>
      </c>
      <c r="C22" s="3">
        <f t="shared" si="1"/>
        <v>7.2778937847703343E-3</v>
      </c>
      <c r="D22">
        <f t="shared" si="2"/>
        <v>3</v>
      </c>
      <c r="E22">
        <v>2.0154999999999999E-3</v>
      </c>
      <c r="I22">
        <v>2.3481000000000001E-3</v>
      </c>
      <c r="M22">
        <v>2.2174E-3</v>
      </c>
    </row>
    <row r="23" spans="1:21">
      <c r="A23" t="s">
        <v>64</v>
      </c>
      <c r="B23" s="3">
        <f t="shared" si="0"/>
        <v>2.639060671719147E-2</v>
      </c>
      <c r="C23" s="3">
        <f t="shared" si="1"/>
        <v>4.0272721349513766E-3</v>
      </c>
      <c r="D23">
        <f t="shared" si="2"/>
        <v>3</v>
      </c>
      <c r="E23">
        <v>1.3084E-2</v>
      </c>
      <c r="I23">
        <v>4.8073999999999999E-3</v>
      </c>
      <c r="M23">
        <v>1.8056999999999999E-3</v>
      </c>
    </row>
    <row r="24" spans="1:21">
      <c r="A24" t="s">
        <v>65</v>
      </c>
      <c r="B24" s="3">
        <f t="shared" si="0"/>
        <v>0</v>
      </c>
      <c r="C24" s="3">
        <f t="shared" si="1"/>
        <v>0</v>
      </c>
      <c r="D24">
        <f t="shared" si="2"/>
        <v>3</v>
      </c>
      <c r="E24">
        <v>0</v>
      </c>
      <c r="I24">
        <v>0</v>
      </c>
      <c r="M24">
        <v>0</v>
      </c>
    </row>
    <row r="25" spans="1:21">
      <c r="A25" t="s">
        <v>66</v>
      </c>
      <c r="B25" s="3">
        <f t="shared" si="0"/>
        <v>1.7165971081624745E-4</v>
      </c>
      <c r="C25" s="3">
        <f t="shared" si="1"/>
        <v>1.1649806275443043E-4</v>
      </c>
      <c r="D25">
        <f t="shared" si="2"/>
        <v>3</v>
      </c>
      <c r="E25" s="15">
        <v>4.6180999999999997E-5</v>
      </c>
      <c r="I25" s="15">
        <v>8.9734999999999994E-5</v>
      </c>
      <c r="M25">
        <v>0</v>
      </c>
    </row>
    <row r="26" spans="1:21">
      <c r="A26" t="s">
        <v>67</v>
      </c>
      <c r="B26" s="3">
        <f t="shared" si="0"/>
        <v>0</v>
      </c>
      <c r="C26" s="3">
        <f t="shared" si="1"/>
        <v>0</v>
      </c>
      <c r="D26">
        <f t="shared" si="2"/>
        <v>3</v>
      </c>
      <c r="E26">
        <v>0</v>
      </c>
      <c r="I26">
        <v>0</v>
      </c>
      <c r="M26">
        <v>0</v>
      </c>
    </row>
    <row r="27" spans="1:21">
      <c r="A27" t="s">
        <v>71</v>
      </c>
      <c r="B27" s="3">
        <f t="shared" si="0"/>
        <v>4.925236085671564E-3</v>
      </c>
      <c r="C27" s="3">
        <f t="shared" si="1"/>
        <v>3.0730301148279722E-3</v>
      </c>
      <c r="D27">
        <f t="shared" si="2"/>
        <v>3</v>
      </c>
      <c r="E27">
        <v>1.6038000000000001E-3</v>
      </c>
      <c r="I27">
        <v>2.4082000000000001E-3</v>
      </c>
      <c r="M27">
        <v>0</v>
      </c>
    </row>
    <row r="28" spans="1:21">
      <c r="A28" t="s">
        <v>72</v>
      </c>
      <c r="B28" s="3">
        <f t="shared" si="0"/>
        <v>4.841815913609224E-3</v>
      </c>
      <c r="C28" s="3">
        <f t="shared" si="1"/>
        <v>4.841815913609224E-3</v>
      </c>
      <c r="D28">
        <f t="shared" si="2"/>
        <v>3</v>
      </c>
      <c r="E28">
        <v>5.5414000000000001E-3</v>
      </c>
      <c r="I28">
        <v>0</v>
      </c>
      <c r="M28">
        <v>0</v>
      </c>
    </row>
    <row r="29" spans="1:21">
      <c r="A29" t="s">
        <v>69</v>
      </c>
      <c r="B29" s="3">
        <f t="shared" si="0"/>
        <v>1.3186577677972438E-2</v>
      </c>
      <c r="C29" s="3">
        <f t="shared" si="1"/>
        <v>2.5009136598437083E-3</v>
      </c>
      <c r="D29">
        <f t="shared" si="2"/>
        <v>3</v>
      </c>
      <c r="E29">
        <v>5.7112999999999999E-3</v>
      </c>
      <c r="I29">
        <v>1.8787999999999999E-3</v>
      </c>
      <c r="M29">
        <v>1.2413000000000001E-3</v>
      </c>
    </row>
    <row r="30" spans="1:21" s="44" customFormat="1">
      <c r="A30" s="44" t="s">
        <v>68</v>
      </c>
      <c r="B30" s="46" t="s">
        <v>30</v>
      </c>
      <c r="C30" s="46" t="s">
        <v>30</v>
      </c>
      <c r="D30" s="44">
        <f t="shared" si="2"/>
        <v>0</v>
      </c>
    </row>
    <row r="31" spans="1:21" s="44" customFormat="1">
      <c r="A31" s="44" t="s">
        <v>70</v>
      </c>
      <c r="B31" s="46" t="s">
        <v>30</v>
      </c>
      <c r="C31" s="46" t="s">
        <v>30</v>
      </c>
      <c r="D31" s="44">
        <f t="shared" si="2"/>
        <v>0</v>
      </c>
    </row>
    <row r="32" spans="1:21">
      <c r="A32" t="s">
        <v>23</v>
      </c>
      <c r="B32" s="3">
        <f t="shared" ref="B32:B33" si="3">AVERAGE(E32/E$9,I32/I$9,M32/M$9)</f>
        <v>1</v>
      </c>
      <c r="C32" s="3">
        <f t="shared" ref="C32:C33" si="4">STDEV(E32/E$9,I32/I$9,M32/M$9)/SQRT(D32)</f>
        <v>0</v>
      </c>
      <c r="D32">
        <f t="shared" si="2"/>
        <v>5</v>
      </c>
      <c r="E32">
        <v>0.38149598545072089</v>
      </c>
      <c r="I32">
        <v>0.22779616066684796</v>
      </c>
      <c r="M32">
        <v>7.5961333333333339E-2</v>
      </c>
      <c r="Q32">
        <v>4.8229830057712648E-2</v>
      </c>
      <c r="U32">
        <v>4.1139933321882871E-2</v>
      </c>
    </row>
    <row r="33" spans="1:13">
      <c r="A33" t="s">
        <v>24</v>
      </c>
      <c r="B33" s="3">
        <f t="shared" si="3"/>
        <v>0</v>
      </c>
      <c r="C33" s="3">
        <f t="shared" si="4"/>
        <v>0</v>
      </c>
      <c r="D33">
        <f t="shared" si="2"/>
        <v>3</v>
      </c>
      <c r="E33">
        <v>0</v>
      </c>
      <c r="I33">
        <v>0</v>
      </c>
      <c r="M33">
        <v>0</v>
      </c>
    </row>
    <row r="36" spans="1:13">
      <c r="A36" s="1" t="s">
        <v>16</v>
      </c>
    </row>
    <row r="37" spans="1:13">
      <c r="A37" t="s">
        <v>7</v>
      </c>
      <c r="B37" s="3">
        <f t="shared" ref="B37:B41" si="5">AVERAGE(E37/E$9,I37/I$9,M37/M$9)</f>
        <v>3.7180176650494813E-2</v>
      </c>
      <c r="C37" s="3">
        <f t="shared" ref="C37:C41" si="6">STDEV(E37/E$9,I37/I$9,M37/M$9)/SQRT(D37)</f>
        <v>2.1559513877588889E-2</v>
      </c>
      <c r="D37">
        <f t="shared" ref="D37:D51" si="7">COUNT(E37:AZ37)</f>
        <v>3</v>
      </c>
      <c r="E37">
        <v>6.5481000000000003E-3</v>
      </c>
      <c r="I37">
        <v>3.2149000000000001E-3</v>
      </c>
      <c r="M37">
        <v>6.0968999999999997E-3</v>
      </c>
    </row>
    <row r="38" spans="1:13">
      <c r="A38" t="s">
        <v>8</v>
      </c>
      <c r="B38" s="3">
        <f t="shared" si="5"/>
        <v>4.0433719698013855E-2</v>
      </c>
      <c r="C38" s="3">
        <f t="shared" si="6"/>
        <v>9.4033200183154322E-3</v>
      </c>
      <c r="D38">
        <f t="shared" si="7"/>
        <v>3</v>
      </c>
      <c r="E38">
        <v>2.1975999999999999E-2</v>
      </c>
      <c r="I38">
        <v>8.7682000000000003E-3</v>
      </c>
      <c r="M38">
        <v>1.9146E-3</v>
      </c>
    </row>
    <row r="39" spans="1:13">
      <c r="A39" t="s">
        <v>9</v>
      </c>
      <c r="B39" s="3">
        <f t="shared" si="5"/>
        <v>1.9316116045831232E-2</v>
      </c>
      <c r="C39" s="3">
        <f t="shared" si="6"/>
        <v>1.4463458605478385E-2</v>
      </c>
      <c r="D39">
        <f t="shared" si="7"/>
        <v>2</v>
      </c>
      <c r="E39">
        <v>1.5544000000000001E-2</v>
      </c>
      <c r="M39">
        <v>1.3068000000000001E-3</v>
      </c>
    </row>
    <row r="40" spans="1:13">
      <c r="A40" t="s">
        <v>10</v>
      </c>
      <c r="B40" s="3">
        <f t="shared" si="5"/>
        <v>1.0246927828896461E-2</v>
      </c>
      <c r="C40" s="3">
        <f t="shared" si="6"/>
        <v>8.4526941232379547E-3</v>
      </c>
      <c r="D40">
        <f t="shared" si="7"/>
        <v>2</v>
      </c>
      <c r="E40">
        <v>8.9192000000000004E-3</v>
      </c>
      <c r="M40">
        <v>5.5917E-4</v>
      </c>
    </row>
    <row r="41" spans="1:13">
      <c r="A41" t="s">
        <v>11</v>
      </c>
      <c r="B41" s="3">
        <f t="shared" si="5"/>
        <v>1.9742111966330883E-2</v>
      </c>
      <c r="C41" s="3">
        <f t="shared" si="6"/>
        <v>5.1122172089792346E-3</v>
      </c>
      <c r="D41">
        <f t="shared" si="7"/>
        <v>3</v>
      </c>
      <c r="E41">
        <v>1.0264000000000001E-2</v>
      </c>
      <c r="I41">
        <v>5.1208E-3</v>
      </c>
      <c r="M41">
        <v>7.4761000000000001E-4</v>
      </c>
    </row>
    <row r="42" spans="1:13">
      <c r="A42" t="s">
        <v>49</v>
      </c>
      <c r="B42" t="s">
        <v>30</v>
      </c>
      <c r="C42" t="s">
        <v>30</v>
      </c>
      <c r="D42">
        <f t="shared" si="7"/>
        <v>0</v>
      </c>
    </row>
    <row r="43" spans="1:13">
      <c r="A43" t="s">
        <v>12</v>
      </c>
      <c r="B43" s="3">
        <f t="shared" ref="B43:B46" si="8">AVERAGE(E43/E$9,I43/I$9,M43/M$9)</f>
        <v>0.18588339802604337</v>
      </c>
      <c r="C43" s="3">
        <f t="shared" ref="C43:C46" si="9">STDEV(E43/E$9,I43/I$9,M43/M$9)/SQRT(D43)</f>
        <v>4.7000481804055368E-2</v>
      </c>
      <c r="D43">
        <f t="shared" si="7"/>
        <v>3</v>
      </c>
      <c r="E43">
        <v>0.10452</v>
      </c>
      <c r="I43">
        <v>3.8781999999999997E-2</v>
      </c>
      <c r="M43">
        <v>8.6160999999999998E-3</v>
      </c>
    </row>
    <row r="44" spans="1:13">
      <c r="A44" t="s">
        <v>13</v>
      </c>
      <c r="B44" s="3">
        <f t="shared" si="8"/>
        <v>3.1236875951755356E-2</v>
      </c>
      <c r="C44" s="3">
        <f t="shared" si="9"/>
        <v>8.5391361496872115E-3</v>
      </c>
      <c r="D44">
        <f t="shared" si="7"/>
        <v>3</v>
      </c>
      <c r="E44">
        <v>1.6042000000000001E-2</v>
      </c>
      <c r="I44">
        <v>8.4918000000000007E-3</v>
      </c>
      <c r="M44">
        <v>1.0924999999999999E-3</v>
      </c>
    </row>
    <row r="45" spans="1:13">
      <c r="A45" t="s">
        <v>14</v>
      </c>
      <c r="B45" s="3">
        <f t="shared" si="8"/>
        <v>1.2344042943041788E-2</v>
      </c>
      <c r="C45" s="3">
        <f t="shared" si="9"/>
        <v>1.8564339354577798E-3</v>
      </c>
      <c r="D45">
        <f t="shared" si="7"/>
        <v>3</v>
      </c>
      <c r="E45">
        <v>6.1127999999999998E-3</v>
      </c>
      <c r="I45">
        <v>2.4913000000000001E-3</v>
      </c>
      <c r="M45">
        <v>7.6511000000000005E-4</v>
      </c>
    </row>
    <row r="46" spans="1:13">
      <c r="A46" t="s">
        <v>56</v>
      </c>
      <c r="B46" s="3">
        <f t="shared" si="8"/>
        <v>2.43698958073509E-2</v>
      </c>
      <c r="C46" s="3">
        <f t="shared" si="9"/>
        <v>1.3768776491832814E-2</v>
      </c>
      <c r="D46">
        <f t="shared" si="7"/>
        <v>3</v>
      </c>
      <c r="E46">
        <v>1.8182E-2</v>
      </c>
      <c r="I46">
        <v>5.7974000000000003E-3</v>
      </c>
      <c r="M46">
        <v>0</v>
      </c>
    </row>
    <row r="47" spans="1:13">
      <c r="A47" t="s">
        <v>57</v>
      </c>
      <c r="B47" t="s">
        <v>30</v>
      </c>
      <c r="C47" t="s">
        <v>30</v>
      </c>
      <c r="D47">
        <f t="shared" si="7"/>
        <v>0</v>
      </c>
    </row>
    <row r="48" spans="1:13">
      <c r="A48" t="s">
        <v>15</v>
      </c>
      <c r="B48" s="3">
        <f t="shared" ref="B48" si="10">AVERAGE(E48/E$9,I48/I$9,M48/M$9)</f>
        <v>3.2523650838634538E-2</v>
      </c>
      <c r="C48" s="3">
        <f t="shared" ref="C48" si="11">STDEV(E48/E$9,I48/I$9,M48/M$9)/SQRT(D48)</f>
        <v>8.7315435969334016E-3</v>
      </c>
      <c r="D48">
        <f t="shared" si="7"/>
        <v>3</v>
      </c>
      <c r="E48">
        <v>1.9068000000000002E-2</v>
      </c>
      <c r="I48">
        <v>5.4990000000000004E-3</v>
      </c>
      <c r="M48">
        <v>1.7811999999999999E-3</v>
      </c>
    </row>
    <row r="49" spans="1:21">
      <c r="A49" t="s">
        <v>22</v>
      </c>
      <c r="B49">
        <f>AVERAGE(Q49/Q9,U49/U9)</f>
        <v>1.0098518918060271E-2</v>
      </c>
      <c r="C49">
        <f>STDEV(Q49/Q9,U49/U9)/SQRT(D49)</f>
        <v>6.0546348209116491E-3</v>
      </c>
      <c r="D49">
        <f t="shared" si="7"/>
        <v>2</v>
      </c>
      <c r="Q49">
        <v>1.9503584277856461E-4</v>
      </c>
      <c r="U49">
        <v>6.6453966775942785E-4</v>
      </c>
    </row>
    <row r="50" spans="1:21">
      <c r="A50" t="s">
        <v>59</v>
      </c>
      <c r="B50" s="3">
        <f t="shared" ref="B50" si="12">AVERAGE(E50/E$9,I50/I$9,M50/M$9)</f>
        <v>1.4376245418296999E-2</v>
      </c>
      <c r="C50" s="3">
        <f t="shared" ref="C50" si="13">STDEV(E50/E$9,I50/I$9,M50/M$9)/SQRT(D50)</f>
        <v>7.4800675442416101E-3</v>
      </c>
      <c r="D50">
        <f t="shared" si="7"/>
        <v>3</v>
      </c>
      <c r="E50">
        <v>9.5940999999999995E-3</v>
      </c>
      <c r="I50">
        <v>4.0958000000000001E-3</v>
      </c>
      <c r="M50">
        <v>0</v>
      </c>
    </row>
    <row r="51" spans="1:21">
      <c r="A51" t="s">
        <v>58</v>
      </c>
      <c r="B51" t="s">
        <v>30</v>
      </c>
      <c r="C51" t="s">
        <v>30</v>
      </c>
      <c r="D51">
        <f t="shared" si="7"/>
        <v>0</v>
      </c>
    </row>
    <row r="52" spans="1:21">
      <c r="A52" t="s">
        <v>151</v>
      </c>
      <c r="B52" s="41">
        <v>2.4E-2</v>
      </c>
      <c r="C52" s="41">
        <v>1.4E-2</v>
      </c>
      <c r="E52">
        <v>3.4439999999999998E-2</v>
      </c>
      <c r="I52">
        <v>1.0756999999999999E-2</v>
      </c>
      <c r="M52">
        <v>4.4778999999999999E-4</v>
      </c>
    </row>
    <row r="53" spans="1:21">
      <c r="A53" s="1" t="s">
        <v>17</v>
      </c>
    </row>
    <row r="54" spans="1:21">
      <c r="A54" t="s">
        <v>7</v>
      </c>
      <c r="B54" s="3">
        <f t="shared" ref="B54:B58" si="14">AVERAGE(E54/E$9,I54/I$9,M54/M$9)</f>
        <v>1.7237216918476267E-2</v>
      </c>
      <c r="C54" s="3">
        <f t="shared" ref="C54:C58" si="15">STDEV(E54/E$9,I54/I$9,M54/M$9)/SQRT(D54)</f>
        <v>1.5762032080258925E-3</v>
      </c>
      <c r="D54">
        <f t="shared" ref="D54:D68" si="16">COUNT(E54:AZ54)</f>
        <v>3</v>
      </c>
      <c r="E54">
        <v>6.7140999999999998E-3</v>
      </c>
      <c r="I54">
        <v>4.5031000000000003E-3</v>
      </c>
      <c r="M54">
        <v>1.0896E-3</v>
      </c>
    </row>
    <row r="55" spans="1:21">
      <c r="A55" t="s">
        <v>8</v>
      </c>
      <c r="B55" s="3">
        <f t="shared" si="14"/>
        <v>4.384015755976569E-2</v>
      </c>
      <c r="C55" s="3">
        <f t="shared" si="15"/>
        <v>7.3451564503342779E-3</v>
      </c>
      <c r="D55">
        <f t="shared" si="16"/>
        <v>3</v>
      </c>
      <c r="E55">
        <v>2.1580999999999999E-2</v>
      </c>
      <c r="I55">
        <v>9.9833999999999999E-3</v>
      </c>
      <c r="M55">
        <v>2.3643000000000002E-3</v>
      </c>
    </row>
    <row r="56" spans="1:21">
      <c r="A56" t="s">
        <v>9</v>
      </c>
      <c r="B56" s="3">
        <f t="shared" si="14"/>
        <v>2.0505670556628545E-2</v>
      </c>
      <c r="C56" s="3">
        <f t="shared" si="15"/>
        <v>1.4530693415953496E-2</v>
      </c>
      <c r="D56">
        <f t="shared" si="16"/>
        <v>2</v>
      </c>
      <c r="E56">
        <v>1.5678999999999998E-2</v>
      </c>
      <c r="M56">
        <v>1.5510000000000001E-3</v>
      </c>
    </row>
    <row r="57" spans="1:21">
      <c r="A57" t="s">
        <v>10</v>
      </c>
      <c r="B57" s="3">
        <f t="shared" si="14"/>
        <v>1.4385607345260959E-2</v>
      </c>
      <c r="C57" s="3">
        <f t="shared" si="15"/>
        <v>9.1601741990886484E-3</v>
      </c>
      <c r="D57">
        <f t="shared" si="16"/>
        <v>2</v>
      </c>
      <c r="E57">
        <v>9.5867000000000001E-3</v>
      </c>
      <c r="M57">
        <v>1.3694E-3</v>
      </c>
    </row>
    <row r="58" spans="1:21">
      <c r="A58" t="s">
        <v>11</v>
      </c>
      <c r="B58" s="3">
        <f t="shared" si="14"/>
        <v>2.1974191051578256E-2</v>
      </c>
      <c r="C58" s="3">
        <f t="shared" si="15"/>
        <v>2.7207534073350041E-3</v>
      </c>
      <c r="D58">
        <f t="shared" si="16"/>
        <v>3</v>
      </c>
      <c r="E58">
        <v>1.044E-2</v>
      </c>
      <c r="I58">
        <v>4.2467E-3</v>
      </c>
      <c r="M58">
        <v>1.5127000000000001E-3</v>
      </c>
    </row>
    <row r="59" spans="1:21">
      <c r="A59" t="s">
        <v>49</v>
      </c>
      <c r="B59" t="s">
        <v>30</v>
      </c>
      <c r="C59" t="s">
        <v>30</v>
      </c>
      <c r="D59">
        <f t="shared" si="16"/>
        <v>0</v>
      </c>
    </row>
    <row r="60" spans="1:21">
      <c r="A60" t="s">
        <v>12</v>
      </c>
      <c r="B60" s="3">
        <f t="shared" ref="B60:B63" si="17">AVERAGE(E60/E$9,I60/I$9,M60/M$9)</f>
        <v>0.19470416217711028</v>
      </c>
      <c r="C60" s="3">
        <f t="shared" ref="C60:C63" si="18">STDEV(E60/E$9,I60/I$9,M60/M$9)/SQRT(D60)</f>
        <v>3.8961983217033411E-2</v>
      </c>
      <c r="D60">
        <f t="shared" si="16"/>
        <v>3</v>
      </c>
      <c r="E60">
        <v>0.10235</v>
      </c>
      <c r="I60">
        <v>4.1031999999999999E-2</v>
      </c>
      <c r="M60">
        <v>1.0307999999999999E-2</v>
      </c>
    </row>
    <row r="61" spans="1:21">
      <c r="A61" t="s">
        <v>13</v>
      </c>
      <c r="B61" s="3">
        <f t="shared" si="17"/>
        <v>2.6913011486672831E-2</v>
      </c>
      <c r="C61" s="3">
        <f t="shared" si="18"/>
        <v>6.6711353523338391E-3</v>
      </c>
      <c r="D61">
        <f t="shared" si="16"/>
        <v>3</v>
      </c>
      <c r="E61">
        <v>1.2769000000000001E-2</v>
      </c>
      <c r="I61">
        <v>7.6759999999999997E-3</v>
      </c>
      <c r="M61">
        <v>1.0309E-3</v>
      </c>
    </row>
    <row r="62" spans="1:21">
      <c r="A62" t="s">
        <v>14</v>
      </c>
      <c r="B62" s="3">
        <f t="shared" si="17"/>
        <v>1.3775677450522291E-2</v>
      </c>
      <c r="C62" s="3">
        <f t="shared" si="18"/>
        <v>1.0457423697742714E-3</v>
      </c>
      <c r="D62">
        <f t="shared" si="16"/>
        <v>3</v>
      </c>
      <c r="E62">
        <v>5.8751000000000003E-3</v>
      </c>
      <c r="I62">
        <v>3.2128999999999999E-3</v>
      </c>
      <c r="M62">
        <v>8.9806E-4</v>
      </c>
    </row>
    <row r="63" spans="1:21">
      <c r="A63" t="s">
        <v>56</v>
      </c>
      <c r="B63" s="3">
        <f t="shared" si="17"/>
        <v>2.4969318846751829E-2</v>
      </c>
      <c r="C63" s="3">
        <f t="shared" si="18"/>
        <v>7.5530293003329262E-3</v>
      </c>
      <c r="D63">
        <f t="shared" si="16"/>
        <v>3</v>
      </c>
      <c r="E63">
        <v>1.1613999999999999E-2</v>
      </c>
      <c r="I63">
        <v>2.2869000000000001E-3</v>
      </c>
      <c r="M63">
        <v>2.6150000000000001E-3</v>
      </c>
    </row>
    <row r="64" spans="1:21">
      <c r="A64" t="s">
        <v>57</v>
      </c>
      <c r="B64" t="s">
        <v>30</v>
      </c>
      <c r="C64" t="s">
        <v>30</v>
      </c>
      <c r="D64">
        <f t="shared" si="16"/>
        <v>0</v>
      </c>
    </row>
    <row r="65" spans="1:21">
      <c r="A65" t="s">
        <v>15</v>
      </c>
      <c r="B65" s="3">
        <f t="shared" ref="B65" si="19">AVERAGE(E65/E$9,I65/I$9,M65/M$9)</f>
        <v>3.0386643620075732E-2</v>
      </c>
      <c r="C65" s="3">
        <f t="shared" ref="C65" si="20">STDEV(E65/E$9,I65/I$9,M65/M$9)/SQRT(D65)</f>
        <v>4.355652009901863E-3</v>
      </c>
      <c r="D65">
        <f t="shared" si="16"/>
        <v>3</v>
      </c>
      <c r="E65">
        <v>1.4296E-2</v>
      </c>
      <c r="I65">
        <v>5.1154E-3</v>
      </c>
      <c r="M65">
        <v>2.3722999999999999E-3</v>
      </c>
    </row>
    <row r="66" spans="1:21">
      <c r="A66" t="s">
        <v>22</v>
      </c>
      <c r="B66" t="s">
        <v>30</v>
      </c>
      <c r="C66" t="s">
        <v>30</v>
      </c>
      <c r="D66">
        <f t="shared" si="16"/>
        <v>2</v>
      </c>
      <c r="Q66">
        <v>1.8989547243711938E-4</v>
      </c>
      <c r="U66">
        <v>4.7831896309193122E-4</v>
      </c>
    </row>
    <row r="67" spans="1:21">
      <c r="A67" t="s">
        <v>59</v>
      </c>
      <c r="B67" s="41">
        <v>2.4E-2</v>
      </c>
      <c r="C67" s="41">
        <v>1.4E-2</v>
      </c>
      <c r="D67">
        <f t="shared" si="16"/>
        <v>3</v>
      </c>
      <c r="E67">
        <v>7.6746000000000002E-3</v>
      </c>
      <c r="I67">
        <v>4.0260000000000001E-3</v>
      </c>
      <c r="M67">
        <v>3.1715999999999998E-4</v>
      </c>
    </row>
    <row r="68" spans="1:21">
      <c r="A68" t="s">
        <v>58</v>
      </c>
      <c r="B68" t="s">
        <v>30</v>
      </c>
      <c r="C68" t="s">
        <v>30</v>
      </c>
      <c r="D68">
        <f t="shared" si="16"/>
        <v>0</v>
      </c>
    </row>
    <row r="69" spans="1:21">
      <c r="A69" t="s">
        <v>151</v>
      </c>
      <c r="B69" s="41">
        <v>2.4E-2</v>
      </c>
      <c r="C69" s="41">
        <v>1.4E-2</v>
      </c>
      <c r="E69">
        <v>3.2202000000000001E-2</v>
      </c>
      <c r="I69">
        <v>1.4635E-2</v>
      </c>
      <c r="M69">
        <v>1.2735999999999999E-3</v>
      </c>
    </row>
    <row r="81" spans="1:25">
      <c r="A81" s="1" t="s">
        <v>32</v>
      </c>
      <c r="E81" s="13">
        <v>43424</v>
      </c>
      <c r="I81" s="13">
        <v>43424</v>
      </c>
      <c r="M81" s="13">
        <v>43438</v>
      </c>
      <c r="Q81" s="13">
        <v>43438</v>
      </c>
      <c r="U81" s="13">
        <v>43522</v>
      </c>
      <c r="Y81" s="13">
        <v>43522</v>
      </c>
    </row>
    <row r="82" spans="1:25">
      <c r="A82" s="1" t="s">
        <v>33</v>
      </c>
      <c r="E82" s="14" t="s">
        <v>149</v>
      </c>
      <c r="I82" s="14" t="s">
        <v>149</v>
      </c>
      <c r="M82" s="14" t="s">
        <v>149</v>
      </c>
      <c r="Q82" s="14" t="s">
        <v>149</v>
      </c>
      <c r="U82" s="14" t="s">
        <v>149</v>
      </c>
      <c r="Y82" s="14" t="s">
        <v>149</v>
      </c>
    </row>
    <row r="83" spans="1:25">
      <c r="A83" s="1" t="s">
        <v>34</v>
      </c>
      <c r="E83" s="28" t="s">
        <v>40</v>
      </c>
      <c r="I83" s="28" t="s">
        <v>73</v>
      </c>
      <c r="M83" s="28" t="s">
        <v>40</v>
      </c>
      <c r="Q83" s="28" t="s">
        <v>73</v>
      </c>
      <c r="U83" s="28" t="s">
        <v>40</v>
      </c>
      <c r="Y83" s="28" t="s">
        <v>73</v>
      </c>
    </row>
    <row r="84" spans="1:25">
      <c r="A84" s="1" t="s">
        <v>35</v>
      </c>
      <c r="E84" s="14" t="s">
        <v>52</v>
      </c>
      <c r="I84" s="14" t="s">
        <v>52</v>
      </c>
      <c r="M84" s="14" t="s">
        <v>52</v>
      </c>
      <c r="Q84" s="14" t="s">
        <v>52</v>
      </c>
      <c r="U84" s="14" t="s">
        <v>52</v>
      </c>
      <c r="Y84" s="14" t="s">
        <v>52</v>
      </c>
    </row>
    <row r="85" spans="1:25" ht="64">
      <c r="A85" s="1" t="s">
        <v>36</v>
      </c>
      <c r="E85" s="38" t="s">
        <v>156</v>
      </c>
      <c r="I85" s="38" t="s">
        <v>156</v>
      </c>
      <c r="M85" s="38" t="s">
        <v>158</v>
      </c>
      <c r="Q85" s="38" t="s">
        <v>158</v>
      </c>
      <c r="U85" s="38" t="s">
        <v>158</v>
      </c>
      <c r="Y85" s="38" t="s">
        <v>158</v>
      </c>
    </row>
    <row r="86" spans="1:25">
      <c r="A86" s="1" t="s">
        <v>37</v>
      </c>
      <c r="E86" s="2"/>
      <c r="I86" s="2"/>
      <c r="M86" s="2"/>
      <c r="Q86" s="2"/>
      <c r="U86" s="2"/>
      <c r="Y86" s="2"/>
    </row>
    <row r="87" spans="1:25">
      <c r="A87" s="1" t="s">
        <v>38</v>
      </c>
      <c r="E87" s="2">
        <v>0.1</v>
      </c>
      <c r="I87" s="2">
        <v>0.1</v>
      </c>
      <c r="M87" s="2">
        <v>0.1</v>
      </c>
      <c r="Q87" s="2">
        <v>0.1</v>
      </c>
      <c r="U87" s="2">
        <v>0.1</v>
      </c>
      <c r="Y87" s="2">
        <v>0.1</v>
      </c>
    </row>
    <row r="88" spans="1:25">
      <c r="A88" s="1" t="s">
        <v>43</v>
      </c>
      <c r="E88">
        <f>E89</f>
        <v>8.5002000000000008E-2</v>
      </c>
      <c r="I88">
        <f>I89</f>
        <v>7.3649666666666669E-2</v>
      </c>
      <c r="M88">
        <f>M89</f>
        <v>0.11962</v>
      </c>
      <c r="Q88">
        <f>Q89</f>
        <v>0.13425000000000001</v>
      </c>
      <c r="U88">
        <f>U89</f>
        <v>0.23643666666666666</v>
      </c>
      <c r="Y88">
        <f>Y89</f>
        <v>0.11082333333333333</v>
      </c>
    </row>
    <row r="89" spans="1:25">
      <c r="A89" s="1" t="s">
        <v>54</v>
      </c>
      <c r="E89">
        <f>E112</f>
        <v>8.5002000000000008E-2</v>
      </c>
      <c r="I89">
        <f>I112</f>
        <v>7.3649666666666669E-2</v>
      </c>
      <c r="M89">
        <f>M112</f>
        <v>0.11962</v>
      </c>
      <c r="Q89">
        <f>Q112</f>
        <v>0.13425000000000001</v>
      </c>
      <c r="U89">
        <f>U112</f>
        <v>0.23643666666666666</v>
      </c>
      <c r="Y89">
        <f>Y112</f>
        <v>0.11082333333333333</v>
      </c>
    </row>
    <row r="90" spans="1:25">
      <c r="A90" s="1" t="s">
        <v>44</v>
      </c>
      <c r="B90" s="21">
        <f>1*(1-E88)/E88</f>
        <v>10.764429072257123</v>
      </c>
      <c r="C90" s="21">
        <f>1.2*(1-E88)/E88</f>
        <v>12.917314886708548</v>
      </c>
      <c r="D90" s="21">
        <f>0.675*(1-E88)/E88</f>
        <v>7.2659896237735584</v>
      </c>
      <c r="E90" s="21"/>
      <c r="F90" s="21">
        <f>1*(1-I88)/I88</f>
        <v>12.577793970554291</v>
      </c>
      <c r="G90" s="21">
        <f>1.2*(1-I88)/I88</f>
        <v>15.09335276466515</v>
      </c>
      <c r="H90" s="21">
        <f>0.675*(1-I88)/I88</f>
        <v>8.4900109301241482</v>
      </c>
      <c r="I90" s="21"/>
      <c r="J90" s="21">
        <f>2*(1-M88)/M88</f>
        <v>14.719612104999163</v>
      </c>
      <c r="K90" s="21">
        <f>2.4*(1-M88)/M88</f>
        <v>17.663534525998994</v>
      </c>
      <c r="L90" s="21">
        <f>1.35*(1-M88)/M88</f>
        <v>9.9357381708744352</v>
      </c>
      <c r="M90" s="21"/>
      <c r="N90" s="21">
        <f>2*(1-Q88)/Q88</f>
        <v>12.8975791433892</v>
      </c>
      <c r="O90" s="21">
        <f>2.4*(1-Q88)/Q88</f>
        <v>15.477094972067038</v>
      </c>
      <c r="P90" s="21">
        <f>1.35*(1-Q88)/Q88</f>
        <v>8.7058659217877103</v>
      </c>
      <c r="Q90" s="21"/>
      <c r="R90" s="21">
        <f>2*(1-U88)/U88</f>
        <v>6.4589248706489411</v>
      </c>
      <c r="S90" s="21">
        <f>2.4*(1-U88)/U88</f>
        <v>7.7507098447787284</v>
      </c>
      <c r="T90" s="21">
        <f>1.35*(1-U88)/U88</f>
        <v>4.359774287688035</v>
      </c>
      <c r="U90" s="21">
        <f>U86*U87*(1-U88)/U88</f>
        <v>0</v>
      </c>
      <c r="V90" s="21">
        <f>2*(1-Y88)/Y88</f>
        <v>16.046741059343702</v>
      </c>
      <c r="W90" s="21">
        <f>2.4*(1-Y88)/Y88</f>
        <v>19.256089271212442</v>
      </c>
      <c r="X90" s="21">
        <f>1.35*(1-Y88)/Y88</f>
        <v>10.831550215056998</v>
      </c>
      <c r="Y90" s="21">
        <f>Y86*Y87*(1-Y88)/Y88</f>
        <v>0</v>
      </c>
    </row>
    <row r="91" spans="1:25">
      <c r="A91" s="1"/>
    </row>
    <row r="92" spans="1:25">
      <c r="A92" s="1" t="s">
        <v>33</v>
      </c>
      <c r="E92" t="s">
        <v>149</v>
      </c>
      <c r="I92" t="s">
        <v>149</v>
      </c>
      <c r="M92" t="s">
        <v>149</v>
      </c>
      <c r="Q92" t="s">
        <v>149</v>
      </c>
      <c r="U92" t="s">
        <v>149</v>
      </c>
      <c r="Y92" t="s">
        <v>149</v>
      </c>
    </row>
    <row r="93" spans="1:25">
      <c r="A93" s="1" t="s">
        <v>45</v>
      </c>
      <c r="E93" t="s">
        <v>47</v>
      </c>
      <c r="I93" t="s">
        <v>47</v>
      </c>
      <c r="M93" t="s">
        <v>47</v>
      </c>
      <c r="Q93" t="s">
        <v>47</v>
      </c>
      <c r="U93" t="s">
        <v>47</v>
      </c>
      <c r="Y93" t="s">
        <v>47</v>
      </c>
    </row>
    <row r="94" spans="1:25" s="61" customFormat="1" ht="29">
      <c r="A94" s="60" t="s">
        <v>31</v>
      </c>
      <c r="E94" s="67" t="s">
        <v>157</v>
      </c>
      <c r="I94" s="67" t="s">
        <v>157</v>
      </c>
      <c r="M94" s="68" t="s">
        <v>159</v>
      </c>
      <c r="Q94" s="68" t="s">
        <v>159</v>
      </c>
      <c r="U94" s="68" t="s">
        <v>160</v>
      </c>
      <c r="Y94" s="68" t="s">
        <v>160</v>
      </c>
    </row>
    <row r="96" spans="1:25">
      <c r="A96" s="1" t="s">
        <v>50</v>
      </c>
    </row>
    <row r="97" spans="1:25">
      <c r="B97" s="1" t="s">
        <v>5</v>
      </c>
      <c r="C97" s="1" t="s">
        <v>6</v>
      </c>
      <c r="D97" s="1" t="s">
        <v>55</v>
      </c>
    </row>
    <row r="98" spans="1:25">
      <c r="A98" s="1" t="s">
        <v>0</v>
      </c>
    </row>
    <row r="99" spans="1:25">
      <c r="A99" t="s">
        <v>60</v>
      </c>
      <c r="B99">
        <f>AVERAGE(E99/E$89,I99/I$89,M99/M$89,Q99/Q$89,U99/U$89,Y99/Y$89)</f>
        <v>6.7179612351479833E-3</v>
      </c>
      <c r="C99">
        <f>STDEV(E99/E$89,I99/I$89,M99/M$89,Q99/Q$89,U99/U$89,Y99/Y$89)/SQRT(D99)</f>
        <v>9.2016351770025885E-4</v>
      </c>
      <c r="D99">
        <f>COUNT(E99:AZ99)</f>
        <v>6</v>
      </c>
      <c r="E99">
        <v>4.8974999999999995E-4</v>
      </c>
      <c r="I99">
        <v>2.4231E-4</v>
      </c>
      <c r="M99">
        <v>7.5757999999999999E-4</v>
      </c>
      <c r="Q99">
        <v>8.7516999999999998E-4</v>
      </c>
      <c r="U99">
        <v>2.0994999999999998E-3</v>
      </c>
      <c r="Y99">
        <v>1.0555E-3</v>
      </c>
    </row>
    <row r="100" spans="1:25">
      <c r="A100" t="s">
        <v>61</v>
      </c>
      <c r="B100">
        <f>AVERAGE(E100/E$89,I100/I$89,M100/M$89,Q100/Q$89,U100/U$89,Y100/Y$89)</f>
        <v>1.4029039196481954E-2</v>
      </c>
      <c r="C100">
        <f>STDEV(E100/E$89,I100/I$89,M100/M$89,Q100/Q$89,U100/U$89,Y100/Y$89)/SQRT(D100)</f>
        <v>4.915319972608335E-4</v>
      </c>
      <c r="D100">
        <f t="shared" ref="D100:D101" si="21">COUNT(E100:AZ100)</f>
        <v>6</v>
      </c>
      <c r="E100">
        <v>1.1879E-3</v>
      </c>
      <c r="I100">
        <v>1.0755000000000001E-3</v>
      </c>
      <c r="M100">
        <v>1.903E-3</v>
      </c>
      <c r="Q100">
        <v>1.6521000000000001E-3</v>
      </c>
      <c r="U100">
        <v>3.1649999999999998E-3</v>
      </c>
      <c r="Y100">
        <v>1.5510000000000001E-3</v>
      </c>
    </row>
    <row r="101" spans="1:25">
      <c r="A101" t="s">
        <v>62</v>
      </c>
      <c r="B101">
        <f t="shared" ref="B101:B113" si="22">AVERAGE(E101/E$89,I101/I$89,M101/M$89,Q101/Q$89,U101/U$89,Y101/Y$89)</f>
        <v>2.4326924542101291E-2</v>
      </c>
      <c r="C101">
        <f t="shared" ref="C101:C113" si="23">STDEV(E101/E$89,I101/I$89,M101/M$89,Q101/Q$89,U101/U$89,Y101/Y$89)/SQRT(D101)</f>
        <v>1.412922491406565E-3</v>
      </c>
      <c r="D101">
        <f t="shared" si="21"/>
        <v>6</v>
      </c>
      <c r="E101">
        <v>1.5414999999999999E-3</v>
      </c>
      <c r="I101">
        <v>1.7522E-3</v>
      </c>
      <c r="M101">
        <v>3.0416000000000002E-3</v>
      </c>
      <c r="Q101">
        <v>3.4778000000000001E-3</v>
      </c>
      <c r="U101">
        <v>6.7419999999999997E-3</v>
      </c>
      <c r="Y101">
        <v>2.6806E-3</v>
      </c>
    </row>
    <row r="102" spans="1:25">
      <c r="A102" t="s">
        <v>63</v>
      </c>
      <c r="B102">
        <f t="shared" si="22"/>
        <v>2.1915923276438847E-3</v>
      </c>
      <c r="C102">
        <f t="shared" si="23"/>
        <v>2.0151087713885666E-3</v>
      </c>
      <c r="D102">
        <f t="shared" ref="D102:D113" si="24">COUNT(E102:AZ102)</f>
        <v>6</v>
      </c>
      <c r="E102">
        <v>1.0403999999999999E-3</v>
      </c>
      <c r="I102">
        <v>0</v>
      </c>
      <c r="M102">
        <v>0</v>
      </c>
      <c r="Q102">
        <v>0</v>
      </c>
      <c r="U102">
        <v>2.1511999999999999E-4</v>
      </c>
      <c r="Y102">
        <v>0</v>
      </c>
    </row>
    <row r="103" spans="1:25">
      <c r="A103" t="s">
        <v>64</v>
      </c>
      <c r="B103">
        <f t="shared" si="22"/>
        <v>2.8816849210122234E-2</v>
      </c>
      <c r="C103">
        <f t="shared" si="23"/>
        <v>2.3332794075572689E-3</v>
      </c>
      <c r="D103">
        <f t="shared" si="24"/>
        <v>6</v>
      </c>
      <c r="E103">
        <v>1.7821E-3</v>
      </c>
      <c r="I103">
        <v>2.6792999999999999E-3</v>
      </c>
      <c r="M103">
        <v>3.7331999999999999E-3</v>
      </c>
      <c r="Q103">
        <v>4.2892E-3</v>
      </c>
      <c r="U103">
        <v>6.8475000000000003E-3</v>
      </c>
      <c r="Y103">
        <v>2.5974000000000001E-3</v>
      </c>
    </row>
    <row r="104" spans="1:25">
      <c r="A104" t="s">
        <v>65</v>
      </c>
      <c r="B104">
        <f t="shared" si="22"/>
        <v>6.830903241535687E-5</v>
      </c>
      <c r="C104">
        <f t="shared" si="23"/>
        <v>5.0139113596617812E-5</v>
      </c>
      <c r="D104">
        <f t="shared" si="24"/>
        <v>6</v>
      </c>
      <c r="E104">
        <v>0</v>
      </c>
      <c r="I104">
        <v>0</v>
      </c>
      <c r="M104" s="15">
        <v>3.6301999999999999E-5</v>
      </c>
      <c r="Q104">
        <v>0</v>
      </c>
      <c r="U104">
        <v>0</v>
      </c>
      <c r="V104" s="15"/>
      <c r="Y104" s="15">
        <v>1.1789E-5</v>
      </c>
    </row>
    <row r="105" spans="1:25">
      <c r="A105" t="s">
        <v>66</v>
      </c>
      <c r="B105">
        <f t="shared" si="22"/>
        <v>8.9880319252449279E-5</v>
      </c>
      <c r="C105">
        <f t="shared" si="23"/>
        <v>5.6849587927013921E-5</v>
      </c>
      <c r="D105">
        <f t="shared" si="24"/>
        <v>6</v>
      </c>
      <c r="E105">
        <v>0</v>
      </c>
      <c r="I105">
        <v>0</v>
      </c>
      <c r="M105">
        <v>0</v>
      </c>
      <c r="Q105">
        <v>0</v>
      </c>
      <c r="U105" s="15">
        <v>6.4392000000000003E-5</v>
      </c>
      <c r="V105" s="15"/>
      <c r="Y105" s="15">
        <v>2.9583000000000001E-5</v>
      </c>
    </row>
    <row r="106" spans="1:25">
      <c r="A106" t="s">
        <v>67</v>
      </c>
      <c r="B106">
        <f t="shared" si="22"/>
        <v>0</v>
      </c>
      <c r="C106">
        <f t="shared" si="23"/>
        <v>0</v>
      </c>
      <c r="D106">
        <f t="shared" si="24"/>
        <v>6</v>
      </c>
      <c r="E106">
        <v>0</v>
      </c>
      <c r="I106">
        <v>0</v>
      </c>
      <c r="M106">
        <v>0</v>
      </c>
      <c r="Q106">
        <v>0</v>
      </c>
      <c r="U106">
        <v>0</v>
      </c>
      <c r="Y106">
        <v>0</v>
      </c>
    </row>
    <row r="107" spans="1:25">
      <c r="A107" t="s">
        <v>71</v>
      </c>
      <c r="B107">
        <f t="shared" si="22"/>
        <v>0</v>
      </c>
      <c r="C107">
        <f t="shared" si="23"/>
        <v>0</v>
      </c>
      <c r="D107">
        <f t="shared" si="24"/>
        <v>6</v>
      </c>
      <c r="E107">
        <v>0</v>
      </c>
      <c r="I107">
        <v>0</v>
      </c>
      <c r="M107">
        <v>0</v>
      </c>
      <c r="Q107">
        <v>0</v>
      </c>
      <c r="U107">
        <v>0</v>
      </c>
      <c r="Y107">
        <v>0</v>
      </c>
    </row>
    <row r="108" spans="1:25">
      <c r="A108" t="s">
        <v>72</v>
      </c>
      <c r="B108">
        <f t="shared" si="22"/>
        <v>8.6338919925512108E-3</v>
      </c>
      <c r="C108">
        <f t="shared" si="23"/>
        <v>8.6338919925512108E-3</v>
      </c>
      <c r="D108">
        <f t="shared" si="24"/>
        <v>6</v>
      </c>
      <c r="E108">
        <v>0</v>
      </c>
      <c r="I108">
        <v>0</v>
      </c>
      <c r="M108">
        <v>0</v>
      </c>
      <c r="Q108">
        <v>6.9546E-3</v>
      </c>
      <c r="U108">
        <v>0</v>
      </c>
      <c r="Y108">
        <v>0</v>
      </c>
    </row>
    <row r="109" spans="1:25">
      <c r="A109" t="s">
        <v>69</v>
      </c>
      <c r="B109">
        <f t="shared" si="22"/>
        <v>9.6288441195679017E-3</v>
      </c>
      <c r="C109">
        <f t="shared" si="23"/>
        <v>2.7570486517966113E-3</v>
      </c>
      <c r="D109">
        <f t="shared" si="24"/>
        <v>6</v>
      </c>
      <c r="E109">
        <v>0</v>
      </c>
      <c r="I109">
        <v>1.1643999999999999E-3</v>
      </c>
      <c r="M109">
        <v>1.5509E-3</v>
      </c>
      <c r="Q109">
        <v>2.9804000000000001E-4</v>
      </c>
      <c r="U109">
        <v>3.4464000000000001E-3</v>
      </c>
      <c r="Y109">
        <v>1.3522E-3</v>
      </c>
    </row>
    <row r="110" spans="1:25" s="44" customFormat="1">
      <c r="A110" s="44" t="s">
        <v>68</v>
      </c>
      <c r="B110" s="44" t="s">
        <v>30</v>
      </c>
      <c r="C110" s="44" t="s">
        <v>30</v>
      </c>
      <c r="D110" s="44">
        <f t="shared" si="24"/>
        <v>0</v>
      </c>
    </row>
    <row r="111" spans="1:25" s="44" customFormat="1">
      <c r="A111" s="44" t="s">
        <v>70</v>
      </c>
      <c r="B111" s="44" t="s">
        <v>30</v>
      </c>
      <c r="C111" s="44" t="s">
        <v>30</v>
      </c>
      <c r="D111" s="44">
        <f t="shared" si="24"/>
        <v>0</v>
      </c>
    </row>
    <row r="112" spans="1:25">
      <c r="A112" t="s">
        <v>23</v>
      </c>
      <c r="B112">
        <f t="shared" si="22"/>
        <v>1</v>
      </c>
      <c r="C112">
        <f t="shared" si="23"/>
        <v>0</v>
      </c>
      <c r="D112">
        <f t="shared" si="24"/>
        <v>6</v>
      </c>
      <c r="E112">
        <v>8.5002000000000008E-2</v>
      </c>
      <c r="I112">
        <v>7.3649666666666669E-2</v>
      </c>
      <c r="M112">
        <v>0.11962</v>
      </c>
      <c r="Q112">
        <v>0.13425000000000001</v>
      </c>
      <c r="U112">
        <v>0.23643666666666666</v>
      </c>
      <c r="Y112">
        <v>0.11082333333333333</v>
      </c>
    </row>
    <row r="113" spans="1:25">
      <c r="A113" t="s">
        <v>24</v>
      </c>
      <c r="B113">
        <f t="shared" si="22"/>
        <v>0</v>
      </c>
      <c r="C113">
        <f t="shared" si="23"/>
        <v>0</v>
      </c>
      <c r="D113">
        <f t="shared" si="24"/>
        <v>6</v>
      </c>
      <c r="E113">
        <v>0</v>
      </c>
      <c r="I113">
        <v>0</v>
      </c>
      <c r="M113">
        <v>0</v>
      </c>
      <c r="Q113">
        <v>0</v>
      </c>
      <c r="U113">
        <v>0</v>
      </c>
      <c r="Y113">
        <v>0</v>
      </c>
    </row>
    <row r="116" spans="1:25">
      <c r="A116" s="1" t="s">
        <v>16</v>
      </c>
    </row>
    <row r="117" spans="1:25">
      <c r="A117" t="s">
        <v>7</v>
      </c>
      <c r="B117">
        <f>AVERAGE(E117/E$89,I117/I$89,M117/M$89,Q117/Q$89,U117/U$89,Y117/Y$89)</f>
        <v>9.1538032219684855E-3</v>
      </c>
      <c r="C117">
        <f>STDEV(E117/E$89,I117/I$89,M117/M$89,Q117/Q$89,U117/U$89,Y117/Y$89)/SQRT(D117)</f>
        <v>2.7862053295645219E-3</v>
      </c>
      <c r="D117">
        <f>COUNT(E117:AZ117)</f>
        <v>6</v>
      </c>
      <c r="E117">
        <v>4.0882000000000001E-4</v>
      </c>
      <c r="I117">
        <v>2.6435E-4</v>
      </c>
      <c r="M117">
        <v>1.3022000000000001E-3</v>
      </c>
      <c r="Q117">
        <v>2.8776000000000002E-4</v>
      </c>
      <c r="U117">
        <v>4.6197E-3</v>
      </c>
      <c r="Y117">
        <v>1.5466E-3</v>
      </c>
    </row>
    <row r="118" spans="1:25">
      <c r="A118" t="s">
        <v>8</v>
      </c>
      <c r="B118">
        <f t="shared" ref="B118:B121" si="25">AVERAGE(E118/E$89,I118/I$89,M118/M$89,Q118/Q$89,U118/U$89,Y118/Y$89)</f>
        <v>4.6072704560396277E-2</v>
      </c>
      <c r="C118">
        <f t="shared" ref="C118:C121" si="26">STDEV(E118/E$89,I118/I$89,M118/M$89,Q118/Q$89,U118/U$89,Y118/Y$89)/SQRT(D118)</f>
        <v>8.2384516785513773E-3</v>
      </c>
      <c r="D118">
        <f t="shared" ref="D118:D122" si="27">COUNT(E118:AZ118)</f>
        <v>6</v>
      </c>
      <c r="E118">
        <v>1.8529E-3</v>
      </c>
      <c r="I118">
        <v>2.0631999999999998E-3</v>
      </c>
      <c r="M118">
        <v>8.1010000000000006E-3</v>
      </c>
      <c r="Q118">
        <v>7.1254999999999999E-3</v>
      </c>
      <c r="U118">
        <v>1.6284E-2</v>
      </c>
      <c r="Y118">
        <v>4.0952000000000002E-3</v>
      </c>
    </row>
    <row r="119" spans="1:25">
      <c r="A119" t="s">
        <v>9</v>
      </c>
      <c r="B119">
        <f t="shared" si="25"/>
        <v>3.0507101383049153E-2</v>
      </c>
      <c r="C119">
        <f t="shared" si="26"/>
        <v>2.7324045488450991E-3</v>
      </c>
      <c r="D119">
        <f t="shared" si="27"/>
        <v>6</v>
      </c>
      <c r="E119">
        <v>1.5483999999999999E-3</v>
      </c>
      <c r="I119">
        <v>2.2027000000000001E-3</v>
      </c>
      <c r="M119">
        <v>4.3784999999999996E-3</v>
      </c>
      <c r="Q119">
        <v>4.0984000000000003E-3</v>
      </c>
      <c r="U119">
        <v>7.4238000000000004E-3</v>
      </c>
      <c r="Y119">
        <v>4.0327000000000002E-3</v>
      </c>
    </row>
    <row r="120" spans="1:25">
      <c r="A120" t="s">
        <v>10</v>
      </c>
      <c r="B120">
        <f t="shared" si="25"/>
        <v>1.7745790907455022E-2</v>
      </c>
      <c r="C120">
        <f t="shared" si="26"/>
        <v>2.253222054768942E-3</v>
      </c>
      <c r="D120">
        <f t="shared" si="27"/>
        <v>6</v>
      </c>
      <c r="E120">
        <v>9.5733999999999999E-4</v>
      </c>
      <c r="I120">
        <v>7.8669999999999999E-4</v>
      </c>
      <c r="M120">
        <v>2.8268E-3</v>
      </c>
      <c r="Q120">
        <v>2.4650000000000002E-3</v>
      </c>
      <c r="U120">
        <v>4.9068999999999996E-3</v>
      </c>
      <c r="Y120">
        <v>2.4142E-3</v>
      </c>
    </row>
    <row r="121" spans="1:25">
      <c r="A121" t="s">
        <v>11</v>
      </c>
      <c r="B121">
        <f t="shared" si="25"/>
        <v>2.7856564884118612E-2</v>
      </c>
      <c r="C121">
        <f t="shared" si="26"/>
        <v>3.2888571396272625E-3</v>
      </c>
      <c r="D121">
        <f t="shared" si="27"/>
        <v>6</v>
      </c>
      <c r="E121">
        <v>1.3060999999999999E-3</v>
      </c>
      <c r="I121">
        <v>1.7049000000000001E-3</v>
      </c>
      <c r="M121">
        <v>4.5433000000000001E-3</v>
      </c>
      <c r="Q121">
        <v>3.6434000000000002E-3</v>
      </c>
      <c r="U121">
        <v>6.9062999999999998E-3</v>
      </c>
      <c r="Y121">
        <v>3.8007000000000002E-3</v>
      </c>
    </row>
    <row r="122" spans="1:25">
      <c r="A122" t="s">
        <v>49</v>
      </c>
      <c r="B122" t="s">
        <v>30</v>
      </c>
      <c r="C122" t="s">
        <v>30</v>
      </c>
      <c r="D122">
        <f t="shared" si="27"/>
        <v>0</v>
      </c>
    </row>
    <row r="123" spans="1:25">
      <c r="A123" t="s">
        <v>12</v>
      </c>
      <c r="B123">
        <f>AVERAGE(E123/E$89,I123/I$89,M123/M$89,Q123/Q$89,U123/U$89,Y123/Y$89)</f>
        <v>0.16916592102898054</v>
      </c>
      <c r="C123">
        <f>STDEV(E123/E$89,I123/I$89,M123/M$89,Q123/Q$89,U123/U$89,Y123/Y$89)/SQRT(D123)</f>
        <v>2.8379645848962499E-2</v>
      </c>
      <c r="D123">
        <f>COUNT(E123:AZ123)</f>
        <v>6</v>
      </c>
      <c r="E123">
        <v>6.6182000000000003E-3</v>
      </c>
      <c r="I123">
        <v>7.3001000000000003E-3</v>
      </c>
      <c r="M123">
        <v>2.9179E-2</v>
      </c>
      <c r="Q123">
        <v>2.3259999999999999E-2</v>
      </c>
      <c r="U123">
        <v>4.2444000000000003E-2</v>
      </c>
      <c r="Y123">
        <v>2.6742999999999999E-2</v>
      </c>
    </row>
    <row r="124" spans="1:25">
      <c r="A124" t="s">
        <v>13</v>
      </c>
      <c r="B124">
        <f t="shared" ref="B124:B125" si="28">AVERAGE(E124/E$89,I124/I$89,M124/M$89,Q124/Q$89,U124/U$89,Y124/Y$89)</f>
        <v>3.7019660818923571E-2</v>
      </c>
      <c r="C124">
        <f t="shared" ref="C124:C125" si="29">STDEV(E124/E$89,I124/I$89,M124/M$89,Q124/Q$89,U124/U$89,Y124/Y$89)/SQRT(D124)</f>
        <v>4.6826708908334303E-3</v>
      </c>
      <c r="D124">
        <f t="shared" ref="D124:D126" si="30">COUNT(E124:AZ124)</f>
        <v>6</v>
      </c>
      <c r="E124">
        <v>1.6072E-3</v>
      </c>
      <c r="I124">
        <v>2.1909999999999998E-3</v>
      </c>
      <c r="M124">
        <v>5.2002999999999997E-3</v>
      </c>
      <c r="Q124">
        <v>4.6372999999999996E-3</v>
      </c>
      <c r="U124">
        <v>1.1306E-2</v>
      </c>
      <c r="Y124">
        <v>5.2782000000000003E-3</v>
      </c>
    </row>
    <row r="125" spans="1:25">
      <c r="A125" t="s">
        <v>14</v>
      </c>
      <c r="B125">
        <f t="shared" si="28"/>
        <v>1.1481526145161571E-2</v>
      </c>
      <c r="C125">
        <f t="shared" si="29"/>
        <v>2.9435021929304756E-3</v>
      </c>
      <c r="D125">
        <f t="shared" si="30"/>
        <v>6</v>
      </c>
      <c r="E125">
        <v>3.3344000000000001E-4</v>
      </c>
      <c r="I125">
        <v>5.5962999999999998E-4</v>
      </c>
      <c r="M125">
        <v>2.0103999999999999E-3</v>
      </c>
      <c r="Q125">
        <v>9.6842E-4</v>
      </c>
      <c r="U125">
        <v>5.5037000000000003E-3</v>
      </c>
      <c r="Y125">
        <v>1.116E-3</v>
      </c>
    </row>
    <row r="126" spans="1:25">
      <c r="A126" t="s">
        <v>56</v>
      </c>
      <c r="B126">
        <f>AVERAGE(E126/E$89,I126/I$89,M126/M$89,Q126/Q$89)</f>
        <v>0</v>
      </c>
      <c r="C126">
        <f>STDEV(E126/E$89,I126/I$89,M126/M$89,Q126/Q$89)/SQRT(D126)</f>
        <v>0</v>
      </c>
      <c r="D126">
        <f t="shared" si="30"/>
        <v>4</v>
      </c>
      <c r="E126">
        <v>0</v>
      </c>
      <c r="I126">
        <v>0</v>
      </c>
      <c r="M126">
        <v>0</v>
      </c>
      <c r="Q126">
        <v>0</v>
      </c>
    </row>
    <row r="127" spans="1:25">
      <c r="A127" t="s">
        <v>57</v>
      </c>
      <c r="B127" t="s">
        <v>30</v>
      </c>
      <c r="C127" t="s">
        <v>30</v>
      </c>
    </row>
    <row r="128" spans="1:25">
      <c r="A128" t="s">
        <v>15</v>
      </c>
      <c r="B128">
        <f>AVERAGE(E128/E$89,I128/I$89,M128/M$89,Q128/Q$89,U128/U$89,Y128/Y$89)</f>
        <v>2.903713907987587E-2</v>
      </c>
      <c r="C128">
        <f>STDEV(E128/E$89,I128/I$89,M128/M$89,Q128/Q$89,U128/U$89,Y128/Y$89)/SQRT(D128)</f>
        <v>2.3349920050841303E-3</v>
      </c>
      <c r="D128">
        <f>COUNT(E128:AZ128)</f>
        <v>6</v>
      </c>
      <c r="E128">
        <v>1.7669000000000001E-3</v>
      </c>
      <c r="I128">
        <v>1.699E-3</v>
      </c>
      <c r="M128">
        <v>3.6581999999999999E-3</v>
      </c>
      <c r="Q128">
        <v>4.3233000000000004E-3</v>
      </c>
      <c r="U128">
        <v>8.2407000000000001E-3</v>
      </c>
      <c r="Y128">
        <v>3.6270999999999999E-3</v>
      </c>
    </row>
    <row r="129" spans="1:25" s="44" customFormat="1">
      <c r="A129" s="44" t="s">
        <v>22</v>
      </c>
      <c r="B129" s="44">
        <f>AVERAGE(U129/U$89,Y129/Y$89)</f>
        <v>3.2754093515140734E-2</v>
      </c>
      <c r="C129" s="44">
        <f>STDEV(U129/U$89,Y129/Y$89)/SQRT(D129)</f>
        <v>9.8009886900724658E-4</v>
      </c>
      <c r="D129" s="44">
        <f t="shared" ref="D129" si="31">COUNT(E129:AZ129)</f>
        <v>2</v>
      </c>
      <c r="U129" s="44">
        <v>7.9760000000000005E-3</v>
      </c>
      <c r="Y129" s="44">
        <v>3.5213000000000002E-3</v>
      </c>
    </row>
    <row r="130" spans="1:25">
      <c r="A130" t="s">
        <v>59</v>
      </c>
      <c r="B130">
        <f>AVERAGE(E130/E$89,I130/I$89,M130/M$89,Q130/Q$89,U130/U$89,Y130/Y$89)</f>
        <v>4.9947514896293038E-2</v>
      </c>
      <c r="C130">
        <f>STDEV(E130/E$89,I130/I$89,M130/M$89,Q130/Q$89,U130/U$89,Y130/Y$89)/SQRT(D130)</f>
        <v>5.300608378876138E-3</v>
      </c>
      <c r="D130">
        <f>COUNT(E130:AZ130)</f>
        <v>6</v>
      </c>
      <c r="E130">
        <v>2.7870999999999998E-3</v>
      </c>
      <c r="I130">
        <v>2.5249000000000001E-3</v>
      </c>
      <c r="M130">
        <v>6.8973999999999997E-3</v>
      </c>
      <c r="Q130">
        <v>7.1963000000000001E-3</v>
      </c>
      <c r="U130">
        <v>1.439E-2</v>
      </c>
      <c r="Y130">
        <v>6.7034E-3</v>
      </c>
    </row>
    <row r="131" spans="1:25">
      <c r="A131" t="s">
        <v>58</v>
      </c>
      <c r="B131" t="s">
        <v>30</v>
      </c>
      <c r="C131" t="s">
        <v>30</v>
      </c>
      <c r="D131">
        <f>COUNT(E131:AZ131)</f>
        <v>0</v>
      </c>
    </row>
    <row r="132" spans="1:25">
      <c r="A132" t="s">
        <v>151</v>
      </c>
      <c r="B132">
        <f t="shared" ref="B132" si="32">AVERAGE(E132/E$89,I132/I$89,M132/M$89,Q132/Q$89,U132/U$89,Y132/Y$89)</f>
        <v>1.7629978443083529E-2</v>
      </c>
      <c r="C132">
        <f t="shared" ref="C132" si="33">STDEV(E132/E$89,I132/I$89,M132/M$89,Q132/Q$89,U132/U$89,Y132/Y$89)/SQRT(D132)</f>
        <v>2.9535977392318173E-3</v>
      </c>
      <c r="D132">
        <f t="shared" ref="D132" si="34">COUNT(E132:AZ132)</f>
        <v>6</v>
      </c>
      <c r="E132">
        <v>3.1686000000000003E-4</v>
      </c>
      <c r="I132">
        <v>1.4989999999999999E-3</v>
      </c>
      <c r="M132">
        <v>2.6914999999999999E-3</v>
      </c>
      <c r="Q132">
        <v>2.5406000000000001E-3</v>
      </c>
      <c r="U132">
        <v>5.5639000000000001E-3</v>
      </c>
      <c r="Y132">
        <v>1.8554000000000001E-3</v>
      </c>
    </row>
    <row r="133" spans="1:25">
      <c r="A133" s="1" t="s">
        <v>17</v>
      </c>
    </row>
    <row r="134" spans="1:25">
      <c r="A134" t="s">
        <v>7</v>
      </c>
      <c r="B134">
        <f>AVERAGE(E134/E$89,I134/I$89,M134/M$89,Q134/Q$89,U134/U$89,Y134/Y$89)</f>
        <v>1.1479954741322837E-2</v>
      </c>
      <c r="C134">
        <f>STDEV(E134/E$89,I134/I$89,M134/M$89,Q134/Q$89,U134/U$89,Y134/Y$89)/SQRT(D134)</f>
        <v>2.2239309207183621E-3</v>
      </c>
      <c r="D134">
        <f>COUNT(E134:AZ134)</f>
        <v>6</v>
      </c>
      <c r="E134">
        <v>7.0907000000000001E-4</v>
      </c>
      <c r="I134">
        <v>6.3462000000000002E-4</v>
      </c>
      <c r="M134">
        <v>1.6191000000000001E-3</v>
      </c>
      <c r="Q134">
        <v>1.0606999999999999E-3</v>
      </c>
      <c r="U134">
        <v>5.1450999999999997E-3</v>
      </c>
      <c r="Y134">
        <v>9.6681000000000002E-4</v>
      </c>
    </row>
    <row r="135" spans="1:25">
      <c r="A135" t="s">
        <v>8</v>
      </c>
      <c r="B135">
        <f t="shared" ref="B135:B138" si="35">AVERAGE(E135/E$89,I135/I$89,M135/M$89,Q135/Q$89,U135/U$89,Y135/Y$89)</f>
        <v>5.2506514306488679E-2</v>
      </c>
      <c r="C135">
        <f t="shared" ref="C135:C138" si="36">STDEV(E135/E$89,I135/I$89,M135/M$89,Q135/Q$89,U135/U$89,Y135/Y$89)/SQRT(D135)</f>
        <v>5.8562247154518628E-3</v>
      </c>
      <c r="D135">
        <f t="shared" ref="D135:D139" si="37">COUNT(E135:AZ135)</f>
        <v>6</v>
      </c>
      <c r="E135">
        <v>2.5801000000000001E-3</v>
      </c>
      <c r="I135">
        <v>2.8649999999999999E-3</v>
      </c>
      <c r="M135">
        <v>7.7844999999999998E-3</v>
      </c>
      <c r="Q135">
        <v>7.9705999999999996E-3</v>
      </c>
      <c r="U135">
        <v>1.4983E-2</v>
      </c>
      <c r="Y135">
        <v>6.4241000000000003E-3</v>
      </c>
    </row>
    <row r="136" spans="1:25">
      <c r="A136" t="s">
        <v>9</v>
      </c>
      <c r="B136">
        <f t="shared" si="35"/>
        <v>3.347941355261827E-2</v>
      </c>
      <c r="C136">
        <f t="shared" si="36"/>
        <v>3.3021915677971161E-3</v>
      </c>
      <c r="D136">
        <f t="shared" si="37"/>
        <v>6</v>
      </c>
      <c r="E136">
        <v>1.7160000000000001E-3</v>
      </c>
      <c r="I136">
        <v>2.4393000000000001E-3</v>
      </c>
      <c r="M136">
        <v>4.7423999999999999E-3</v>
      </c>
      <c r="Q136">
        <v>4.4695000000000004E-3</v>
      </c>
      <c r="U136">
        <v>7.3008999999999999E-3</v>
      </c>
      <c r="Y136">
        <v>4.8487000000000001E-3</v>
      </c>
    </row>
    <row r="137" spans="1:25">
      <c r="A137" t="s">
        <v>10</v>
      </c>
      <c r="B137">
        <f t="shared" si="35"/>
        <v>2.1499666974528056E-2</v>
      </c>
      <c r="C137">
        <f t="shared" si="36"/>
        <v>1.5474479985386647E-3</v>
      </c>
      <c r="D137">
        <f t="shared" si="37"/>
        <v>6</v>
      </c>
      <c r="E137">
        <v>1.5790999999999999E-3</v>
      </c>
      <c r="I137">
        <v>1.3051E-3</v>
      </c>
      <c r="M137">
        <v>2.9528000000000002E-3</v>
      </c>
      <c r="Q137">
        <v>2.5238999999999999E-3</v>
      </c>
      <c r="U137">
        <v>5.2328000000000001E-3</v>
      </c>
      <c r="Y137">
        <v>3.0014999999999998E-3</v>
      </c>
    </row>
    <row r="138" spans="1:25">
      <c r="A138" t="s">
        <v>11</v>
      </c>
      <c r="B138">
        <f t="shared" si="35"/>
        <v>2.9046419412327218E-2</v>
      </c>
      <c r="C138">
        <f t="shared" si="36"/>
        <v>2.289513896344532E-3</v>
      </c>
      <c r="D138">
        <f t="shared" si="37"/>
        <v>6</v>
      </c>
      <c r="E138">
        <v>1.6237000000000001E-3</v>
      </c>
      <c r="I138">
        <v>2.1307000000000001E-3</v>
      </c>
      <c r="M138">
        <v>3.8479E-3</v>
      </c>
      <c r="Q138">
        <v>3.8057999999999998E-3</v>
      </c>
      <c r="U138">
        <v>7.0426000000000004E-3</v>
      </c>
      <c r="Y138">
        <v>3.9833999999999998E-3</v>
      </c>
    </row>
    <row r="139" spans="1:25">
      <c r="A139" t="s">
        <v>49</v>
      </c>
      <c r="B139" t="s">
        <v>30</v>
      </c>
      <c r="C139" t="s">
        <v>30</v>
      </c>
      <c r="D139">
        <f t="shared" si="37"/>
        <v>0</v>
      </c>
    </row>
    <row r="140" spans="1:25">
      <c r="A140" t="s">
        <v>12</v>
      </c>
      <c r="B140">
        <f>AVERAGE(E140/E$89,I140/I$89,M140/M$89,Q140/Q$89,U140/U$89,Y140/Y$89)</f>
        <v>0.18968585155055559</v>
      </c>
      <c r="C140">
        <f>STDEV(E140/E$89,I140/I$89,M140/M$89,Q140/Q$89,U140/U$89,Y140/Y$89)/SQRT(D140)</f>
        <v>3.0750086577856082E-2</v>
      </c>
      <c r="D140">
        <f>COUNT(E140:AZ140)</f>
        <v>6</v>
      </c>
      <c r="E140">
        <v>7.5246000000000002E-3</v>
      </c>
      <c r="I140">
        <v>8.4843999999999996E-3</v>
      </c>
      <c r="M140">
        <v>3.15E-2</v>
      </c>
      <c r="Q140">
        <v>2.6002999999999998E-2</v>
      </c>
      <c r="U140">
        <v>4.8341000000000002E-2</v>
      </c>
      <c r="Y140">
        <v>3.0245000000000001E-2</v>
      </c>
    </row>
    <row r="141" spans="1:25">
      <c r="A141" t="s">
        <v>13</v>
      </c>
      <c r="B141">
        <f t="shared" ref="B141:B142" si="38">AVERAGE(E141/E$89,I141/I$89,M141/M$89,Q141/Q$89,U141/U$89,Y141/Y$89)</f>
        <v>3.1056149447464789E-2</v>
      </c>
      <c r="C141">
        <f t="shared" ref="C141:C142" si="39">STDEV(E141/E$89,I141/I$89,M141/M$89,Q141/Q$89,U141/U$89,Y141/Y$89)/SQRT(D141)</f>
        <v>3.9914297390540405E-3</v>
      </c>
      <c r="D141">
        <f t="shared" ref="D141:D144" si="40">COUNT(E141:AZ141)</f>
        <v>6</v>
      </c>
      <c r="E141">
        <v>2.0162999999999999E-3</v>
      </c>
      <c r="I141">
        <v>1.5790000000000001E-3</v>
      </c>
      <c r="M141">
        <v>3.2574000000000001E-3</v>
      </c>
      <c r="Q141">
        <v>3.8665000000000001E-3</v>
      </c>
      <c r="U141">
        <v>1.1207999999999999E-2</v>
      </c>
      <c r="Y141">
        <v>4.1825999999999999E-3</v>
      </c>
    </row>
    <row r="142" spans="1:25">
      <c r="A142" t="s">
        <v>14</v>
      </c>
      <c r="B142">
        <f t="shared" si="38"/>
        <v>1.5709561732824538E-2</v>
      </c>
      <c r="C142">
        <f t="shared" si="39"/>
        <v>2.2051759684879554E-3</v>
      </c>
      <c r="D142">
        <f t="shared" si="40"/>
        <v>6</v>
      </c>
      <c r="E142">
        <v>9.1858E-4</v>
      </c>
      <c r="I142">
        <v>1.0874999999999999E-3</v>
      </c>
      <c r="M142">
        <v>2.0190999999999998E-3</v>
      </c>
      <c r="Q142">
        <v>1.5808E-3</v>
      </c>
      <c r="U142">
        <v>6.1010999999999999E-3</v>
      </c>
      <c r="Y142">
        <v>1.5766E-3</v>
      </c>
    </row>
    <row r="143" spans="1:25">
      <c r="A143" t="s">
        <v>56</v>
      </c>
      <c r="B143">
        <f>AVERAGE(E143/E$89,I143/I$89,M143/M$89,Q143/Q$89)</f>
        <v>1.1595237866438068E-2</v>
      </c>
      <c r="C143">
        <f>STDEV(E143/E$89,I143/I$89,M143/M$89,Q143/Q$89)/SQRT(D143)</f>
        <v>2.4932915029571095E-3</v>
      </c>
      <c r="D143">
        <f t="shared" si="40"/>
        <v>4</v>
      </c>
      <c r="E143">
        <v>9.0775000000000003E-4</v>
      </c>
      <c r="I143">
        <v>5.8799999999999998E-4</v>
      </c>
      <c r="M143">
        <v>2.2587000000000002E-3</v>
      </c>
      <c r="Q143">
        <v>1.1862000000000001E-3</v>
      </c>
    </row>
    <row r="144" spans="1:25">
      <c r="A144" t="s">
        <v>57</v>
      </c>
      <c r="B144" t="s">
        <v>30</v>
      </c>
      <c r="C144" t="s">
        <v>30</v>
      </c>
      <c r="D144">
        <f t="shared" si="40"/>
        <v>0</v>
      </c>
    </row>
    <row r="145" spans="1:25">
      <c r="A145" t="s">
        <v>15</v>
      </c>
      <c r="B145">
        <f>AVERAGE(E145/E$89,I145/I$89,M145/M$89,Q145/Q$89,U145/U$89,Y145/Y$89)</f>
        <v>2.7652742541866018E-2</v>
      </c>
      <c r="C145">
        <f>STDEV(E145/E$89,I145/I$89,M145/M$89,Q145/Q$89,U145/U$89,Y145/Y$89)/SQRT(D145)</f>
        <v>1.8266859878737557E-3</v>
      </c>
      <c r="D145">
        <f>COUNT(E145:AZ145)</f>
        <v>6</v>
      </c>
      <c r="E145">
        <v>2.0690000000000001E-3</v>
      </c>
      <c r="I145">
        <v>2.0333E-3</v>
      </c>
      <c r="M145">
        <v>3.4566000000000002E-3</v>
      </c>
      <c r="Q145">
        <v>3.7263000000000001E-3</v>
      </c>
      <c r="U145">
        <v>8.3221000000000007E-3</v>
      </c>
      <c r="Y145">
        <v>2.4510999999999999E-3</v>
      </c>
    </row>
    <row r="146" spans="1:25">
      <c r="A146" t="s">
        <v>22</v>
      </c>
      <c r="B146">
        <f>AVERAGE(U146/U$89,Y146/Y$89)</f>
        <v>3.0693906384896708E-2</v>
      </c>
      <c r="C146">
        <f>STDEV(U146/U$89,Y146/Y$89)/SQRT(D146)</f>
        <v>3.9035192823009854E-3</v>
      </c>
      <c r="D146">
        <f t="shared" ref="D146" si="41">COUNT(E146:AZ146)</f>
        <v>2</v>
      </c>
      <c r="U146">
        <v>8.1800999999999992E-3</v>
      </c>
      <c r="Y146">
        <v>2.9689999999999999E-3</v>
      </c>
    </row>
    <row r="147" spans="1:25">
      <c r="A147" t="s">
        <v>59</v>
      </c>
      <c r="B147">
        <f>AVERAGE(E147/E$89,I147/I$89,M147/M$89,Q147/Q$89,U147/U$89,Y147/Y$89)</f>
        <v>8.1855390834161545E-2</v>
      </c>
      <c r="C147">
        <f>STDEV(E147/E$89,I147/I$89,M147/M$89,Q147/Q$89,U147/U$89,Y147/Y$89)/SQRT(D147)</f>
        <v>9.7756068321171747E-3</v>
      </c>
      <c r="D147">
        <f>COUNT(E147:AZ147)</f>
        <v>6</v>
      </c>
      <c r="E147">
        <v>3.4418000000000001E-3</v>
      </c>
      <c r="I147">
        <v>5.0394999999999997E-3</v>
      </c>
      <c r="M147">
        <v>1.1900000000000001E-2</v>
      </c>
      <c r="Q147">
        <v>1.3009E-2</v>
      </c>
      <c r="U147">
        <v>1.9642E-2</v>
      </c>
      <c r="Y147">
        <v>1.1388000000000001E-2</v>
      </c>
    </row>
    <row r="148" spans="1:25">
      <c r="A148" t="s">
        <v>58</v>
      </c>
      <c r="B148" t="s">
        <v>30</v>
      </c>
      <c r="C148" t="s">
        <v>30</v>
      </c>
      <c r="D148">
        <f>COUNT(E148:AZ148)</f>
        <v>0</v>
      </c>
    </row>
    <row r="149" spans="1:25">
      <c r="A149" t="s">
        <v>151</v>
      </c>
      <c r="B149">
        <f t="shared" ref="B149" si="42">AVERAGE(E149/E$89,I149/I$89,M149/M$89,Q149/Q$89,U149/U$89,Y149/Y$89)</f>
        <v>1.9153893493460278E-2</v>
      </c>
      <c r="C149">
        <f t="shared" ref="C149" si="43">STDEV(E149/E$89,I149/I$89,M149/M$89,Q149/Q$89,U149/U$89,Y149/Y$89)/SQRT(D149)</f>
        <v>1.6489885500245054E-3</v>
      </c>
      <c r="D149">
        <f t="shared" ref="D149" si="44">COUNT(E149:AZ149)</f>
        <v>6</v>
      </c>
      <c r="E149">
        <v>1.0594999999999999E-3</v>
      </c>
      <c r="I149">
        <v>1.5070000000000001E-3</v>
      </c>
      <c r="M149">
        <v>2.722E-3</v>
      </c>
      <c r="Q149">
        <v>2.2361999999999998E-3</v>
      </c>
      <c r="U149">
        <v>5.4691000000000002E-3</v>
      </c>
      <c r="Y149">
        <v>2.1559000000000001E-3</v>
      </c>
    </row>
  </sheetData>
  <pageMargins left="0.7" right="0.7" top="0.75" bottom="0.75" header="0.3" footer="0.3"/>
  <pageSetup orientation="portrait" horizontalDpi="0" verticalDpi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S148"/>
  <sheetViews>
    <sheetView zoomScale="111" workbookViewId="0">
      <selection activeCell="J16" sqref="J16"/>
    </sheetView>
  </sheetViews>
  <sheetFormatPr baseColWidth="10" defaultRowHeight="16"/>
  <cols>
    <col min="1" max="1" width="17.6640625" bestFit="1" customWidth="1"/>
    <col min="5" max="5" width="13.6640625" bestFit="1" customWidth="1"/>
    <col min="14" max="14" width="13.1640625" customWidth="1"/>
    <col min="18" max="18" width="13.1640625" customWidth="1"/>
  </cols>
  <sheetData>
    <row r="1" spans="1:18">
      <c r="A1" s="1" t="s">
        <v>32</v>
      </c>
      <c r="E1" s="13">
        <v>43049</v>
      </c>
      <c r="I1" s="13">
        <v>43049</v>
      </c>
      <c r="M1" s="13">
        <v>43514</v>
      </c>
      <c r="Q1" s="13">
        <v>43514</v>
      </c>
    </row>
    <row r="2" spans="1:18">
      <c r="A2" s="1" t="s">
        <v>33</v>
      </c>
      <c r="E2" s="14" t="s">
        <v>39</v>
      </c>
      <c r="I2" s="14" t="s">
        <v>39</v>
      </c>
      <c r="M2" s="14" t="s">
        <v>39</v>
      </c>
      <c r="Q2" s="14" t="s">
        <v>39</v>
      </c>
    </row>
    <row r="3" spans="1:18">
      <c r="A3" s="1" t="s">
        <v>34</v>
      </c>
      <c r="E3" s="16" t="s">
        <v>40</v>
      </c>
      <c r="I3" s="16" t="s">
        <v>73</v>
      </c>
      <c r="M3" s="16" t="s">
        <v>75</v>
      </c>
      <c r="Q3" s="16" t="s">
        <v>51</v>
      </c>
    </row>
    <row r="4" spans="1:18">
      <c r="A4" s="1" t="s">
        <v>35</v>
      </c>
      <c r="E4" s="14" t="s">
        <v>41</v>
      </c>
      <c r="I4" s="14" t="s">
        <v>41</v>
      </c>
      <c r="M4" s="14" t="s">
        <v>41</v>
      </c>
      <c r="Q4" s="14" t="s">
        <v>41</v>
      </c>
    </row>
    <row r="5" spans="1:18">
      <c r="A5" s="1" t="s">
        <v>36</v>
      </c>
      <c r="E5" s="14" t="s">
        <v>24</v>
      </c>
      <c r="I5" s="14" t="s">
        <v>24</v>
      </c>
      <c r="M5" s="14" t="s">
        <v>24</v>
      </c>
      <c r="Q5" s="14" t="s">
        <v>24</v>
      </c>
    </row>
    <row r="6" spans="1:18">
      <c r="A6" s="1" t="s">
        <v>37</v>
      </c>
      <c r="E6" s="2" t="s">
        <v>79</v>
      </c>
      <c r="I6" s="2" t="s">
        <v>79</v>
      </c>
      <c r="M6" s="2" t="s">
        <v>79</v>
      </c>
      <c r="Q6" s="2" t="s">
        <v>79</v>
      </c>
    </row>
    <row r="7" spans="1:18">
      <c r="A7" s="1" t="s">
        <v>38</v>
      </c>
      <c r="E7" s="2">
        <v>0.1</v>
      </c>
      <c r="I7" s="2">
        <v>0.1</v>
      </c>
      <c r="M7" s="2">
        <v>0.1</v>
      </c>
      <c r="Q7" s="2">
        <v>0.1</v>
      </c>
    </row>
    <row r="8" spans="1:18">
      <c r="A8" s="1" t="s">
        <v>43</v>
      </c>
      <c r="E8">
        <f>E33</f>
        <v>0.187</v>
      </c>
      <c r="I8">
        <f>I33</f>
        <v>0.21</v>
      </c>
      <c r="M8">
        <f>M33</f>
        <v>0.186</v>
      </c>
      <c r="Q8">
        <f>Q33</f>
        <v>0.18099999999999999</v>
      </c>
    </row>
    <row r="9" spans="1:18">
      <c r="A9" s="1" t="s">
        <v>53</v>
      </c>
      <c r="E9">
        <f>E8</f>
        <v>0.187</v>
      </c>
      <c r="I9">
        <f>I8</f>
        <v>0.21</v>
      </c>
      <c r="M9">
        <f>M8</f>
        <v>0.186</v>
      </c>
      <c r="Q9">
        <f>Q8</f>
        <v>0.18099999999999999</v>
      </c>
    </row>
    <row r="10" spans="1:18">
      <c r="A10" s="1" t="s">
        <v>44</v>
      </c>
    </row>
    <row r="11" spans="1:18">
      <c r="A11" s="1"/>
    </row>
    <row r="12" spans="1:18">
      <c r="A12" s="1" t="s">
        <v>33</v>
      </c>
      <c r="E12" t="s">
        <v>39</v>
      </c>
      <c r="I12" t="s">
        <v>39</v>
      </c>
      <c r="M12" t="s">
        <v>39</v>
      </c>
      <c r="Q12" t="s">
        <v>39</v>
      </c>
    </row>
    <row r="13" spans="1:18">
      <c r="A13" s="1" t="s">
        <v>45</v>
      </c>
      <c r="E13" t="s">
        <v>47</v>
      </c>
      <c r="I13" t="s">
        <v>47</v>
      </c>
      <c r="M13" t="s">
        <v>47</v>
      </c>
      <c r="Q13" t="s">
        <v>47</v>
      </c>
    </row>
    <row r="14" spans="1:18" ht="51">
      <c r="A14" s="12" t="s">
        <v>31</v>
      </c>
      <c r="E14" s="11" t="s">
        <v>80</v>
      </c>
      <c r="F14" s="11" t="s">
        <v>81</v>
      </c>
      <c r="I14" s="11" t="s">
        <v>80</v>
      </c>
      <c r="J14" s="11" t="s">
        <v>81</v>
      </c>
      <c r="M14" s="20" t="s">
        <v>82</v>
      </c>
      <c r="N14" s="20" t="s">
        <v>83</v>
      </c>
      <c r="Q14" s="20" t="s">
        <v>82</v>
      </c>
      <c r="R14" s="20" t="s">
        <v>83</v>
      </c>
    </row>
    <row r="16" spans="1:18">
      <c r="A16" s="1" t="s">
        <v>50</v>
      </c>
    </row>
    <row r="17" spans="1:18">
      <c r="B17" s="1" t="s">
        <v>5</v>
      </c>
      <c r="C17" s="1" t="s">
        <v>6</v>
      </c>
      <c r="D17" s="1" t="s">
        <v>55</v>
      </c>
    </row>
    <row r="18" spans="1:18">
      <c r="A18" s="1" t="s">
        <v>0</v>
      </c>
    </row>
    <row r="19" spans="1:18">
      <c r="A19" t="s">
        <v>60</v>
      </c>
      <c r="B19" s="3">
        <f>AVERAGE(E19/E$9,I19/I$9,M19/M$9,Q19/Q$9)</f>
        <v>9.9326995280379117E-3</v>
      </c>
      <c r="C19" s="3">
        <f>STDEV(E19/E$9,I19/I$9,M19/M$9,Q19/Q$9)/SQRT(D19)</f>
        <v>8.1778094476649523E-4</v>
      </c>
      <c r="D19">
        <v>4</v>
      </c>
      <c r="E19">
        <v>1.6961999999999999E-3</v>
      </c>
      <c r="I19">
        <v>2.4399000000000001E-3</v>
      </c>
      <c r="M19">
        <v>2.0371999999999999E-3</v>
      </c>
      <c r="Q19">
        <v>1.4641000000000001E-3</v>
      </c>
    </row>
    <row r="20" spans="1:18">
      <c r="A20" t="s">
        <v>61</v>
      </c>
      <c r="B20" s="3">
        <f>AVERAGE(E20/E$9,I20/I$9,M20/M$9,Q20/Q$9)</f>
        <v>1.6036684239645861E-2</v>
      </c>
      <c r="C20" s="3">
        <f>STDEV(E20/E$9,I20/I$9,M20/M$9,Q20/Q$9)/SQRT(D20)</f>
        <v>4.0692361065773914E-3</v>
      </c>
      <c r="D20">
        <v>4</v>
      </c>
      <c r="E20">
        <v>4.9427000000000004E-3</v>
      </c>
      <c r="I20">
        <v>3.9065000000000003E-3</v>
      </c>
      <c r="M20">
        <v>1.8147E-3</v>
      </c>
      <c r="Q20">
        <v>1.6934999999999999E-3</v>
      </c>
    </row>
    <row r="21" spans="1:18">
      <c r="A21" t="s">
        <v>62</v>
      </c>
      <c r="B21" s="3">
        <f t="shared" ref="B21:B33" si="0">AVERAGE(E21/E$9,I21/I$9,M21/M$9,Q21/Q$9)</f>
        <v>1.5198042003032805E-2</v>
      </c>
      <c r="C21" s="3">
        <f t="shared" ref="C21:C33" si="1">STDEV(E21/E$9,I21/I$9,M21/M$9,Q21/Q$9)/SQRT(D21)</f>
        <v>2.0949722765222899E-3</v>
      </c>
      <c r="D21">
        <v>4</v>
      </c>
      <c r="E21">
        <v>3.0528999999999999E-3</v>
      </c>
      <c r="I21">
        <v>4.1225999999999997E-3</v>
      </c>
      <c r="M21">
        <v>2.8403E-3</v>
      </c>
      <c r="Q21">
        <v>1.7312E-3</v>
      </c>
    </row>
    <row r="22" spans="1:18">
      <c r="A22" t="s">
        <v>63</v>
      </c>
      <c r="B22" s="3">
        <f t="shared" si="0"/>
        <v>2.2915996082284441E-2</v>
      </c>
      <c r="C22" s="3">
        <f t="shared" si="1"/>
        <v>7.311378007688025E-3</v>
      </c>
      <c r="D22">
        <v>4</v>
      </c>
      <c r="E22">
        <v>7.7481E-3</v>
      </c>
      <c r="I22">
        <v>5.8208000000000001E-3</v>
      </c>
      <c r="M22">
        <v>2.3433E-3</v>
      </c>
      <c r="Q22">
        <v>1.7944E-3</v>
      </c>
    </row>
    <row r="23" spans="1:18">
      <c r="A23" t="s">
        <v>64</v>
      </c>
      <c r="B23" s="3">
        <f t="shared" si="0"/>
        <v>2.2700309021163594E-2</v>
      </c>
      <c r="C23" s="3">
        <f t="shared" si="1"/>
        <v>6.7919153373181907E-3</v>
      </c>
      <c r="D23">
        <v>4</v>
      </c>
      <c r="E23">
        <v>2.1113999999999998E-3</v>
      </c>
      <c r="I23">
        <v>8.5818999999999999E-3</v>
      </c>
      <c r="M23">
        <v>2.4891000000000002E-3</v>
      </c>
      <c r="Q23">
        <v>4.5723999999999999E-3</v>
      </c>
    </row>
    <row r="24" spans="1:18">
      <c r="A24" t="s">
        <v>65</v>
      </c>
      <c r="B24" s="3">
        <f t="shared" si="0"/>
        <v>1.5657142857142855E-4</v>
      </c>
      <c r="C24" s="3">
        <f t="shared" si="1"/>
        <v>1.5657142857142858E-4</v>
      </c>
      <c r="D24">
        <v>4</v>
      </c>
      <c r="E24">
        <v>0</v>
      </c>
      <c r="I24">
        <v>1.3151999999999999E-4</v>
      </c>
      <c r="M24">
        <v>0</v>
      </c>
      <c r="Q24">
        <v>0</v>
      </c>
    </row>
    <row r="25" spans="1:18">
      <c r="A25" t="s">
        <v>66</v>
      </c>
      <c r="B25" s="3">
        <f t="shared" si="0"/>
        <v>1.8569055299539169E-4</v>
      </c>
      <c r="C25" s="3">
        <f t="shared" si="1"/>
        <v>1.7626146395877015E-4</v>
      </c>
      <c r="D25">
        <v>4</v>
      </c>
      <c r="E25">
        <v>0</v>
      </c>
      <c r="I25" s="15">
        <v>6.0220000000000001E-6</v>
      </c>
      <c r="M25">
        <v>1.3281999999999999E-4</v>
      </c>
      <c r="Q25">
        <v>0</v>
      </c>
    </row>
    <row r="26" spans="1:18">
      <c r="A26" t="s">
        <v>67</v>
      </c>
      <c r="B26" s="3">
        <f t="shared" si="0"/>
        <v>0</v>
      </c>
      <c r="C26" s="3">
        <f t="shared" si="1"/>
        <v>0</v>
      </c>
      <c r="D26">
        <v>4</v>
      </c>
      <c r="E26">
        <v>0</v>
      </c>
      <c r="I26">
        <v>0</v>
      </c>
      <c r="M26">
        <v>0</v>
      </c>
      <c r="Q26">
        <v>0</v>
      </c>
    </row>
    <row r="27" spans="1:18">
      <c r="A27" t="s">
        <v>71</v>
      </c>
      <c r="B27" s="3">
        <f t="shared" si="0"/>
        <v>0</v>
      </c>
      <c r="C27" s="3">
        <f t="shared" si="1"/>
        <v>0</v>
      </c>
      <c r="D27">
        <v>4</v>
      </c>
      <c r="E27">
        <v>0</v>
      </c>
      <c r="I27">
        <v>0</v>
      </c>
      <c r="M27">
        <v>0</v>
      </c>
      <c r="Q27">
        <v>0</v>
      </c>
    </row>
    <row r="28" spans="1:18">
      <c r="A28" t="s">
        <v>72</v>
      </c>
      <c r="B28" s="3">
        <f t="shared" si="0"/>
        <v>0</v>
      </c>
      <c r="C28" s="3">
        <f t="shared" si="1"/>
        <v>0</v>
      </c>
      <c r="D28">
        <v>4</v>
      </c>
      <c r="E28">
        <v>0</v>
      </c>
      <c r="I28">
        <v>0</v>
      </c>
      <c r="M28">
        <v>0</v>
      </c>
      <c r="Q28">
        <v>0</v>
      </c>
    </row>
    <row r="29" spans="1:18">
      <c r="A29" t="s">
        <v>69</v>
      </c>
      <c r="B29" s="3">
        <f t="shared" si="0"/>
        <v>2.6103466000453744E-3</v>
      </c>
      <c r="C29" s="3">
        <f t="shared" si="1"/>
        <v>6.7641546243393834E-4</v>
      </c>
      <c r="D29">
        <v>4</v>
      </c>
      <c r="E29">
        <v>7.4839999999999998E-4</v>
      </c>
      <c r="I29">
        <v>7.0585999999999999E-4</v>
      </c>
      <c r="M29">
        <v>3.9582000000000002E-4</v>
      </c>
      <c r="Q29">
        <v>1.7194000000000001E-4</v>
      </c>
    </row>
    <row r="30" spans="1:18" s="44" customFormat="1">
      <c r="A30" s="44" t="s">
        <v>68</v>
      </c>
      <c r="B30" s="46" t="s">
        <v>30</v>
      </c>
      <c r="C30" s="46" t="s">
        <v>30</v>
      </c>
    </row>
    <row r="31" spans="1:18">
      <c r="A31" t="s">
        <v>70</v>
      </c>
      <c r="B31" s="3">
        <f>AVERAGE(F31/E$9,J31/I$9,N31/M$9,R31/Q$9)</f>
        <v>0</v>
      </c>
      <c r="C31" s="3">
        <f>STDEV(F31/E$9,J31/I$9,N31/M$9,S31/Q$9)/SQRT(D31)</f>
        <v>0</v>
      </c>
      <c r="D31">
        <v>4</v>
      </c>
      <c r="F31">
        <v>0</v>
      </c>
      <c r="J31">
        <v>0</v>
      </c>
      <c r="N31">
        <v>0</v>
      </c>
      <c r="R31">
        <v>0</v>
      </c>
    </row>
    <row r="32" spans="1:18">
      <c r="A32" t="s">
        <v>23</v>
      </c>
      <c r="B32" s="3">
        <f t="shared" si="0"/>
        <v>0</v>
      </c>
      <c r="C32" s="3">
        <f t="shared" si="1"/>
        <v>0</v>
      </c>
      <c r="D32">
        <v>4</v>
      </c>
      <c r="E32">
        <v>0</v>
      </c>
      <c r="I32">
        <v>0</v>
      </c>
      <c r="M32">
        <v>0</v>
      </c>
      <c r="Q32">
        <v>0</v>
      </c>
    </row>
    <row r="33" spans="1:17">
      <c r="A33" t="s">
        <v>24</v>
      </c>
      <c r="B33" s="3">
        <f t="shared" si="0"/>
        <v>1</v>
      </c>
      <c r="C33" s="3">
        <f t="shared" si="1"/>
        <v>0</v>
      </c>
      <c r="D33">
        <v>4</v>
      </c>
      <c r="E33">
        <v>0.187</v>
      </c>
      <c r="I33">
        <v>0.21</v>
      </c>
      <c r="M33">
        <v>0.186</v>
      </c>
      <c r="Q33">
        <v>0.18099999999999999</v>
      </c>
    </row>
    <row r="36" spans="1:17">
      <c r="A36" s="1" t="s">
        <v>16</v>
      </c>
    </row>
    <row r="37" spans="1:17">
      <c r="A37" t="s">
        <v>7</v>
      </c>
      <c r="B37" s="3">
        <f>AVERAGE(E37/E$9,I37/I$9,M37/M$9,Q37/Q$9)</f>
        <v>1.7837733914955783E-2</v>
      </c>
      <c r="C37" s="3">
        <f>STDEV(E37/E$9,I37/I$9,M37/M$9,Q37/Q$9)/SQRT(D37)</f>
        <v>2.0021325739112846E-3</v>
      </c>
      <c r="D37">
        <v>4</v>
      </c>
      <c r="E37">
        <v>4.1091000000000001E-3</v>
      </c>
      <c r="I37">
        <v>4.0815000000000001E-3</v>
      </c>
      <c r="M37">
        <v>3.2401999999999999E-3</v>
      </c>
      <c r="Q37">
        <v>2.2663000000000002E-3</v>
      </c>
    </row>
    <row r="38" spans="1:17">
      <c r="A38" t="s">
        <v>8</v>
      </c>
      <c r="B38" s="3">
        <f>AVERAGE(E38/E$9,I38/I$9,M38/M$9,Q38/Q$9)</f>
        <v>6.3304415412979076E-3</v>
      </c>
      <c r="C38" s="3">
        <f>STDEV(E38/E$9,I38/I$9,M38/M$9,Q38/Q$9)/SQRT(D38)</f>
        <v>6.0394996508112168E-4</v>
      </c>
      <c r="D38">
        <v>4</v>
      </c>
      <c r="E38">
        <v>1.3825E-3</v>
      </c>
      <c r="I38">
        <v>9.7274999999999998E-4</v>
      </c>
      <c r="M38">
        <v>1.1837E-3</v>
      </c>
      <c r="Q38">
        <v>1.2547999999999999E-3</v>
      </c>
    </row>
    <row r="39" spans="1:17">
      <c r="A39" t="s">
        <v>9</v>
      </c>
      <c r="B39" s="3">
        <f t="shared" ref="B39:B48" si="2">AVERAGE(E39/E$9,I39/I$9,M39/M$9,Q39/Q$9)</f>
        <v>1.4606753882804236E-2</v>
      </c>
      <c r="C39" s="3">
        <f t="shared" ref="C39:C48" si="3">STDEV(E39/E$9,I39/I$9,M39/M$9,Q39/Q$9)/SQRT(D39)</f>
        <v>5.5228298780874135E-4</v>
      </c>
      <c r="D39">
        <v>4</v>
      </c>
      <c r="E39">
        <v>3.0129000000000002E-3</v>
      </c>
      <c r="I39">
        <v>3.0571999999999999E-3</v>
      </c>
      <c r="M39">
        <v>2.5056000000000002E-3</v>
      </c>
      <c r="Q39">
        <v>2.5858000000000001E-3</v>
      </c>
    </row>
    <row r="40" spans="1:17">
      <c r="A40" t="s">
        <v>10</v>
      </c>
      <c r="B40" s="3">
        <f t="shared" si="2"/>
        <v>3.4201274875482184E-2</v>
      </c>
      <c r="C40" s="3">
        <f t="shared" si="3"/>
        <v>2.916037522432077E-3</v>
      </c>
      <c r="D40">
        <v>4</v>
      </c>
      <c r="E40">
        <v>8.0003000000000001E-3</v>
      </c>
      <c r="I40">
        <v>6.3515000000000004E-3</v>
      </c>
      <c r="M40">
        <v>5.7425999999999996E-3</v>
      </c>
      <c r="Q40">
        <v>5.9554999999999999E-3</v>
      </c>
    </row>
    <row r="41" spans="1:17">
      <c r="A41" t="s">
        <v>11</v>
      </c>
      <c r="B41" s="3">
        <f t="shared" si="2"/>
        <v>1.4516611500305636E-2</v>
      </c>
      <c r="C41" s="3">
        <f t="shared" si="3"/>
        <v>1.1130581791184773E-3</v>
      </c>
      <c r="D41">
        <v>4</v>
      </c>
      <c r="E41">
        <v>3.2537E-3</v>
      </c>
      <c r="I41">
        <v>3.1776E-3</v>
      </c>
      <c r="M41">
        <v>2.3422999999999999E-3</v>
      </c>
      <c r="Q41">
        <v>2.3425999999999998E-3</v>
      </c>
    </row>
    <row r="42" spans="1:17">
      <c r="A42" t="s">
        <v>49</v>
      </c>
      <c r="B42" s="3" t="s">
        <v>30</v>
      </c>
      <c r="C42" s="3" t="s">
        <v>30</v>
      </c>
    </row>
    <row r="43" spans="1:17">
      <c r="A43" t="s">
        <v>12</v>
      </c>
      <c r="B43" s="3">
        <f t="shared" si="2"/>
        <v>3.9397705739349254E-2</v>
      </c>
      <c r="C43" s="3">
        <f t="shared" si="3"/>
        <v>3.4729437322240093E-3</v>
      </c>
      <c r="D43">
        <v>4</v>
      </c>
      <c r="E43">
        <v>6.5018999999999997E-3</v>
      </c>
      <c r="I43">
        <v>7.8104999999999997E-3</v>
      </c>
      <c r="M43">
        <v>9.2461000000000002E-3</v>
      </c>
      <c r="Q43">
        <v>6.5012000000000004E-3</v>
      </c>
    </row>
    <row r="44" spans="1:17">
      <c r="A44" t="s">
        <v>13</v>
      </c>
      <c r="B44" s="3">
        <f t="shared" si="2"/>
        <v>9.3738410027739815E-3</v>
      </c>
      <c r="C44" s="3">
        <f t="shared" si="3"/>
        <v>1.9890171732091211E-3</v>
      </c>
      <c r="D44">
        <v>4</v>
      </c>
      <c r="E44">
        <v>2.0355999999999998E-3</v>
      </c>
      <c r="I44">
        <v>2.0581000000000002E-3</v>
      </c>
      <c r="M44">
        <v>2.4269999999999999E-3</v>
      </c>
      <c r="Q44">
        <v>6.8073000000000005E-4</v>
      </c>
    </row>
    <row r="45" spans="1:17">
      <c r="A45" t="s">
        <v>14</v>
      </c>
      <c r="B45" s="3">
        <f t="shared" si="2"/>
        <v>3.1817786265605544E-3</v>
      </c>
      <c r="C45" s="3">
        <f t="shared" si="3"/>
        <v>6.7676057081040566E-4</v>
      </c>
      <c r="D45">
        <v>4</v>
      </c>
      <c r="E45">
        <v>6.0395999999999996E-4</v>
      </c>
      <c r="I45">
        <v>1.0646E-3</v>
      </c>
      <c r="M45">
        <v>3.8046999999999999E-4</v>
      </c>
      <c r="Q45">
        <v>4.3120000000000002E-4</v>
      </c>
    </row>
    <row r="46" spans="1:17">
      <c r="A46" t="s">
        <v>56</v>
      </c>
      <c r="B46" s="3">
        <f>AVERAGE(E46/E$9)</f>
        <v>1.8029946524064172E-2</v>
      </c>
      <c r="C46" s="3" t="e">
        <f>STDEV(E46/E$9)/SQRT(D46)</f>
        <v>#DIV/0!</v>
      </c>
      <c r="D46">
        <v>1</v>
      </c>
      <c r="E46">
        <v>3.3716000000000002E-3</v>
      </c>
      <c r="I46" s="17" t="s">
        <v>30</v>
      </c>
      <c r="M46" s="17" t="s">
        <v>30</v>
      </c>
      <c r="Q46" s="17" t="s">
        <v>30</v>
      </c>
    </row>
    <row r="47" spans="1:17">
      <c r="A47" t="s">
        <v>57</v>
      </c>
      <c r="B47" s="3" t="s">
        <v>30</v>
      </c>
      <c r="C47" s="3" t="s">
        <v>30</v>
      </c>
    </row>
    <row r="48" spans="1:17">
      <c r="A48" t="s">
        <v>15</v>
      </c>
      <c r="B48" s="3">
        <f t="shared" si="2"/>
        <v>1.4700472393912119E-2</v>
      </c>
      <c r="C48" s="3">
        <f t="shared" si="3"/>
        <v>7.5887056945926341E-4</v>
      </c>
      <c r="D48">
        <v>4</v>
      </c>
      <c r="E48">
        <v>3.0140000000000002E-3</v>
      </c>
      <c r="I48">
        <v>3.2038000000000001E-3</v>
      </c>
      <c r="M48">
        <v>2.7648E-3</v>
      </c>
      <c r="Q48">
        <v>2.274E-3</v>
      </c>
    </row>
    <row r="49" spans="1:17" s="44" customFormat="1">
      <c r="A49" s="44" t="s">
        <v>22</v>
      </c>
      <c r="B49" s="46">
        <f>AVERAGE(M49/M$9,Q49/Q$9)</f>
        <v>4.4280784768015204E-3</v>
      </c>
      <c r="C49" s="46">
        <f>STDEV(M49/M$9,Q49/Q$9)/SQRT(D49)</f>
        <v>6.4960197231628356E-5</v>
      </c>
      <c r="D49" s="44">
        <v>2</v>
      </c>
      <c r="M49" s="44">
        <v>8.1154000000000003E-4</v>
      </c>
      <c r="Q49" s="44">
        <v>8.1324000000000001E-4</v>
      </c>
    </row>
    <row r="50" spans="1:17">
      <c r="A50" t="s">
        <v>59</v>
      </c>
      <c r="B50" s="3" t="s">
        <v>30</v>
      </c>
      <c r="C50" s="3" t="s">
        <v>30</v>
      </c>
    </row>
    <row r="51" spans="1:17">
      <c r="A51" t="s">
        <v>58</v>
      </c>
      <c r="B51" s="3" t="s">
        <v>30</v>
      </c>
      <c r="C51" s="3" t="s">
        <v>30</v>
      </c>
    </row>
    <row r="53" spans="1:17">
      <c r="A53" s="1" t="s">
        <v>17</v>
      </c>
    </row>
    <row r="54" spans="1:17">
      <c r="A54" t="s">
        <v>7</v>
      </c>
      <c r="B54" s="3">
        <f>AVERAGE(E54/E$9,I54/I$9,M54/M$9,Q54/Q$9)</f>
        <v>1.4943688950053866E-2</v>
      </c>
      <c r="C54" s="3">
        <f>STDEV(E54/E$9,I54/I$9,M54/M$9,Q54/Q$9)/SQRT(D54)</f>
        <v>2.6170986402239719E-3</v>
      </c>
      <c r="D54">
        <v>4</v>
      </c>
      <c r="E54">
        <v>3.5059000000000002E-3</v>
      </c>
      <c r="I54">
        <v>3.2913999999999999E-3</v>
      </c>
      <c r="M54">
        <v>3.3500000000000001E-3</v>
      </c>
      <c r="Q54">
        <v>1.3290000000000001E-3</v>
      </c>
    </row>
    <row r="55" spans="1:17">
      <c r="A55" t="s">
        <v>8</v>
      </c>
      <c r="B55" s="3">
        <f>AVERAGE(E55/E$9,I55/I$9,M55/M$9,Q55/Q$9)</f>
        <v>4.1076765085742983E-3</v>
      </c>
      <c r="C55" s="3">
        <f>STDEV(E55/E$9,I55/I$9,M55/M$9,Q55/Q$9)/SQRT(D55)</f>
        <v>1.764160545487512E-3</v>
      </c>
      <c r="D55">
        <v>4</v>
      </c>
      <c r="E55">
        <v>1.4076E-3</v>
      </c>
      <c r="I55">
        <v>1.3688999999999999E-3</v>
      </c>
      <c r="M55">
        <v>0</v>
      </c>
      <c r="Q55">
        <v>4.3166E-4</v>
      </c>
    </row>
    <row r="56" spans="1:17">
      <c r="A56" t="s">
        <v>9</v>
      </c>
      <c r="B56" s="3">
        <f t="shared" ref="B56:B58" si="4">AVERAGE(E56/E$9,I56/I$9,M56/M$9,Q56/Q$9)</f>
        <v>1.6199218637909629E-2</v>
      </c>
      <c r="C56" s="3">
        <f t="shared" ref="C56:C58" si="5">STDEV(E56/E$9,I56/I$9,M56/M$9,Q56/Q$9)/SQRT(D56)</f>
        <v>1.4702935890939196E-3</v>
      </c>
      <c r="D56">
        <v>4</v>
      </c>
      <c r="E56">
        <v>3.8444999999999998E-3</v>
      </c>
      <c r="I56">
        <v>3.2028999999999998E-3</v>
      </c>
      <c r="M56">
        <v>2.7567999999999998E-3</v>
      </c>
      <c r="Q56">
        <v>2.5638000000000002E-3</v>
      </c>
    </row>
    <row r="57" spans="1:17">
      <c r="A57" t="s">
        <v>10</v>
      </c>
      <c r="B57" s="3">
        <f t="shared" si="4"/>
        <v>4.6733723020080831E-2</v>
      </c>
      <c r="C57" s="3">
        <f t="shared" si="5"/>
        <v>4.5533899629690584E-3</v>
      </c>
      <c r="D57">
        <v>4</v>
      </c>
      <c r="E57">
        <v>1.1188999999999999E-2</v>
      </c>
      <c r="I57">
        <v>9.4479999999999998E-3</v>
      </c>
      <c r="M57">
        <v>8.0447000000000001E-3</v>
      </c>
      <c r="Q57">
        <v>7.0334999999999998E-3</v>
      </c>
    </row>
    <row r="58" spans="1:17">
      <c r="A58" t="s">
        <v>11</v>
      </c>
      <c r="B58" s="3">
        <f t="shared" si="4"/>
        <v>1.5128135874787042E-2</v>
      </c>
      <c r="C58" s="3">
        <f t="shared" si="5"/>
        <v>1.0467068205278005E-3</v>
      </c>
      <c r="D58">
        <v>4</v>
      </c>
      <c r="E58">
        <v>3.3134000000000002E-3</v>
      </c>
      <c r="I58">
        <v>3.1442000000000002E-3</v>
      </c>
      <c r="M58">
        <v>2.8316000000000001E-3</v>
      </c>
      <c r="Q58">
        <v>2.2802E-3</v>
      </c>
    </row>
    <row r="59" spans="1:17">
      <c r="A59" t="s">
        <v>49</v>
      </c>
      <c r="B59" s="3" t="s">
        <v>30</v>
      </c>
      <c r="C59" s="3" t="s">
        <v>30</v>
      </c>
    </row>
    <row r="60" spans="1:17">
      <c r="A60" t="s">
        <v>12</v>
      </c>
      <c r="B60" s="3">
        <f t="shared" ref="B60:B62" si="6">AVERAGE(E60/E$9,I60/I$9,M60/M$9,Q60/Q$9)</f>
        <v>4.6014642314128232E-2</v>
      </c>
      <c r="C60" s="3">
        <f t="shared" ref="C60:C62" si="7">STDEV(E60/E$9,I60/I$9,M60/M$9,Q60/Q$9)/SQRT(D60)</f>
        <v>2.3634209168362269E-3</v>
      </c>
      <c r="D60">
        <v>4</v>
      </c>
      <c r="E60">
        <v>8.6128999999999997E-3</v>
      </c>
      <c r="I60">
        <v>1.0187999999999999E-2</v>
      </c>
      <c r="M60">
        <v>9.3199000000000008E-3</v>
      </c>
      <c r="Q60">
        <v>7.1276000000000004E-3</v>
      </c>
    </row>
    <row r="61" spans="1:17">
      <c r="A61" t="s">
        <v>13</v>
      </c>
      <c r="B61" s="3">
        <f t="shared" si="6"/>
        <v>7.7164649700307199E-3</v>
      </c>
      <c r="C61" s="3">
        <f t="shared" si="7"/>
        <v>2.436348470044748E-3</v>
      </c>
      <c r="D61">
        <v>4</v>
      </c>
      <c r="E61">
        <v>2.2537999999999998E-3</v>
      </c>
      <c r="I61">
        <v>2.2193E-3</v>
      </c>
      <c r="M61">
        <v>2.0163000000000001E-4</v>
      </c>
      <c r="Q61">
        <v>1.2962E-3</v>
      </c>
    </row>
    <row r="62" spans="1:17">
      <c r="A62" t="s">
        <v>14</v>
      </c>
      <c r="B62" s="3">
        <f t="shared" si="6"/>
        <v>5.6493534047017489E-3</v>
      </c>
      <c r="C62" s="3">
        <f t="shared" si="7"/>
        <v>6.9859672087113178E-4</v>
      </c>
      <c r="D62">
        <v>4</v>
      </c>
      <c r="E62">
        <v>1.4069E-3</v>
      </c>
      <c r="I62">
        <v>9.944000000000001E-4</v>
      </c>
      <c r="M62">
        <v>1.0961E-3</v>
      </c>
      <c r="Q62">
        <v>8.0466000000000001E-4</v>
      </c>
    </row>
    <row r="63" spans="1:17">
      <c r="A63" t="s">
        <v>56</v>
      </c>
      <c r="B63" s="3">
        <f t="shared" ref="B63" si="8">AVERAGE(E63/E$9,I63/I$9,M63/M$9,Q63/Q$9)</f>
        <v>6.8164846735175007E-3</v>
      </c>
      <c r="C63" s="3">
        <f t="shared" ref="C63" si="9">STDEV(E63/E$9,I63/I$9,M63/M$9,Q63/Q$9)/SQRT(D63)</f>
        <v>4.1804126395998302E-3</v>
      </c>
      <c r="D63">
        <v>4</v>
      </c>
      <c r="E63">
        <v>3.2146000000000002E-3</v>
      </c>
      <c r="I63" s="15">
        <v>1.5304000000000001E-5</v>
      </c>
      <c r="M63">
        <v>1.8605E-3</v>
      </c>
      <c r="Q63">
        <v>0</v>
      </c>
    </row>
    <row r="64" spans="1:17">
      <c r="A64" t="s">
        <v>57</v>
      </c>
      <c r="B64" s="3" t="s">
        <v>30</v>
      </c>
      <c r="C64" s="3" t="s">
        <v>30</v>
      </c>
    </row>
    <row r="65" spans="1:17">
      <c r="A65" t="s">
        <v>15</v>
      </c>
      <c r="B65" s="3">
        <f t="shared" ref="B65" si="10">AVERAGE(E65/E$9,I65/I$9,M65/M$9,Q65/Q$9)</f>
        <v>1.4530096991989389E-2</v>
      </c>
      <c r="C65" s="3">
        <f t="shared" ref="C65" si="11">STDEV(E65/E$9,I65/I$9,M65/M$9,Q65/Q$9)/SQRT(D65)</f>
        <v>1.5233926038054485E-3</v>
      </c>
      <c r="D65">
        <v>4</v>
      </c>
      <c r="E65">
        <v>3.4737000000000001E-3</v>
      </c>
      <c r="I65">
        <v>3.1889000000000002E-3</v>
      </c>
      <c r="M65">
        <v>2.2610999999999998E-3</v>
      </c>
      <c r="Q65">
        <v>2.2087000000000001E-3</v>
      </c>
    </row>
    <row r="66" spans="1:17">
      <c r="A66" t="s">
        <v>22</v>
      </c>
      <c r="B66" s="3">
        <f>AVERAGE(M66/M$9,Q66/Q$9)</f>
        <v>5.8886888849284148E-3</v>
      </c>
      <c r="C66" s="3">
        <f>STDEV(M66/M$9,Q66/Q$9)/SQRT(D66)</f>
        <v>3.8976415374561896E-4</v>
      </c>
      <c r="D66">
        <v>2</v>
      </c>
      <c r="M66">
        <v>1.0227999999999999E-3</v>
      </c>
      <c r="Q66">
        <v>1.1364000000000001E-3</v>
      </c>
    </row>
    <row r="67" spans="1:17">
      <c r="A67" t="s">
        <v>59</v>
      </c>
      <c r="B67" s="3" t="s">
        <v>30</v>
      </c>
      <c r="C67" s="3" t="s">
        <v>30</v>
      </c>
    </row>
    <row r="68" spans="1:17">
      <c r="A68" t="s">
        <v>58</v>
      </c>
      <c r="B68" s="3" t="s">
        <v>30</v>
      </c>
      <c r="C68" s="3" t="s">
        <v>30</v>
      </c>
    </row>
    <row r="81" spans="1:19">
      <c r="A81" s="1" t="s">
        <v>32</v>
      </c>
      <c r="E81" s="8">
        <v>43319</v>
      </c>
      <c r="F81" s="9"/>
      <c r="G81" s="9"/>
      <c r="H81" s="9"/>
      <c r="I81" s="8">
        <v>43502</v>
      </c>
      <c r="J81" s="9"/>
      <c r="K81" s="9"/>
      <c r="M81" s="8">
        <v>43510</v>
      </c>
      <c r="N81" s="9"/>
      <c r="Q81" s="8">
        <v>43510</v>
      </c>
      <c r="R81" s="9"/>
    </row>
    <row r="82" spans="1:19">
      <c r="A82" s="1" t="s">
        <v>33</v>
      </c>
      <c r="E82" s="14" t="s">
        <v>39</v>
      </c>
      <c r="I82" s="14" t="s">
        <v>39</v>
      </c>
      <c r="M82" s="14" t="s">
        <v>39</v>
      </c>
      <c r="Q82" s="14" t="s">
        <v>39</v>
      </c>
    </row>
    <row r="83" spans="1:19">
      <c r="A83" s="1" t="s">
        <v>34</v>
      </c>
      <c r="E83" s="16" t="s">
        <v>73</v>
      </c>
      <c r="I83" s="16" t="s">
        <v>40</v>
      </c>
      <c r="M83" s="16" t="s">
        <v>40</v>
      </c>
      <c r="Q83" s="16" t="s">
        <v>73</v>
      </c>
    </row>
    <row r="84" spans="1:19">
      <c r="A84" s="1" t="s">
        <v>35</v>
      </c>
      <c r="E84" s="14" t="s">
        <v>52</v>
      </c>
      <c r="I84" s="14" t="s">
        <v>52</v>
      </c>
      <c r="M84" s="14" t="s">
        <v>52</v>
      </c>
      <c r="Q84" s="14" t="s">
        <v>52</v>
      </c>
    </row>
    <row r="85" spans="1:19">
      <c r="A85" s="1" t="s">
        <v>36</v>
      </c>
      <c r="E85" s="14" t="s">
        <v>24</v>
      </c>
      <c r="I85" s="14" t="s">
        <v>24</v>
      </c>
      <c r="M85" s="14" t="s">
        <v>24</v>
      </c>
      <c r="Q85" s="14" t="s">
        <v>24</v>
      </c>
    </row>
    <row r="86" spans="1:19">
      <c r="A86" s="1" t="s">
        <v>37</v>
      </c>
      <c r="E86" s="2" t="s">
        <v>79</v>
      </c>
      <c r="I86" s="2" t="s">
        <v>79</v>
      </c>
      <c r="M86" s="2" t="s">
        <v>79</v>
      </c>
      <c r="Q86" s="2" t="s">
        <v>79</v>
      </c>
    </row>
    <row r="87" spans="1:19">
      <c r="A87" s="1" t="s">
        <v>38</v>
      </c>
      <c r="E87" s="2">
        <v>0.1</v>
      </c>
      <c r="I87" s="2">
        <v>0.1</v>
      </c>
      <c r="M87" s="2">
        <v>0.1</v>
      </c>
      <c r="Q87" s="2">
        <v>0.1</v>
      </c>
    </row>
    <row r="88" spans="1:19">
      <c r="A88" s="1" t="s">
        <v>43</v>
      </c>
      <c r="E88">
        <f>E113</f>
        <v>0.14699999999999999</v>
      </c>
      <c r="I88">
        <f>I113</f>
        <v>0.157</v>
      </c>
      <c r="M88">
        <f>M113</f>
        <v>0.16500000000000001</v>
      </c>
      <c r="Q88">
        <f>Q113</f>
        <v>0.115</v>
      </c>
    </row>
    <row r="89" spans="1:19">
      <c r="A89" s="1" t="s">
        <v>54</v>
      </c>
      <c r="E89">
        <f>E88</f>
        <v>0.14699999999999999</v>
      </c>
      <c r="I89">
        <f>I88</f>
        <v>0.157</v>
      </c>
      <c r="M89">
        <f>M88</f>
        <v>0.16500000000000001</v>
      </c>
      <c r="Q89">
        <f>Q88</f>
        <v>0.115</v>
      </c>
    </row>
    <row r="90" spans="1:19">
      <c r="A90" s="1" t="s">
        <v>44</v>
      </c>
    </row>
    <row r="91" spans="1:19">
      <c r="A91" s="1"/>
    </row>
    <row r="92" spans="1:19">
      <c r="A92" s="1" t="s">
        <v>33</v>
      </c>
      <c r="E92" t="s">
        <v>39</v>
      </c>
      <c r="F92" t="s">
        <v>39</v>
      </c>
      <c r="I92" t="s">
        <v>39</v>
      </c>
      <c r="J92" t="s">
        <v>113</v>
      </c>
      <c r="M92" t="s">
        <v>39</v>
      </c>
      <c r="N92" t="s">
        <v>39</v>
      </c>
      <c r="O92" t="s">
        <v>113</v>
      </c>
      <c r="Q92" t="s">
        <v>39</v>
      </c>
      <c r="R92" t="s">
        <v>39</v>
      </c>
      <c r="S92" t="s">
        <v>113</v>
      </c>
    </row>
    <row r="93" spans="1:19">
      <c r="A93" s="1" t="s">
        <v>45</v>
      </c>
      <c r="E93" t="s">
        <v>47</v>
      </c>
      <c r="F93" t="s">
        <v>85</v>
      </c>
      <c r="I93" t="s">
        <v>47</v>
      </c>
      <c r="M93" t="s">
        <v>47</v>
      </c>
      <c r="N93" t="s">
        <v>47</v>
      </c>
      <c r="Q93" t="s">
        <v>47</v>
      </c>
      <c r="R93" t="s">
        <v>47</v>
      </c>
    </row>
    <row r="94" spans="1:19" ht="51">
      <c r="A94" s="12" t="s">
        <v>31</v>
      </c>
      <c r="E94" s="11" t="s">
        <v>84</v>
      </c>
      <c r="F94" s="11" t="s">
        <v>81</v>
      </c>
      <c r="I94" s="20" t="s">
        <v>86</v>
      </c>
      <c r="J94" s="48">
        <v>43672</v>
      </c>
      <c r="M94" s="19" t="s">
        <v>88</v>
      </c>
      <c r="N94" s="20" t="s">
        <v>83</v>
      </c>
      <c r="O94" s="48">
        <v>43672</v>
      </c>
      <c r="Q94" s="20" t="s">
        <v>87</v>
      </c>
      <c r="R94" s="20" t="s">
        <v>83</v>
      </c>
      <c r="S94" s="48">
        <v>43672</v>
      </c>
    </row>
    <row r="96" spans="1:19">
      <c r="A96" s="1" t="s">
        <v>50</v>
      </c>
    </row>
    <row r="97" spans="1:19">
      <c r="B97" s="1" t="s">
        <v>5</v>
      </c>
      <c r="C97" s="1" t="s">
        <v>6</v>
      </c>
      <c r="D97" s="1" t="s">
        <v>55</v>
      </c>
    </row>
    <row r="98" spans="1:19">
      <c r="A98" s="1" t="s">
        <v>0</v>
      </c>
    </row>
    <row r="99" spans="1:19">
      <c r="A99" t="s">
        <v>60</v>
      </c>
      <c r="B99" s="3">
        <f>AVERAGE(E99/E$89,I99/I$89,M99/M$89,Q99/Q$89)</f>
        <v>1.926251283998406E-2</v>
      </c>
      <c r="C99" s="3">
        <f>STDEV(E99/E$89,I99/I$89,M99/M$89,Q99/Q$89)/SQRT(D99)</f>
        <v>3.0763022668897008E-3</v>
      </c>
      <c r="D99">
        <v>4</v>
      </c>
      <c r="E99">
        <v>3.4591000000000001E-3</v>
      </c>
      <c r="I99">
        <v>4.0109999999999998E-3</v>
      </c>
      <c r="M99">
        <v>2.3517E-3</v>
      </c>
      <c r="Q99">
        <v>1.5776E-3</v>
      </c>
    </row>
    <row r="100" spans="1:19">
      <c r="A100" t="s">
        <v>61</v>
      </c>
      <c r="B100" s="3">
        <f t="shared" ref="B100:B109" si="12">AVERAGE(E100/E$89,I100/I$89,M100/M$89,Q100/Q$89)</f>
        <v>2.1376299784534543E-2</v>
      </c>
      <c r="C100" s="3">
        <f t="shared" ref="C100:C109" si="13">STDEV(E100/E$89,I100/I$89,M100/M$89,Q100/Q$89)/SQRT(D100)</f>
        <v>1.9796527839518047E-3</v>
      </c>
      <c r="D100">
        <v>4</v>
      </c>
      <c r="E100">
        <v>3.8589000000000002E-3</v>
      </c>
      <c r="I100">
        <v>3.0818999999999998E-3</v>
      </c>
      <c r="M100">
        <v>2.8123000000000002E-3</v>
      </c>
      <c r="Q100">
        <v>2.5967E-3</v>
      </c>
    </row>
    <row r="101" spans="1:19">
      <c r="A101" t="s">
        <v>62</v>
      </c>
      <c r="B101" s="3">
        <f t="shared" si="12"/>
        <v>2.4039875790954839E-2</v>
      </c>
      <c r="C101" s="3">
        <f t="shared" si="13"/>
        <v>3.6646332148640537E-3</v>
      </c>
      <c r="D101">
        <v>4</v>
      </c>
      <c r="E101">
        <v>3.6865000000000001E-3</v>
      </c>
      <c r="I101">
        <v>3.5815E-3</v>
      </c>
      <c r="M101">
        <v>2.5130999999999999E-3</v>
      </c>
      <c r="Q101">
        <v>3.7994000000000001E-3</v>
      </c>
    </row>
    <row r="102" spans="1:19">
      <c r="A102" t="s">
        <v>63</v>
      </c>
      <c r="B102" s="3">
        <f t="shared" si="12"/>
        <v>2.3156130537711421E-2</v>
      </c>
      <c r="C102" s="3">
        <f t="shared" si="13"/>
        <v>5.0000364517288846E-3</v>
      </c>
      <c r="D102">
        <v>4</v>
      </c>
      <c r="E102">
        <v>3.5626999999999998E-3</v>
      </c>
      <c r="I102">
        <v>5.6899999999999997E-3</v>
      </c>
      <c r="M102">
        <v>2.0428999999999998E-3</v>
      </c>
      <c r="Q102">
        <v>2.2729999999999998E-3</v>
      </c>
    </row>
    <row r="103" spans="1:19">
      <c r="A103" t="s">
        <v>64</v>
      </c>
      <c r="B103" s="3">
        <f t="shared" si="12"/>
        <v>6.7843818526227229E-2</v>
      </c>
      <c r="C103" s="3">
        <f t="shared" si="13"/>
        <v>2.652173185315454E-2</v>
      </c>
      <c r="D103">
        <v>4</v>
      </c>
      <c r="E103">
        <v>1.2728E-2</v>
      </c>
      <c r="I103">
        <v>3.2206000000000001E-3</v>
      </c>
      <c r="M103">
        <v>4.9468999999999997E-3</v>
      </c>
      <c r="Q103">
        <v>1.5443999999999999E-2</v>
      </c>
    </row>
    <row r="104" spans="1:19">
      <c r="A104" t="s">
        <v>65</v>
      </c>
      <c r="B104" s="3">
        <f t="shared" si="12"/>
        <v>1.1988803339517628E-3</v>
      </c>
      <c r="C104" s="3">
        <f t="shared" si="13"/>
        <v>9.8197887439112385E-4</v>
      </c>
      <c r="D104">
        <v>4</v>
      </c>
      <c r="E104">
        <v>6.0327999999999998E-4</v>
      </c>
      <c r="I104">
        <v>0</v>
      </c>
      <c r="M104">
        <v>1.1411E-4</v>
      </c>
      <c r="Q104">
        <v>0</v>
      </c>
    </row>
    <row r="105" spans="1:19">
      <c r="A105" t="s">
        <v>66</v>
      </c>
      <c r="B105" s="3">
        <f t="shared" si="12"/>
        <v>4.8469936928357605E-4</v>
      </c>
      <c r="C105" s="3">
        <f t="shared" si="13"/>
        <v>2.7629647174220757E-4</v>
      </c>
      <c r="D105">
        <v>4</v>
      </c>
      <c r="E105">
        <v>1.5133E-4</v>
      </c>
      <c r="I105">
        <v>1.4004999999999999E-4</v>
      </c>
      <c r="M105">
        <v>0</v>
      </c>
      <c r="Q105" s="15">
        <v>1.9899000000000002E-6</v>
      </c>
    </row>
    <row r="106" spans="1:19">
      <c r="A106" t="s">
        <v>67</v>
      </c>
      <c r="B106" s="3">
        <f t="shared" si="12"/>
        <v>0</v>
      </c>
      <c r="C106" s="3">
        <f t="shared" si="13"/>
        <v>0</v>
      </c>
      <c r="D106">
        <v>4</v>
      </c>
      <c r="E106">
        <v>0</v>
      </c>
      <c r="I106">
        <v>0</v>
      </c>
      <c r="M106">
        <v>0</v>
      </c>
      <c r="Q106">
        <v>0</v>
      </c>
    </row>
    <row r="107" spans="1:19">
      <c r="A107" t="s">
        <v>71</v>
      </c>
      <c r="B107" s="3">
        <f t="shared" si="12"/>
        <v>0</v>
      </c>
      <c r="C107" s="3">
        <f t="shared" si="13"/>
        <v>0</v>
      </c>
      <c r="D107">
        <v>4</v>
      </c>
      <c r="E107">
        <v>0</v>
      </c>
      <c r="I107">
        <v>0</v>
      </c>
      <c r="M107">
        <v>0</v>
      </c>
      <c r="Q107">
        <v>0</v>
      </c>
    </row>
    <row r="108" spans="1:19">
      <c r="A108" t="s">
        <v>72</v>
      </c>
      <c r="B108" s="3">
        <f t="shared" si="12"/>
        <v>9.3221739130434772E-3</v>
      </c>
      <c r="C108" s="3">
        <f t="shared" si="13"/>
        <v>9.3221739130434789E-3</v>
      </c>
      <c r="D108">
        <v>4</v>
      </c>
      <c r="E108">
        <v>0</v>
      </c>
      <c r="I108">
        <v>0</v>
      </c>
      <c r="M108">
        <v>0</v>
      </c>
      <c r="Q108">
        <v>4.2881999999999998E-3</v>
      </c>
    </row>
    <row r="109" spans="1:19">
      <c r="A109" t="s">
        <v>69</v>
      </c>
      <c r="B109" s="3">
        <f t="shared" si="12"/>
        <v>2.9168372363733643E-3</v>
      </c>
      <c r="C109" s="3">
        <f t="shared" si="13"/>
        <v>1.9372325995404044E-3</v>
      </c>
      <c r="D109">
        <v>4</v>
      </c>
      <c r="E109">
        <v>3.4801E-4</v>
      </c>
      <c r="I109">
        <v>1.3403E-3</v>
      </c>
      <c r="M109">
        <v>0</v>
      </c>
      <c r="Q109" s="15">
        <v>8.7744000000000006E-5</v>
      </c>
    </row>
    <row r="110" spans="1:19">
      <c r="A110" t="s">
        <v>68</v>
      </c>
      <c r="B110" s="3">
        <f>AVERAGE(J110/I89,O110/M89,S110/Q89)</f>
        <v>6.5874467413395699E-3</v>
      </c>
      <c r="C110" s="3">
        <f>STDEV(J110/I89,O110/M89,S110/Q89)/SQRT(D110)</f>
        <v>1.3390870131259178E-3</v>
      </c>
      <c r="D110">
        <v>3</v>
      </c>
      <c r="J110">
        <v>7.7169682782785584E-4</v>
      </c>
      <c r="O110">
        <v>9.2595013243563205E-4</v>
      </c>
      <c r="S110">
        <v>1.0620543043315821E-3</v>
      </c>
    </row>
    <row r="111" spans="1:19">
      <c r="A111" t="s">
        <v>70</v>
      </c>
      <c r="B111" s="3">
        <f>AVERAGE(F111/E$89,J111/I$89,N111/M$89,S111/Q$89)</f>
        <v>0</v>
      </c>
      <c r="C111" s="3">
        <f>STDEV(F111/E$89,J111/I$89,N111/M$89,S111/Q$89)/SQRT(D111)</f>
        <v>0</v>
      </c>
      <c r="D111">
        <v>3</v>
      </c>
      <c r="F111">
        <v>0</v>
      </c>
      <c r="N111">
        <v>0</v>
      </c>
      <c r="R111">
        <v>0</v>
      </c>
    </row>
    <row r="112" spans="1:19">
      <c r="A112" t="s">
        <v>23</v>
      </c>
      <c r="B112" s="3">
        <f>AVERAGE(E112/E$89,I112/I$89,M112/M$89,Q112/Q$89)</f>
        <v>0</v>
      </c>
      <c r="C112" s="3">
        <f>STDEV(E112/E$89,I112/I$89,M112/M$89,Q112/Q$89)/SQRT(D112)</f>
        <v>0</v>
      </c>
      <c r="D112">
        <v>4</v>
      </c>
      <c r="E112">
        <v>0</v>
      </c>
      <c r="I112">
        <v>0</v>
      </c>
      <c r="M112">
        <v>0</v>
      </c>
      <c r="Q112">
        <v>0</v>
      </c>
    </row>
    <row r="113" spans="1:17">
      <c r="A113" t="s">
        <v>24</v>
      </c>
      <c r="B113" s="3">
        <f>AVERAGE(E113/E$89,I113/I$89,M113/M$89,Q113/Q$89)</f>
        <v>1</v>
      </c>
      <c r="C113" s="3">
        <f>STDEV(E113/E$89,I113/I$89,M113/M$89,Q113/Q$89)/SQRT(D113)</f>
        <v>0</v>
      </c>
      <c r="D113">
        <v>4</v>
      </c>
      <c r="E113">
        <v>0.14699999999999999</v>
      </c>
      <c r="I113">
        <v>0.157</v>
      </c>
      <c r="M113">
        <v>0.16500000000000001</v>
      </c>
      <c r="Q113">
        <v>0.115</v>
      </c>
    </row>
    <row r="116" spans="1:17">
      <c r="A116" s="1" t="s">
        <v>16</v>
      </c>
    </row>
    <row r="117" spans="1:17">
      <c r="A117" t="s">
        <v>7</v>
      </c>
      <c r="B117" s="3">
        <f>AVERAGE(E117/E$89,I117/I$89,M117/M$89,Q117/Q$89)</f>
        <v>2.1139696566373583E-2</v>
      </c>
      <c r="C117" s="3">
        <f>STDEV(E117/E$89,I117/I$89,M117/M$89,Q117/Q$89)/SQRT(D117)</f>
        <v>1.4580163280225565E-3</v>
      </c>
      <c r="D117">
        <v>4</v>
      </c>
      <c r="E117">
        <v>2.6689000000000001E-3</v>
      </c>
      <c r="I117" s="15">
        <v>3.9249999999999997E-3</v>
      </c>
      <c r="M117">
        <v>3.2816999999999998E-3</v>
      </c>
      <c r="Q117">
        <v>2.4740999999999999E-3</v>
      </c>
    </row>
    <row r="118" spans="1:17">
      <c r="A118" t="s">
        <v>8</v>
      </c>
      <c r="B118" s="3">
        <f t="shared" ref="B118:B121" si="14">AVERAGE(E118/E$89,I118/I$89,M118/M$89,Q118/Q$89)</f>
        <v>1.2614462033397233E-2</v>
      </c>
      <c r="C118" s="3">
        <f t="shared" ref="C118:C121" si="15">STDEV(E118/E$89,I118/I$89,M118/M$89,Q118/Q$89)/SQRT(D118)</f>
        <v>3.5961053539043178E-3</v>
      </c>
      <c r="D118">
        <v>4</v>
      </c>
      <c r="E118">
        <v>1.1263E-3</v>
      </c>
      <c r="I118">
        <v>3.4267E-3</v>
      </c>
      <c r="M118">
        <v>1.0229E-3</v>
      </c>
      <c r="Q118">
        <v>1.6986E-3</v>
      </c>
    </row>
    <row r="119" spans="1:17">
      <c r="A119" t="s">
        <v>9</v>
      </c>
      <c r="B119" s="3">
        <f t="shared" si="14"/>
        <v>2.2286424594711376E-2</v>
      </c>
      <c r="C119" s="3">
        <f t="shared" si="15"/>
        <v>4.4344273621930736E-3</v>
      </c>
      <c r="D119">
        <v>4</v>
      </c>
      <c r="E119">
        <v>4.1906000000000001E-3</v>
      </c>
      <c r="I119">
        <v>3.1012000000000001E-3</v>
      </c>
      <c r="M119">
        <v>1.7902E-3</v>
      </c>
      <c r="Q119">
        <v>3.4540999999999999E-3</v>
      </c>
    </row>
    <row r="120" spans="1:17">
      <c r="A120" t="s">
        <v>10</v>
      </c>
      <c r="B120" s="3">
        <f t="shared" si="14"/>
        <v>4.9836697580419344E-2</v>
      </c>
      <c r="C120" s="3">
        <f t="shared" si="15"/>
        <v>7.8054607907923831E-3</v>
      </c>
      <c r="D120">
        <v>4</v>
      </c>
      <c r="E120">
        <v>7.3816999999999997E-3</v>
      </c>
      <c r="I120">
        <v>6.9661000000000002E-3</v>
      </c>
      <c r="M120">
        <v>5.5821999999999998E-3</v>
      </c>
      <c r="Q120">
        <v>8.1568999999999999E-3</v>
      </c>
    </row>
    <row r="121" spans="1:17">
      <c r="A121" t="s">
        <v>11</v>
      </c>
      <c r="B121" s="3">
        <f t="shared" si="14"/>
        <v>2.0241455395430746E-2</v>
      </c>
      <c r="C121" s="3">
        <f t="shared" si="15"/>
        <v>2.6490613059637056E-3</v>
      </c>
      <c r="D121">
        <v>4</v>
      </c>
      <c r="E121">
        <v>3.2921000000000001E-3</v>
      </c>
      <c r="I121" s="15">
        <v>2.5303999999999999E-3</v>
      </c>
      <c r="M121">
        <v>2.594E-3</v>
      </c>
      <c r="Q121">
        <v>3.0742E-3</v>
      </c>
    </row>
    <row r="122" spans="1:17">
      <c r="A122" t="s">
        <v>49</v>
      </c>
      <c r="B122" s="3" t="s">
        <v>30</v>
      </c>
      <c r="C122" s="3" t="s">
        <v>30</v>
      </c>
    </row>
    <row r="123" spans="1:17">
      <c r="A123" t="s">
        <v>12</v>
      </c>
      <c r="B123" s="3">
        <f>AVERAGE(E123/E$89,I123/I$89,M123/M$89,Q123/Q$89)</f>
        <v>4.0562552906865522E-2</v>
      </c>
      <c r="C123" s="3">
        <f>STDEV(E123/E$89,I123/I$89,M123/M$89,Q123/Q$89)/SQRT(D123)</f>
        <v>5.8245759435379251E-3</v>
      </c>
      <c r="D123">
        <v>4</v>
      </c>
      <c r="E123">
        <v>6.1130000000000004E-3</v>
      </c>
      <c r="I123">
        <v>5.6267000000000001E-3</v>
      </c>
      <c r="M123">
        <v>4.7330999999999996E-3</v>
      </c>
      <c r="Q123">
        <v>6.4561999999999996E-3</v>
      </c>
    </row>
    <row r="124" spans="1:17">
      <c r="A124" t="s">
        <v>13</v>
      </c>
      <c r="B124" s="3">
        <f t="shared" ref="B124:B125" si="16">AVERAGE(E124/E$89,I124/I$89,M124/M$89,Q124/Q$89)</f>
        <v>1.6480709745543193E-2</v>
      </c>
      <c r="C124" s="3">
        <f t="shared" ref="C124:C125" si="17">STDEV(E124/E$89,I124/I$89,M124/M$89,Q124/Q$89)/SQRT(D124)</f>
        <v>2.068851483261734E-3</v>
      </c>
      <c r="D124">
        <v>4</v>
      </c>
      <c r="E124">
        <v>3.1384999999999998E-3</v>
      </c>
      <c r="I124">
        <v>2.3110000000000001E-3</v>
      </c>
      <c r="M124">
        <v>1.9448E-3</v>
      </c>
      <c r="Q124">
        <v>2.0776000000000002E-3</v>
      </c>
    </row>
    <row r="125" spans="1:17">
      <c r="A125" t="s">
        <v>14</v>
      </c>
      <c r="B125" s="3">
        <f t="shared" si="16"/>
        <v>1.0541687812800404E-2</v>
      </c>
      <c r="C125" s="3">
        <f t="shared" si="17"/>
        <v>2.9056933564789869E-3</v>
      </c>
      <c r="D125">
        <v>4</v>
      </c>
      <c r="E125">
        <v>1.4739E-3</v>
      </c>
      <c r="I125">
        <v>1.4238E-3</v>
      </c>
      <c r="M125">
        <v>7.5485999999999999E-4</v>
      </c>
      <c r="Q125">
        <v>2.1270999999999998E-3</v>
      </c>
    </row>
    <row r="126" spans="1:17">
      <c r="A126" t="s">
        <v>56</v>
      </c>
      <c r="B126" s="3">
        <f>AVERAGE(E126/E$89,Q126/Q$89)</f>
        <v>1.0133918958887902E-2</v>
      </c>
      <c r="C126" s="3">
        <f>STDEV(E126/E$9,Q126/Q$89)/SQRT(D126)</f>
        <v>2.8388700302255281E-3</v>
      </c>
      <c r="D126">
        <v>2</v>
      </c>
      <c r="E126">
        <v>1.2007999999999999E-3</v>
      </c>
      <c r="I126" s="17" t="s">
        <v>30</v>
      </c>
      <c r="M126" s="17" t="s">
        <v>30</v>
      </c>
      <c r="Q126">
        <v>1.3914000000000001E-3</v>
      </c>
    </row>
    <row r="127" spans="1:17">
      <c r="A127" t="s">
        <v>57</v>
      </c>
      <c r="B127" s="3" t="s">
        <v>30</v>
      </c>
      <c r="C127" s="3" t="s">
        <v>30</v>
      </c>
    </row>
    <row r="128" spans="1:17">
      <c r="A128" t="s">
        <v>15</v>
      </c>
      <c r="B128" s="3">
        <f t="shared" ref="B128:B129" si="18">AVERAGE(E128/E$89,I128/I$89,M128/M$89,Q128/Q$89)</f>
        <v>1.3340130093627542E-2</v>
      </c>
      <c r="C128" s="3">
        <f t="shared" ref="C128:C129" si="19">STDEV(E128/E$89,I128/I$89,M128/M$89,Q128/Q$89)/SQRT(D128)</f>
        <v>1.3290564228633421E-3</v>
      </c>
      <c r="D128">
        <v>4</v>
      </c>
      <c r="E128">
        <v>1.5541999999999999E-3</v>
      </c>
      <c r="I128">
        <v>2.6640000000000001E-3</v>
      </c>
      <c r="M128">
        <v>2.1213999999999998E-3</v>
      </c>
      <c r="Q128">
        <v>1.4907E-3</v>
      </c>
    </row>
    <row r="129" spans="1:17">
      <c r="A129" t="s">
        <v>22</v>
      </c>
      <c r="B129" s="3">
        <f t="shared" si="18"/>
        <v>9.5294816883476543E-3</v>
      </c>
      <c r="C129" s="3">
        <f t="shared" si="19"/>
        <v>3.2728888290285388E-3</v>
      </c>
      <c r="D129">
        <v>4</v>
      </c>
      <c r="E129">
        <v>1.3293000000000001E-3</v>
      </c>
      <c r="I129">
        <v>5.7886000000000005E-4</v>
      </c>
      <c r="M129">
        <v>1.0899E-3</v>
      </c>
      <c r="Q129">
        <v>2.16E-3</v>
      </c>
    </row>
    <row r="130" spans="1:17">
      <c r="A130" t="s">
        <v>59</v>
      </c>
      <c r="B130" s="3" t="s">
        <v>30</v>
      </c>
      <c r="C130" s="3" t="s">
        <v>30</v>
      </c>
    </row>
    <row r="131" spans="1:17">
      <c r="A131" t="s">
        <v>58</v>
      </c>
      <c r="B131" s="3" t="s">
        <v>30</v>
      </c>
      <c r="C131" s="3" t="s">
        <v>30</v>
      </c>
    </row>
    <row r="133" spans="1:17">
      <c r="A133" s="1" t="s">
        <v>17</v>
      </c>
    </row>
    <row r="134" spans="1:17">
      <c r="A134" t="s">
        <v>7</v>
      </c>
      <c r="B134" s="3">
        <f>AVERAGE(E134/E$89,I134/I$89,M134/M$89,Q134/Q$89)</f>
        <v>1.8357205537535878E-2</v>
      </c>
      <c r="C134" s="3">
        <f>STDEV(E134/E$89,I134/I$89,M134/M$89,Q134/Q$89)/SQRT(D134)</f>
        <v>1.6172881994726848E-3</v>
      </c>
      <c r="D134">
        <v>4</v>
      </c>
      <c r="E134">
        <v>2.1061999999999999E-3</v>
      </c>
      <c r="I134">
        <v>2.9861000000000002E-3</v>
      </c>
      <c r="M134">
        <v>3.6576E-3</v>
      </c>
      <c r="Q134">
        <v>2.0601E-3</v>
      </c>
    </row>
    <row r="135" spans="1:17">
      <c r="A135" t="s">
        <v>8</v>
      </c>
      <c r="B135" s="3">
        <f t="shared" ref="B135:B138" si="20">AVERAGE(E135/E$89,I135/I$89,M135/M$89,Q135/Q$89)</f>
        <v>1.1261474377319218E-2</v>
      </c>
      <c r="C135" s="3">
        <f t="shared" ref="C135:C138" si="21">STDEV(E135/E$89,I135/I$89,M135/M$89,Q135/Q$89)/SQRT(D135)</f>
        <v>2.4418528044921474E-3</v>
      </c>
      <c r="D135">
        <v>4</v>
      </c>
      <c r="E135">
        <v>1.7175999999999999E-3</v>
      </c>
      <c r="I135">
        <v>1.3738000000000001E-3</v>
      </c>
      <c r="M135">
        <v>1.1052E-3</v>
      </c>
      <c r="Q135">
        <v>2.0600000000000002E-3</v>
      </c>
    </row>
    <row r="136" spans="1:17">
      <c r="A136" t="s">
        <v>9</v>
      </c>
      <c r="B136" s="3">
        <f t="shared" si="20"/>
        <v>2.627502024751896E-2</v>
      </c>
      <c r="C136" s="3">
        <f t="shared" si="21"/>
        <v>5.8046350408514531E-3</v>
      </c>
      <c r="D136">
        <v>4</v>
      </c>
      <c r="E136">
        <v>4.0263E-3</v>
      </c>
      <c r="I136">
        <v>3.1616999999999999E-3</v>
      </c>
      <c r="M136">
        <v>2.5582000000000001E-3</v>
      </c>
      <c r="Q136">
        <v>4.8377999999999997E-3</v>
      </c>
    </row>
    <row r="137" spans="1:17">
      <c r="A137" t="s">
        <v>10</v>
      </c>
      <c r="B137" s="3">
        <f t="shared" si="20"/>
        <v>6.478270032541604E-2</v>
      </c>
      <c r="C137" s="3">
        <f t="shared" si="21"/>
        <v>9.8068996747306854E-3</v>
      </c>
      <c r="D137">
        <v>4</v>
      </c>
      <c r="E137">
        <v>9.8408999999999996E-3</v>
      </c>
      <c r="I137">
        <v>8.8868000000000003E-3</v>
      </c>
      <c r="M137">
        <v>7.3790000000000001E-3</v>
      </c>
      <c r="Q137">
        <v>1.0449E-2</v>
      </c>
    </row>
    <row r="138" spans="1:17">
      <c r="A138" t="s">
        <v>11</v>
      </c>
      <c r="B138" s="3">
        <f t="shared" si="20"/>
        <v>1.7780797890969785E-2</v>
      </c>
      <c r="C138" s="3">
        <f t="shared" si="21"/>
        <v>3.1091959486593936E-3</v>
      </c>
      <c r="D138">
        <v>4</v>
      </c>
      <c r="E138">
        <v>1.7742999999999999E-3</v>
      </c>
      <c r="I138">
        <v>2.3148999999999999E-3</v>
      </c>
      <c r="M138">
        <v>2.9562E-3</v>
      </c>
      <c r="Q138">
        <v>3.0351000000000002E-3</v>
      </c>
    </row>
    <row r="139" spans="1:17">
      <c r="A139" t="s">
        <v>49</v>
      </c>
      <c r="B139" s="3" t="s">
        <v>30</v>
      </c>
      <c r="C139" s="3" t="s">
        <v>30</v>
      </c>
    </row>
    <row r="140" spans="1:17">
      <c r="A140" t="s">
        <v>12</v>
      </c>
      <c r="B140" s="3">
        <f>AVERAGE(E140/E$89,I140/I$89,M140/M$89,Q140/Q$89)</f>
        <v>4.6510297643238462E-2</v>
      </c>
      <c r="C140" s="3">
        <f>STDEV(E140/E$89,I140/I$89,M140/M$89,Q140/Q$89)/SQRT(D140)</f>
        <v>6.9478989211325852E-3</v>
      </c>
      <c r="D140">
        <v>4</v>
      </c>
      <c r="E140">
        <v>6.5823000000000001E-3</v>
      </c>
      <c r="I140">
        <v>6.2760000000000003E-3</v>
      </c>
      <c r="M140">
        <v>5.7491E-3</v>
      </c>
      <c r="Q140">
        <v>7.6413000000000002E-3</v>
      </c>
    </row>
    <row r="141" spans="1:17">
      <c r="A141" t="s">
        <v>13</v>
      </c>
      <c r="B141" s="3">
        <f t="shared" ref="B141:B142" si="22">AVERAGE(E141/E$89,I141/I$89,M141/M$89,Q141/Q$89)</f>
        <v>1.3811388805112942E-2</v>
      </c>
      <c r="C141" s="3">
        <f t="shared" ref="C141:C142" si="23">STDEV(E141/E$89,I141/I$89,M141/M$89,Q141/Q$89)/SQRT(D141)</f>
        <v>2.8624826093868565E-3</v>
      </c>
      <c r="D141">
        <v>4</v>
      </c>
      <c r="E141">
        <v>2.6115999999999999E-3</v>
      </c>
      <c r="I141">
        <v>1.0796E-3</v>
      </c>
      <c r="M141">
        <v>1.8841000000000001E-3</v>
      </c>
      <c r="Q141">
        <v>2.2062000000000002E-3</v>
      </c>
    </row>
    <row r="142" spans="1:17">
      <c r="A142" t="s">
        <v>14</v>
      </c>
      <c r="B142" s="3">
        <f t="shared" si="22"/>
        <v>1.1155084629405752E-2</v>
      </c>
      <c r="C142" s="3">
        <f t="shared" si="23"/>
        <v>3.2328813441791634E-3</v>
      </c>
      <c r="D142">
        <v>4</v>
      </c>
      <c r="E142">
        <v>1.7315E-3</v>
      </c>
      <c r="I142">
        <v>1.0013999999999999E-3</v>
      </c>
      <c r="M142">
        <v>1.0545000000000001E-3</v>
      </c>
      <c r="Q142">
        <v>2.3083000000000001E-3</v>
      </c>
    </row>
    <row r="143" spans="1:17">
      <c r="A143" t="s">
        <v>56</v>
      </c>
      <c r="B143" s="3">
        <f t="shared" ref="B143" si="24">AVERAGE(E143/E$89,I143/I$89,M143/M$89,Q143/Q$89)</f>
        <v>1.0521122552935979E-2</v>
      </c>
      <c r="C143" s="3">
        <f t="shared" ref="C143" si="25">STDEV(E143/E$89,I143/I$89,M143/M$89,Q143/Q$89)/SQRT(D143)</f>
        <v>5.1057693305916526E-3</v>
      </c>
      <c r="D143">
        <v>4</v>
      </c>
      <c r="E143">
        <v>9.2252000000000002E-4</v>
      </c>
      <c r="I143">
        <v>9.7329999999999997E-4</v>
      </c>
      <c r="M143">
        <v>6.3745999999999996E-4</v>
      </c>
      <c r="Q143">
        <v>2.9608E-3</v>
      </c>
    </row>
    <row r="144" spans="1:17">
      <c r="A144" t="s">
        <v>57</v>
      </c>
      <c r="B144" s="3" t="s">
        <v>30</v>
      </c>
      <c r="C144" s="3" t="s">
        <v>30</v>
      </c>
    </row>
    <row r="145" spans="1:17">
      <c r="A145" t="s">
        <v>15</v>
      </c>
      <c r="B145" s="3">
        <f t="shared" ref="B145:B146" si="26">AVERAGE(E145/E$89,I145/I$89,M145/M$89,Q145/Q$89)</f>
        <v>1.1963090661530843E-2</v>
      </c>
      <c r="C145" s="3">
        <f t="shared" ref="C145:C146" si="27">STDEV(E145/E$89,I145/I$89,M145/M$89,Q145/Q$89)/SQRT(D145)</f>
        <v>2.4498473981174147E-3</v>
      </c>
      <c r="D145">
        <v>4</v>
      </c>
      <c r="E145">
        <v>8.3447000000000003E-4</v>
      </c>
      <c r="I145">
        <v>2.6595E-3</v>
      </c>
      <c r="M145">
        <v>2.3879999999999999E-3</v>
      </c>
      <c r="Q145">
        <v>1.2378000000000001E-3</v>
      </c>
    </row>
    <row r="146" spans="1:17">
      <c r="A146" t="s">
        <v>22</v>
      </c>
      <c r="B146" s="3">
        <f t="shared" si="26"/>
        <v>1.3324035551029657E-2</v>
      </c>
      <c r="C146" s="3">
        <f t="shared" si="27"/>
        <v>3.1007298922699758E-3</v>
      </c>
      <c r="D146">
        <v>4</v>
      </c>
      <c r="E146">
        <v>2.0969999999999999E-3</v>
      </c>
      <c r="I146">
        <v>1.4863999999999999E-3</v>
      </c>
      <c r="M146">
        <v>1.2995999999999999E-3</v>
      </c>
      <c r="Q146">
        <v>2.4940000000000001E-3</v>
      </c>
    </row>
    <row r="147" spans="1:17">
      <c r="A147" t="s">
        <v>59</v>
      </c>
      <c r="B147" s="3" t="s">
        <v>30</v>
      </c>
      <c r="C147" s="3" t="s">
        <v>30</v>
      </c>
    </row>
    <row r="148" spans="1:17">
      <c r="A148" t="s">
        <v>58</v>
      </c>
      <c r="B148" s="3" t="s">
        <v>30</v>
      </c>
      <c r="C148" s="3" t="s">
        <v>30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Fasted</vt:lpstr>
      <vt:lpstr>Refed</vt:lpstr>
      <vt:lpstr>Glucose</vt:lpstr>
      <vt:lpstr>Lactate</vt:lpstr>
      <vt:lpstr>Glutamine</vt:lpstr>
      <vt:lpstr>Alanine</vt:lpstr>
      <vt:lpstr>3HB</vt:lpstr>
      <vt:lpstr>Palmitate</vt:lpstr>
      <vt:lpstr>Oleate</vt:lpstr>
      <vt:lpstr>Linoleate</vt:lpstr>
      <vt:lpstr>Serine</vt:lpstr>
      <vt:lpstr>Glycine</vt:lpstr>
      <vt:lpstr>Citrate</vt:lpstr>
      <vt:lpstr>Acetate</vt:lpstr>
      <vt:lpstr>Glycerol</vt:lpstr>
      <vt:lpstr>BCAAs</vt:lpstr>
      <vt:lpstr>6AAs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Yuan, Bo</cp:lastModifiedBy>
  <dcterms:created xsi:type="dcterms:W3CDTF">2016-11-13T00:11:43Z</dcterms:created>
  <dcterms:modified xsi:type="dcterms:W3CDTF">2025-03-16T14:17:50Z</dcterms:modified>
</cp:coreProperties>
</file>