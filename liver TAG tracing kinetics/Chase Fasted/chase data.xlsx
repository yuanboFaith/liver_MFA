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liver TAG tracing kinetics/Chase Fasted/"/>
    </mc:Choice>
  </mc:AlternateContent>
  <xr:revisionPtr revIDLastSave="0" documentId="13_ncr:1_{F2229FDC-EFBE-4E42-A2AD-691C2FE4FFC7}" xr6:coauthVersionLast="47" xr6:coauthVersionMax="47" xr10:uidLastSave="{00000000-0000-0000-0000-000000000000}"/>
  <bookViews>
    <workbookView xWindow="0" yWindow="0" windowWidth="38400" windowHeight="21600" activeTab="7" xr2:uid="{FCC9DE73-AA74-8B43-BD8F-F00FF2F647E3}"/>
  </bookViews>
  <sheets>
    <sheet name="chase_serum_middle_point" sheetId="2" r:id="rId1"/>
    <sheet name="chase_serum_middle_point_2" sheetId="7" r:id="rId2"/>
    <sheet name="chase_serum_SAC" sheetId="3" r:id="rId3"/>
    <sheet name="liver_Free_Metabolites_SAC" sheetId="1" r:id="rId4"/>
    <sheet name="others" sheetId="8" r:id="rId5"/>
    <sheet name="liver_TAG_SAC" sheetId="4" r:id="rId6"/>
    <sheet name="sample.id" sheetId="5" r:id="rId7"/>
    <sheet name="mouse.id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5" i="5"/>
  <c r="D4" i="5"/>
  <c r="D3" i="5"/>
  <c r="D2" i="5"/>
  <c r="E3" i="6"/>
  <c r="E4" i="6"/>
  <c r="E5" i="6"/>
  <c r="E6" i="6"/>
  <c r="E7" i="6"/>
  <c r="E8" i="6"/>
  <c r="E9" i="6"/>
  <c r="E10" i="6"/>
  <c r="E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tc={505547A5-5028-8C4C-AA73-08E48118AC38}</author>
  </authors>
  <commentList>
    <comment ref="B2" authorId="0" shapeId="0" xr:uid="{505547A5-5028-8C4C-AA73-08E48118AC38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fatty acids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tc={CCB69063-B9A6-FE42-81E5-C822062CC5C9}</author>
  </authors>
  <commentList>
    <comment ref="D1" authorId="0" shapeId="0" xr:uid="{CCB69063-B9A6-FE42-81E5-C822062CC5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time into the chase stage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tc={29826656-30EB-AD4A-ADC0-BCA38E1529E2}</author>
  </authors>
  <commentList>
    <comment ref="A9" authorId="0" shapeId="0" xr:uid="{29826656-30EB-AD4A-ADC0-BCA38E1529E2}">
      <text>
        <t>[Threaded comment]
Your version of Excel allows you to read this threaded comment; however, any edits to it will get removed if the file is opened in a newer version of Excel. Learn more: https://go.microsoft.com/fwlink/?linkid=870924
Comment:
    By sacrifice, KD looked very weird - there was a big liquid-filled bubble on the kidney</t>
      </text>
    </comment>
  </commentList>
</comments>
</file>

<file path=xl/sharedStrings.xml><?xml version="1.0" encoding="utf-8"?>
<sst xmlns="http://schemas.openxmlformats.org/spreadsheetml/2006/main" count="456" uniqueCount="76">
  <si>
    <t>isotopeLabel</t>
  </si>
  <si>
    <t>compound</t>
  </si>
  <si>
    <t>formula</t>
  </si>
  <si>
    <t>liver_SAC_1</t>
  </si>
  <si>
    <t>liver_SAC_2</t>
  </si>
  <si>
    <t>liver_SAC_3</t>
  </si>
  <si>
    <t>liver_SAC_4</t>
  </si>
  <si>
    <t>liver_SAC_5</t>
  </si>
  <si>
    <t>liver_SAC_6</t>
  </si>
  <si>
    <t>liver_SAC_7</t>
  </si>
  <si>
    <t>liver_SAC_8</t>
  </si>
  <si>
    <t>liver_SAC_9</t>
  </si>
  <si>
    <t>liver_SAC_SAP_1</t>
  </si>
  <si>
    <t>liver_SAC_SAP_2</t>
  </si>
  <si>
    <t>liver_SAC_SAP_3</t>
  </si>
  <si>
    <t>liver_SAC_SAP_4</t>
  </si>
  <si>
    <t>liver_SAC_SAP_5</t>
  </si>
  <si>
    <t>liver_SAC_SAP_6</t>
  </si>
  <si>
    <t>liver_SAC_SAP_7</t>
  </si>
  <si>
    <t>liver_SAC_SAP_8</t>
  </si>
  <si>
    <t>liver_SAC_SAP_9</t>
  </si>
  <si>
    <t>serum_MID_8</t>
  </si>
  <si>
    <t>serum_MID_9</t>
  </si>
  <si>
    <t>serum_SAC_1</t>
  </si>
  <si>
    <t>serum_SAC_2</t>
  </si>
  <si>
    <t>serum_SAC_3</t>
  </si>
  <si>
    <t>serum_SAC_4</t>
  </si>
  <si>
    <t>serum_SAC_5</t>
  </si>
  <si>
    <t>serum_SAC_6</t>
  </si>
  <si>
    <t>serum_SAC_7</t>
  </si>
  <si>
    <t>serum_SAC_8</t>
  </si>
  <si>
    <t>serum_SAC_9</t>
  </si>
  <si>
    <t>C12 PARENT</t>
  </si>
  <si>
    <t>C18:2</t>
  </si>
  <si>
    <t>C18H32O2</t>
  </si>
  <si>
    <t>C13-label-1</t>
  </si>
  <si>
    <t>C13-label-16</t>
  </si>
  <si>
    <t>C13-label-17</t>
  </si>
  <si>
    <t>C13-label-18</t>
  </si>
  <si>
    <t>Malate</t>
  </si>
  <si>
    <t>C4H6O5</t>
  </si>
  <si>
    <t>C13-label-2</t>
  </si>
  <si>
    <t>C13-label-3</t>
  </si>
  <si>
    <t>Succinic acid</t>
  </si>
  <si>
    <t>C4H6O4</t>
  </si>
  <si>
    <t>Alpha-Ketoglutarate</t>
  </si>
  <si>
    <t>C5H6O5</t>
  </si>
  <si>
    <t>Glucose</t>
  </si>
  <si>
    <t>C6H12O6</t>
  </si>
  <si>
    <t>C13-label-4</t>
  </si>
  <si>
    <t>Lactate</t>
  </si>
  <si>
    <t>C3H6O3</t>
  </si>
  <si>
    <t>3-Hydroxybutyric acid</t>
  </si>
  <si>
    <t>C4H8O3</t>
  </si>
  <si>
    <t>Glutamate</t>
  </si>
  <si>
    <t>C5H9NO4</t>
  </si>
  <si>
    <t>Alanine</t>
  </si>
  <si>
    <t>C3H7NO2</t>
  </si>
  <si>
    <t>Glutamine</t>
  </si>
  <si>
    <t>C5H10N2O3</t>
  </si>
  <si>
    <t>TAG C18:2</t>
  </si>
  <si>
    <t>sample</t>
  </si>
  <si>
    <t>infusion end</t>
  </si>
  <si>
    <t>collected</t>
  </si>
  <si>
    <t>mouse</t>
  </si>
  <si>
    <t>body weight</t>
  </si>
  <si>
    <t>infusion time (h)</t>
  </si>
  <si>
    <t>serum_MID_1_true</t>
  </si>
  <si>
    <t>serum_MID_2_true</t>
  </si>
  <si>
    <t>C16:0</t>
  </si>
  <si>
    <t>C16H32O2</t>
  </si>
  <si>
    <t>C18:1</t>
  </si>
  <si>
    <t>C18H34O2</t>
  </si>
  <si>
    <t>infusion start = chase start</t>
  </si>
  <si>
    <t>SAC = chase end</t>
  </si>
  <si>
    <t>time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</si>
</sst>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18" fontId="0" fillId="0" borderId="0" xfId="0" applyNumberFormat="1" applyAlignment="1">
      <alignment horizontal="left"/>
    </xf>
    <xf numFmtId="18" fontId="0" fillId="0" borderId="0" xfId="0" applyNumberFormat="1"/>
    <xf numFmtId="2" fontId="0" fillId="0" borderId="0" xfId="0" applyNumberFormat="1"/>
    <xf numFmtId="164" fontId="0" fillId="0" borderId="0" xfId="0" applyNumberFormat="1"/>
    <xf numFmtId="18" fontId="0" fillId="0" borderId="10" xfId="0" applyNumberFormat="1" applyBorder="1" applyAlignment="1">
      <alignment horizontal="left"/>
    </xf>
    <xf numFmtId="0" fontId="19" fillId="0" borderId="0" xfId="0" applyFont="1" applyAlignment="1">
      <alignment horizontal="left"/>
    </xf>
    <xf numFmtId="2" fontId="19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10" xfId="0" applyBorder="1" applyAlignment="1">
      <alignment horizontal="left"/>
    </xf>
    <xf numFmtId="2" fontId="0" fillId="0" borderId="10" xfId="0" applyNumberFormat="1" applyBorder="1" applyAlignment="1">
      <alignment horizontal="left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an, Bo" id="{5BB1C069-33FB-1941-BB79-8D1618E57638}" userId="S::bo_yuan@hsph.harvard.edu::41d2fd6e-1db7-4851-8b22-9e19671fc0e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9-24T01:19:04.79" personId="{5BB1C069-33FB-1941-BB79-8D1618E57638}" id="{505547A5-5028-8C4C-AA73-08E48118AC38}">
    <text>free fatty acids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09-24T01:09:13.97" personId="{5BB1C069-33FB-1941-BB79-8D1618E57638}" id="{CCB69063-B9A6-FE42-81E5-C822062CC5C9}">
    <text xml:space="preserve">time into the chase stage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9" dT="2025-09-24T00:53:42.43" personId="{5BB1C069-33FB-1941-BB79-8D1618E57638}" id="{29826656-30EB-AD4A-ADC0-BCA38E1529E2}">
    <text>By sacrifice, KD looked very weird - there was a big liquid-filled bubble on the kidney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B32A-7196-3E47-BA89-7729985654DA}">
  <dimension ref="A1:E32"/>
  <sheetViews>
    <sheetView zoomScale="150" workbookViewId="0">
      <selection activeCell="C38" sqref="C38"/>
    </sheetView>
  </sheetViews>
  <sheetFormatPr baseColWidth="10" defaultColWidth="11" defaultRowHeight="16" x14ac:dyDescent="0.2"/>
  <cols>
    <col min="1" max="1" width="11.83203125" bestFit="1" customWidth="1"/>
    <col min="2" max="2" width="19" bestFit="1" customWidth="1"/>
    <col min="3" max="3" width="10.1640625" bestFit="1" customWidth="1"/>
    <col min="4" max="5" width="12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21</v>
      </c>
      <c r="E1" t="s">
        <v>22</v>
      </c>
    </row>
    <row r="2" spans="1:5" x14ac:dyDescent="0.2">
      <c r="A2" t="s">
        <v>32</v>
      </c>
      <c r="B2" t="s">
        <v>33</v>
      </c>
      <c r="C2" t="s">
        <v>34</v>
      </c>
      <c r="D2">
        <v>499517056</v>
      </c>
      <c r="E2">
        <v>359687200</v>
      </c>
    </row>
    <row r="3" spans="1:5" x14ac:dyDescent="0.2">
      <c r="A3" t="s">
        <v>35</v>
      </c>
      <c r="B3" t="s">
        <v>33</v>
      </c>
      <c r="C3" t="s">
        <v>34</v>
      </c>
      <c r="D3">
        <v>95126216</v>
      </c>
      <c r="E3">
        <v>69134456</v>
      </c>
    </row>
    <row r="4" spans="1:5" x14ac:dyDescent="0.2">
      <c r="A4" t="s">
        <v>36</v>
      </c>
      <c r="B4" t="s">
        <v>33</v>
      </c>
      <c r="C4" t="s">
        <v>34</v>
      </c>
      <c r="D4">
        <v>66673.34</v>
      </c>
      <c r="E4">
        <v>220734.67</v>
      </c>
    </row>
    <row r="5" spans="1:5" x14ac:dyDescent="0.2">
      <c r="A5" t="s">
        <v>37</v>
      </c>
      <c r="B5" t="s">
        <v>33</v>
      </c>
      <c r="C5" t="s">
        <v>34</v>
      </c>
      <c r="D5">
        <v>882429.19</v>
      </c>
      <c r="E5">
        <v>953553.75</v>
      </c>
    </row>
    <row r="6" spans="1:5" x14ac:dyDescent="0.2">
      <c r="A6" t="s">
        <v>38</v>
      </c>
      <c r="B6" t="s">
        <v>33</v>
      </c>
      <c r="C6" t="s">
        <v>34</v>
      </c>
      <c r="D6">
        <v>16805664</v>
      </c>
      <c r="E6">
        <v>15333365</v>
      </c>
    </row>
    <row r="7" spans="1:5" x14ac:dyDescent="0.2">
      <c r="A7" t="s">
        <v>32</v>
      </c>
      <c r="B7" t="s">
        <v>47</v>
      </c>
      <c r="C7" t="s">
        <v>48</v>
      </c>
      <c r="D7">
        <v>104105640</v>
      </c>
      <c r="E7">
        <v>70533984</v>
      </c>
    </row>
    <row r="8" spans="1:5" x14ac:dyDescent="0.2">
      <c r="A8" t="s">
        <v>35</v>
      </c>
      <c r="B8" t="s">
        <v>47</v>
      </c>
      <c r="C8" t="s">
        <v>48</v>
      </c>
      <c r="D8">
        <v>13751439</v>
      </c>
      <c r="E8">
        <v>10286741</v>
      </c>
    </row>
    <row r="9" spans="1:5" x14ac:dyDescent="0.2">
      <c r="A9" t="s">
        <v>41</v>
      </c>
      <c r="B9" t="s">
        <v>47</v>
      </c>
      <c r="C9" t="s">
        <v>48</v>
      </c>
      <c r="D9">
        <v>2091295.62</v>
      </c>
      <c r="E9">
        <v>1822619.88</v>
      </c>
    </row>
    <row r="10" spans="1:5" x14ac:dyDescent="0.2">
      <c r="A10" t="s">
        <v>42</v>
      </c>
      <c r="B10" t="s">
        <v>47</v>
      </c>
      <c r="C10" t="s">
        <v>48</v>
      </c>
      <c r="D10">
        <v>155766.66</v>
      </c>
      <c r="E10">
        <v>148984.20000000001</v>
      </c>
    </row>
    <row r="11" spans="1:5" x14ac:dyDescent="0.2">
      <c r="A11" t="s">
        <v>49</v>
      </c>
      <c r="B11" t="s">
        <v>47</v>
      </c>
      <c r="C11" t="s">
        <v>48</v>
      </c>
      <c r="D11">
        <v>0</v>
      </c>
      <c r="E11">
        <v>0</v>
      </c>
    </row>
    <row r="12" spans="1:5" x14ac:dyDescent="0.2">
      <c r="A12" t="s">
        <v>32</v>
      </c>
      <c r="B12" t="s">
        <v>50</v>
      </c>
      <c r="C12" t="s">
        <v>51</v>
      </c>
      <c r="D12">
        <v>364171616</v>
      </c>
      <c r="E12">
        <v>254049168</v>
      </c>
    </row>
    <row r="13" spans="1:5" x14ac:dyDescent="0.2">
      <c r="A13" t="s">
        <v>35</v>
      </c>
      <c r="B13" t="s">
        <v>50</v>
      </c>
      <c r="C13" t="s">
        <v>51</v>
      </c>
      <c r="D13">
        <v>20091194</v>
      </c>
      <c r="E13">
        <v>14951309</v>
      </c>
    </row>
    <row r="14" spans="1:5" x14ac:dyDescent="0.2">
      <c r="A14" t="s">
        <v>41</v>
      </c>
      <c r="B14" t="s">
        <v>50</v>
      </c>
      <c r="C14" t="s">
        <v>51</v>
      </c>
      <c r="D14">
        <v>2161496.75</v>
      </c>
      <c r="E14">
        <v>1722004.5</v>
      </c>
    </row>
    <row r="15" spans="1:5" x14ac:dyDescent="0.2">
      <c r="A15" t="s">
        <v>42</v>
      </c>
      <c r="B15" t="s">
        <v>50</v>
      </c>
      <c r="C15" t="s">
        <v>51</v>
      </c>
      <c r="D15">
        <v>87813.95</v>
      </c>
      <c r="E15">
        <v>78413.320000000007</v>
      </c>
    </row>
    <row r="16" spans="1:5" x14ac:dyDescent="0.2">
      <c r="A16" t="s">
        <v>32</v>
      </c>
      <c r="B16" t="s">
        <v>52</v>
      </c>
      <c r="C16" t="s">
        <v>53</v>
      </c>
      <c r="D16">
        <v>21950874</v>
      </c>
      <c r="E16">
        <v>12550651</v>
      </c>
    </row>
    <row r="17" spans="1:5" x14ac:dyDescent="0.2">
      <c r="A17" t="s">
        <v>35</v>
      </c>
      <c r="B17" t="s">
        <v>52</v>
      </c>
      <c r="C17" t="s">
        <v>53</v>
      </c>
      <c r="D17">
        <v>916721.19</v>
      </c>
      <c r="E17">
        <v>544257.56000000006</v>
      </c>
    </row>
    <row r="18" spans="1:5" x14ac:dyDescent="0.2">
      <c r="A18" t="s">
        <v>41</v>
      </c>
      <c r="B18" t="s">
        <v>52</v>
      </c>
      <c r="C18" t="s">
        <v>53</v>
      </c>
      <c r="D18">
        <v>718889.81</v>
      </c>
      <c r="E18">
        <v>441524.75</v>
      </c>
    </row>
    <row r="19" spans="1:5" x14ac:dyDescent="0.2">
      <c r="A19" t="s">
        <v>42</v>
      </c>
      <c r="B19" t="s">
        <v>52</v>
      </c>
      <c r="C19" t="s">
        <v>53</v>
      </c>
      <c r="D19">
        <v>0</v>
      </c>
      <c r="E19">
        <v>0</v>
      </c>
    </row>
    <row r="20" spans="1:5" x14ac:dyDescent="0.2">
      <c r="A20" t="s">
        <v>49</v>
      </c>
      <c r="B20" t="s">
        <v>52</v>
      </c>
      <c r="C20" t="s">
        <v>53</v>
      </c>
      <c r="D20">
        <v>8692.1200000000008</v>
      </c>
      <c r="E20">
        <v>23973.88</v>
      </c>
    </row>
    <row r="21" spans="1:5" x14ac:dyDescent="0.2">
      <c r="A21" t="s">
        <v>32</v>
      </c>
      <c r="B21" t="s">
        <v>54</v>
      </c>
      <c r="C21" t="s">
        <v>55</v>
      </c>
      <c r="D21">
        <v>1383166.62</v>
      </c>
      <c r="E21">
        <v>978216.5</v>
      </c>
    </row>
    <row r="22" spans="1:5" x14ac:dyDescent="0.2">
      <c r="A22" t="s">
        <v>35</v>
      </c>
      <c r="B22" t="s">
        <v>54</v>
      </c>
      <c r="C22" t="s">
        <v>55</v>
      </c>
      <c r="D22">
        <v>99202.62</v>
      </c>
      <c r="E22">
        <v>90105.07</v>
      </c>
    </row>
    <row r="23" spans="1:5" x14ac:dyDescent="0.2">
      <c r="A23" t="s">
        <v>41</v>
      </c>
      <c r="B23" t="s">
        <v>54</v>
      </c>
      <c r="C23" t="s">
        <v>55</v>
      </c>
      <c r="D23">
        <v>38580.730000000003</v>
      </c>
      <c r="E23">
        <v>35979.839999999997</v>
      </c>
    </row>
    <row r="24" spans="1:5" x14ac:dyDescent="0.2">
      <c r="A24" t="s">
        <v>42</v>
      </c>
      <c r="B24" t="s">
        <v>54</v>
      </c>
      <c r="C24" t="s">
        <v>55</v>
      </c>
      <c r="D24">
        <v>3179.96</v>
      </c>
      <c r="E24">
        <v>0</v>
      </c>
    </row>
    <row r="25" spans="1:5" x14ac:dyDescent="0.2">
      <c r="A25" t="s">
        <v>32</v>
      </c>
      <c r="B25" t="s">
        <v>56</v>
      </c>
      <c r="C25" t="s">
        <v>57</v>
      </c>
      <c r="D25">
        <v>8480547</v>
      </c>
      <c r="E25">
        <v>6039841.5</v>
      </c>
    </row>
    <row r="26" spans="1:5" x14ac:dyDescent="0.2">
      <c r="A26" t="s">
        <v>35</v>
      </c>
      <c r="B26" t="s">
        <v>56</v>
      </c>
      <c r="C26" t="s">
        <v>57</v>
      </c>
      <c r="D26">
        <v>391817.66</v>
      </c>
      <c r="E26">
        <v>306256.84000000003</v>
      </c>
    </row>
    <row r="27" spans="1:5" x14ac:dyDescent="0.2">
      <c r="A27" t="s">
        <v>41</v>
      </c>
      <c r="B27" t="s">
        <v>56</v>
      </c>
      <c r="C27" t="s">
        <v>57</v>
      </c>
      <c r="D27">
        <v>30742.89</v>
      </c>
      <c r="E27">
        <v>30873.4</v>
      </c>
    </row>
    <row r="28" spans="1:5" x14ac:dyDescent="0.2">
      <c r="A28" t="s">
        <v>32</v>
      </c>
      <c r="B28" t="s">
        <v>58</v>
      </c>
      <c r="C28" t="s">
        <v>59</v>
      </c>
      <c r="D28">
        <v>58043156</v>
      </c>
      <c r="E28">
        <v>41465204</v>
      </c>
    </row>
    <row r="29" spans="1:5" x14ac:dyDescent="0.2">
      <c r="A29" t="s">
        <v>35</v>
      </c>
      <c r="B29" t="s">
        <v>58</v>
      </c>
      <c r="C29" t="s">
        <v>59</v>
      </c>
      <c r="D29">
        <v>5588761</v>
      </c>
      <c r="E29">
        <v>4182978.25</v>
      </c>
    </row>
    <row r="30" spans="1:5" x14ac:dyDescent="0.2">
      <c r="A30" t="s">
        <v>41</v>
      </c>
      <c r="B30" t="s">
        <v>58</v>
      </c>
      <c r="C30" t="s">
        <v>59</v>
      </c>
      <c r="D30">
        <v>2234334</v>
      </c>
      <c r="E30">
        <v>1771325.38</v>
      </c>
    </row>
    <row r="31" spans="1:5" x14ac:dyDescent="0.2">
      <c r="A31" t="s">
        <v>42</v>
      </c>
      <c r="B31" t="s">
        <v>58</v>
      </c>
      <c r="C31" t="s">
        <v>59</v>
      </c>
      <c r="D31">
        <v>149107.88</v>
      </c>
      <c r="E31">
        <v>130304.59</v>
      </c>
    </row>
    <row r="32" spans="1:5" x14ac:dyDescent="0.2">
      <c r="A32" t="s">
        <v>49</v>
      </c>
      <c r="B32" t="s">
        <v>58</v>
      </c>
      <c r="C32" t="s">
        <v>59</v>
      </c>
      <c r="D32">
        <v>7086.57</v>
      </c>
      <c r="E32">
        <v>14168.62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1E38-2A44-F44A-99D7-E586B00D4815}">
  <dimension ref="A1:E37"/>
  <sheetViews>
    <sheetView workbookViewId="0">
      <selection activeCell="G14" sqref="G14"/>
    </sheetView>
  </sheetViews>
  <sheetFormatPr baseColWidth="10" defaultColWidth="12" defaultRowHeight="16" x14ac:dyDescent="0.2"/>
  <cols>
    <col min="1" max="1" width="11.83203125" bestFit="1" customWidth="1"/>
    <col min="2" max="2" width="19" bestFit="1" customWidth="1"/>
    <col min="3" max="3" width="11.5" bestFit="1" customWidth="1"/>
    <col min="4" max="5" width="16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67</v>
      </c>
      <c r="E1" t="s">
        <v>68</v>
      </c>
    </row>
    <row r="2" spans="1:5" x14ac:dyDescent="0.2">
      <c r="A2" t="s">
        <v>32</v>
      </c>
      <c r="B2" t="s">
        <v>33</v>
      </c>
      <c r="C2" t="s">
        <v>34</v>
      </c>
      <c r="D2">
        <v>389070336</v>
      </c>
      <c r="E2">
        <v>417933728</v>
      </c>
    </row>
    <row r="3" spans="1:5" x14ac:dyDescent="0.2">
      <c r="A3" t="s">
        <v>35</v>
      </c>
      <c r="B3" t="s">
        <v>33</v>
      </c>
      <c r="C3" t="s">
        <v>34</v>
      </c>
      <c r="D3">
        <v>73877544</v>
      </c>
      <c r="E3">
        <v>79624360</v>
      </c>
    </row>
    <row r="4" spans="1:5" x14ac:dyDescent="0.2">
      <c r="A4" t="s">
        <v>36</v>
      </c>
      <c r="B4" t="s">
        <v>33</v>
      </c>
      <c r="C4" t="s">
        <v>34</v>
      </c>
      <c r="D4">
        <v>149128.32999999999</v>
      </c>
      <c r="E4">
        <v>233434.17</v>
      </c>
    </row>
    <row r="5" spans="1:5" x14ac:dyDescent="0.2">
      <c r="A5" t="s">
        <v>37</v>
      </c>
      <c r="B5" t="s">
        <v>33</v>
      </c>
      <c r="C5" t="s">
        <v>34</v>
      </c>
      <c r="D5">
        <v>760176.19</v>
      </c>
      <c r="E5">
        <v>739816.81</v>
      </c>
    </row>
    <row r="6" spans="1:5" x14ac:dyDescent="0.2">
      <c r="A6" t="s">
        <v>38</v>
      </c>
      <c r="B6" t="s">
        <v>33</v>
      </c>
      <c r="C6" t="s">
        <v>34</v>
      </c>
      <c r="D6">
        <v>11137742</v>
      </c>
      <c r="E6">
        <v>12802755</v>
      </c>
    </row>
    <row r="7" spans="1:5" x14ac:dyDescent="0.2">
      <c r="A7" t="s">
        <v>32</v>
      </c>
      <c r="B7" t="s">
        <v>47</v>
      </c>
      <c r="C7" t="s">
        <v>48</v>
      </c>
      <c r="D7">
        <v>99884280</v>
      </c>
      <c r="E7">
        <v>103337000</v>
      </c>
    </row>
    <row r="8" spans="1:5" x14ac:dyDescent="0.2">
      <c r="A8" t="s">
        <v>35</v>
      </c>
      <c r="B8" t="s">
        <v>47</v>
      </c>
      <c r="C8" t="s">
        <v>48</v>
      </c>
      <c r="D8">
        <v>13219481</v>
      </c>
      <c r="E8">
        <v>12194547</v>
      </c>
    </row>
    <row r="9" spans="1:5" x14ac:dyDescent="0.2">
      <c r="A9" t="s">
        <v>41</v>
      </c>
      <c r="B9" t="s">
        <v>47</v>
      </c>
      <c r="C9" t="s">
        <v>48</v>
      </c>
      <c r="D9">
        <v>2080443.62</v>
      </c>
      <c r="E9">
        <v>1606322.62</v>
      </c>
    </row>
    <row r="10" spans="1:5" x14ac:dyDescent="0.2">
      <c r="A10" t="s">
        <v>42</v>
      </c>
      <c r="B10" t="s">
        <v>47</v>
      </c>
      <c r="C10" t="s">
        <v>48</v>
      </c>
      <c r="D10">
        <v>155153.79999999999</v>
      </c>
      <c r="E10">
        <v>144909.84</v>
      </c>
    </row>
    <row r="11" spans="1:5" x14ac:dyDescent="0.2">
      <c r="A11" t="s">
        <v>32</v>
      </c>
      <c r="B11" t="s">
        <v>50</v>
      </c>
      <c r="C11" t="s">
        <v>51</v>
      </c>
      <c r="D11">
        <v>409892352</v>
      </c>
      <c r="E11">
        <v>291561440</v>
      </c>
    </row>
    <row r="12" spans="1:5" x14ac:dyDescent="0.2">
      <c r="A12" t="s">
        <v>35</v>
      </c>
      <c r="B12" t="s">
        <v>50</v>
      </c>
      <c r="C12" t="s">
        <v>51</v>
      </c>
      <c r="D12">
        <v>23597658</v>
      </c>
      <c r="E12">
        <v>16426485</v>
      </c>
    </row>
    <row r="13" spans="1:5" x14ac:dyDescent="0.2">
      <c r="A13" t="s">
        <v>41</v>
      </c>
      <c r="B13" t="s">
        <v>50</v>
      </c>
      <c r="C13" t="s">
        <v>51</v>
      </c>
      <c r="D13">
        <v>2546450</v>
      </c>
      <c r="E13">
        <v>1626967.38</v>
      </c>
    </row>
    <row r="14" spans="1:5" x14ac:dyDescent="0.2">
      <c r="A14" t="s">
        <v>42</v>
      </c>
      <c r="B14" t="s">
        <v>50</v>
      </c>
      <c r="C14" t="s">
        <v>51</v>
      </c>
      <c r="D14">
        <v>99655.13</v>
      </c>
      <c r="E14">
        <v>63954.03</v>
      </c>
    </row>
    <row r="15" spans="1:5" x14ac:dyDescent="0.2">
      <c r="A15" t="s">
        <v>32</v>
      </c>
      <c r="B15" t="s">
        <v>56</v>
      </c>
      <c r="C15" t="s">
        <v>57</v>
      </c>
      <c r="D15">
        <v>9688176</v>
      </c>
      <c r="E15">
        <v>6790816</v>
      </c>
    </row>
    <row r="16" spans="1:5" x14ac:dyDescent="0.2">
      <c r="A16" t="s">
        <v>35</v>
      </c>
      <c r="B16" t="s">
        <v>56</v>
      </c>
      <c r="C16" t="s">
        <v>57</v>
      </c>
      <c r="D16">
        <v>512407.75</v>
      </c>
      <c r="E16">
        <v>294985.65999999997</v>
      </c>
    </row>
    <row r="17" spans="1:5" x14ac:dyDescent="0.2">
      <c r="A17" t="s">
        <v>41</v>
      </c>
      <c r="B17" t="s">
        <v>56</v>
      </c>
      <c r="C17" t="s">
        <v>57</v>
      </c>
      <c r="D17">
        <v>41347.43</v>
      </c>
      <c r="E17">
        <v>16663.41</v>
      </c>
    </row>
    <row r="18" spans="1:5" x14ac:dyDescent="0.2">
      <c r="A18" t="s">
        <v>32</v>
      </c>
      <c r="B18" t="s">
        <v>52</v>
      </c>
      <c r="C18" t="s">
        <v>53</v>
      </c>
      <c r="D18">
        <v>14544271</v>
      </c>
      <c r="E18">
        <v>16915480</v>
      </c>
    </row>
    <row r="19" spans="1:5" x14ac:dyDescent="0.2">
      <c r="A19" t="s">
        <v>35</v>
      </c>
      <c r="B19" t="s">
        <v>52</v>
      </c>
      <c r="C19" t="s">
        <v>53</v>
      </c>
      <c r="D19">
        <v>573751</v>
      </c>
      <c r="E19">
        <v>746100.75</v>
      </c>
    </row>
    <row r="20" spans="1:5" x14ac:dyDescent="0.2">
      <c r="A20" t="s">
        <v>41</v>
      </c>
      <c r="B20" t="s">
        <v>52</v>
      </c>
      <c r="C20" t="s">
        <v>53</v>
      </c>
      <c r="D20">
        <v>481983.5</v>
      </c>
      <c r="E20">
        <v>311920.96999999997</v>
      </c>
    </row>
    <row r="21" spans="1:5" x14ac:dyDescent="0.2">
      <c r="A21" t="s">
        <v>49</v>
      </c>
      <c r="B21" t="s">
        <v>52</v>
      </c>
      <c r="C21" t="s">
        <v>53</v>
      </c>
      <c r="D21">
        <v>13409.03</v>
      </c>
      <c r="E21">
        <v>7074.23</v>
      </c>
    </row>
    <row r="22" spans="1:5" x14ac:dyDescent="0.2">
      <c r="A22" t="s">
        <v>32</v>
      </c>
      <c r="B22" t="s">
        <v>69</v>
      </c>
      <c r="C22" t="s">
        <v>70</v>
      </c>
      <c r="D22">
        <v>268504160</v>
      </c>
      <c r="E22">
        <v>234195392</v>
      </c>
    </row>
    <row r="23" spans="1:5" x14ac:dyDescent="0.2">
      <c r="A23" t="s">
        <v>35</v>
      </c>
      <c r="B23" t="s">
        <v>69</v>
      </c>
      <c r="C23" t="s">
        <v>70</v>
      </c>
      <c r="D23">
        <v>46146704</v>
      </c>
      <c r="E23">
        <v>41040236</v>
      </c>
    </row>
    <row r="24" spans="1:5" x14ac:dyDescent="0.2">
      <c r="A24" t="s">
        <v>41</v>
      </c>
      <c r="B24" t="s">
        <v>69</v>
      </c>
      <c r="C24" t="s">
        <v>70</v>
      </c>
      <c r="D24">
        <v>4151166</v>
      </c>
      <c r="E24">
        <v>3578708</v>
      </c>
    </row>
    <row r="25" spans="1:5" x14ac:dyDescent="0.2">
      <c r="A25" t="s">
        <v>42</v>
      </c>
      <c r="B25" t="s">
        <v>69</v>
      </c>
      <c r="C25" t="s">
        <v>70</v>
      </c>
      <c r="D25">
        <v>268279.19</v>
      </c>
      <c r="E25">
        <v>262267</v>
      </c>
    </row>
    <row r="26" spans="1:5" x14ac:dyDescent="0.2">
      <c r="A26" t="s">
        <v>49</v>
      </c>
      <c r="B26" t="s">
        <v>69</v>
      </c>
      <c r="C26" t="s">
        <v>70</v>
      </c>
      <c r="D26">
        <v>278749.71999999997</v>
      </c>
      <c r="E26">
        <v>187572.17</v>
      </c>
    </row>
    <row r="27" spans="1:5" x14ac:dyDescent="0.2">
      <c r="A27" t="s">
        <v>32</v>
      </c>
      <c r="B27" t="s">
        <v>71</v>
      </c>
      <c r="C27" t="s">
        <v>72</v>
      </c>
      <c r="D27">
        <v>342455584</v>
      </c>
      <c r="E27">
        <v>423957920</v>
      </c>
    </row>
    <row r="28" spans="1:5" x14ac:dyDescent="0.2">
      <c r="A28" t="s">
        <v>35</v>
      </c>
      <c r="B28" t="s">
        <v>71</v>
      </c>
      <c r="C28" t="s">
        <v>72</v>
      </c>
      <c r="D28">
        <v>65850292</v>
      </c>
      <c r="E28">
        <v>82578424</v>
      </c>
    </row>
    <row r="29" spans="1:5" x14ac:dyDescent="0.2">
      <c r="A29" t="s">
        <v>38</v>
      </c>
      <c r="B29" t="s">
        <v>71</v>
      </c>
      <c r="C29" t="s">
        <v>72</v>
      </c>
      <c r="D29">
        <v>36876.18</v>
      </c>
      <c r="E29">
        <v>59938.47</v>
      </c>
    </row>
    <row r="30" spans="1:5" x14ac:dyDescent="0.2">
      <c r="A30" t="s">
        <v>41</v>
      </c>
      <c r="B30" t="s">
        <v>71</v>
      </c>
      <c r="C30" t="s">
        <v>72</v>
      </c>
      <c r="D30">
        <v>6185754.5</v>
      </c>
      <c r="E30">
        <v>6390234.5</v>
      </c>
    </row>
    <row r="31" spans="1:5" x14ac:dyDescent="0.2">
      <c r="A31" t="s">
        <v>42</v>
      </c>
      <c r="B31" t="s">
        <v>71</v>
      </c>
      <c r="C31" t="s">
        <v>72</v>
      </c>
      <c r="D31">
        <v>99379.22</v>
      </c>
      <c r="E31">
        <v>260287.83</v>
      </c>
    </row>
    <row r="32" spans="1:5" x14ac:dyDescent="0.2">
      <c r="A32" t="s">
        <v>49</v>
      </c>
      <c r="B32" t="s">
        <v>71</v>
      </c>
      <c r="C32" t="s">
        <v>72</v>
      </c>
      <c r="D32">
        <v>46041.33</v>
      </c>
      <c r="E32">
        <v>0</v>
      </c>
    </row>
    <row r="33" spans="1:5" x14ac:dyDescent="0.2">
      <c r="A33" t="s">
        <v>32</v>
      </c>
      <c r="B33" t="s">
        <v>58</v>
      </c>
      <c r="C33" t="s">
        <v>59</v>
      </c>
      <c r="D33">
        <v>68618952</v>
      </c>
      <c r="E33">
        <v>53202868</v>
      </c>
    </row>
    <row r="34" spans="1:5" x14ac:dyDescent="0.2">
      <c r="A34" t="s">
        <v>35</v>
      </c>
      <c r="B34" t="s">
        <v>58</v>
      </c>
      <c r="C34" t="s">
        <v>59</v>
      </c>
      <c r="D34">
        <v>6551044.5</v>
      </c>
      <c r="E34">
        <v>4998624.5</v>
      </c>
    </row>
    <row r="35" spans="1:5" x14ac:dyDescent="0.2">
      <c r="A35" t="s">
        <v>41</v>
      </c>
      <c r="B35" t="s">
        <v>58</v>
      </c>
      <c r="C35" t="s">
        <v>59</v>
      </c>
      <c r="D35">
        <v>2470233.75</v>
      </c>
      <c r="E35">
        <v>1783048.88</v>
      </c>
    </row>
    <row r="36" spans="1:5" x14ac:dyDescent="0.2">
      <c r="A36" t="s">
        <v>42</v>
      </c>
      <c r="B36" t="s">
        <v>58</v>
      </c>
      <c r="C36" t="s">
        <v>59</v>
      </c>
      <c r="D36">
        <v>147506.35999999999</v>
      </c>
      <c r="E36">
        <v>119637.4</v>
      </c>
    </row>
    <row r="37" spans="1:5" x14ac:dyDescent="0.2">
      <c r="A37" t="s">
        <v>49</v>
      </c>
      <c r="B37" t="s">
        <v>58</v>
      </c>
      <c r="C37" t="s">
        <v>59</v>
      </c>
      <c r="D37">
        <v>21332.26</v>
      </c>
      <c r="E37">
        <v>18819.64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3AA0-AFCD-DE41-8A8C-D3A10A048C5A}">
  <dimension ref="A1:L32"/>
  <sheetViews>
    <sheetView zoomScale="137" workbookViewId="0">
      <selection activeCell="G30" sqref="G30"/>
    </sheetView>
  </sheetViews>
  <sheetFormatPr baseColWidth="10" defaultColWidth="11" defaultRowHeight="16" x14ac:dyDescent="0.2"/>
  <cols>
    <col min="1" max="1" width="11.83203125" bestFit="1" customWidth="1"/>
    <col min="2" max="2" width="19" bestFit="1" customWidth="1"/>
    <col min="3" max="3" width="10.1640625" bestFit="1" customWidth="1"/>
    <col min="4" max="12" width="12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 x14ac:dyDescent="0.2">
      <c r="A2" t="s">
        <v>32</v>
      </c>
      <c r="B2" t="s">
        <v>33</v>
      </c>
      <c r="C2" t="s">
        <v>34</v>
      </c>
      <c r="D2">
        <v>453344736</v>
      </c>
      <c r="E2">
        <v>357464416</v>
      </c>
      <c r="F2">
        <v>326076992</v>
      </c>
      <c r="G2">
        <v>463469152</v>
      </c>
      <c r="H2">
        <v>237294352</v>
      </c>
      <c r="I2">
        <v>438250336</v>
      </c>
      <c r="J2">
        <v>546795072</v>
      </c>
      <c r="K2">
        <v>541033728</v>
      </c>
      <c r="L2">
        <v>420326240</v>
      </c>
    </row>
    <row r="3" spans="1:12" x14ac:dyDescent="0.2">
      <c r="A3" t="s">
        <v>35</v>
      </c>
      <c r="B3" t="s">
        <v>33</v>
      </c>
      <c r="C3" t="s">
        <v>34</v>
      </c>
      <c r="D3">
        <v>86049320</v>
      </c>
      <c r="E3">
        <v>68111856</v>
      </c>
      <c r="F3">
        <v>62069504</v>
      </c>
      <c r="G3">
        <v>88906408</v>
      </c>
      <c r="H3">
        <v>45880420</v>
      </c>
      <c r="I3">
        <v>83339104</v>
      </c>
      <c r="J3">
        <v>104560408</v>
      </c>
      <c r="K3">
        <v>103229608</v>
      </c>
      <c r="L3">
        <v>80570584</v>
      </c>
    </row>
    <row r="4" spans="1:12" x14ac:dyDescent="0.2">
      <c r="A4" t="s">
        <v>36</v>
      </c>
      <c r="B4" t="s">
        <v>33</v>
      </c>
      <c r="C4" t="s">
        <v>34</v>
      </c>
      <c r="D4">
        <v>119648.41</v>
      </c>
      <c r="E4">
        <v>166220.54999999999</v>
      </c>
      <c r="F4">
        <v>10575.38</v>
      </c>
      <c r="G4">
        <v>414522.34</v>
      </c>
      <c r="H4">
        <v>121965.52</v>
      </c>
      <c r="I4">
        <v>147218.35999999999</v>
      </c>
      <c r="J4">
        <v>387416.84</v>
      </c>
      <c r="K4">
        <v>66019.789999999994</v>
      </c>
      <c r="L4">
        <v>88805.88</v>
      </c>
    </row>
    <row r="5" spans="1:12" x14ac:dyDescent="0.2">
      <c r="A5" t="s">
        <v>37</v>
      </c>
      <c r="B5" t="s">
        <v>33</v>
      </c>
      <c r="C5" t="s">
        <v>34</v>
      </c>
      <c r="D5">
        <v>431284.28</v>
      </c>
      <c r="E5">
        <v>361542.59</v>
      </c>
      <c r="F5">
        <v>575715.93999999994</v>
      </c>
      <c r="G5">
        <v>4002696.25</v>
      </c>
      <c r="H5">
        <v>302092.96999999997</v>
      </c>
      <c r="I5">
        <v>931764.19</v>
      </c>
      <c r="J5">
        <v>5436150</v>
      </c>
      <c r="K5">
        <v>348673.22</v>
      </c>
      <c r="L5">
        <v>429902.84</v>
      </c>
    </row>
    <row r="6" spans="1:12" x14ac:dyDescent="0.2">
      <c r="A6" t="s">
        <v>38</v>
      </c>
      <c r="B6" t="s">
        <v>33</v>
      </c>
      <c r="C6" t="s">
        <v>34</v>
      </c>
      <c r="D6">
        <v>7182830.5</v>
      </c>
      <c r="E6">
        <v>6565206.5</v>
      </c>
      <c r="F6">
        <v>8218465.5</v>
      </c>
      <c r="G6">
        <v>71462344</v>
      </c>
      <c r="H6">
        <v>5402850</v>
      </c>
      <c r="I6">
        <v>14993804</v>
      </c>
      <c r="J6">
        <v>87385320</v>
      </c>
      <c r="K6">
        <v>7674314.5</v>
      </c>
      <c r="L6">
        <v>7990158</v>
      </c>
    </row>
    <row r="7" spans="1:12" x14ac:dyDescent="0.2">
      <c r="A7" t="s">
        <v>32</v>
      </c>
      <c r="B7" t="s">
        <v>47</v>
      </c>
      <c r="C7" t="s">
        <v>48</v>
      </c>
      <c r="D7">
        <v>99660632</v>
      </c>
      <c r="E7">
        <v>126418368</v>
      </c>
      <c r="F7">
        <v>109120472</v>
      </c>
      <c r="G7">
        <v>105132520</v>
      </c>
      <c r="H7">
        <v>53995820</v>
      </c>
      <c r="I7">
        <v>107819496</v>
      </c>
      <c r="J7">
        <v>98843296</v>
      </c>
      <c r="K7">
        <v>104690392</v>
      </c>
      <c r="L7">
        <v>105085632</v>
      </c>
    </row>
    <row r="8" spans="1:12" x14ac:dyDescent="0.2">
      <c r="A8" t="s">
        <v>35</v>
      </c>
      <c r="B8" t="s">
        <v>47</v>
      </c>
      <c r="C8" t="s">
        <v>48</v>
      </c>
      <c r="D8">
        <v>10174464</v>
      </c>
      <c r="E8">
        <v>12116016</v>
      </c>
      <c r="F8">
        <v>10323963</v>
      </c>
      <c r="G8">
        <v>13090871</v>
      </c>
      <c r="H8">
        <v>5338150.5</v>
      </c>
      <c r="I8">
        <v>12045849</v>
      </c>
      <c r="J8">
        <v>14186744</v>
      </c>
      <c r="K8">
        <v>11171512</v>
      </c>
      <c r="L8">
        <v>11526611</v>
      </c>
    </row>
    <row r="9" spans="1:12" x14ac:dyDescent="0.2">
      <c r="A9" t="s">
        <v>41</v>
      </c>
      <c r="B9" t="s">
        <v>47</v>
      </c>
      <c r="C9" t="s">
        <v>48</v>
      </c>
      <c r="D9">
        <v>844075.31</v>
      </c>
      <c r="E9">
        <v>918238.06</v>
      </c>
      <c r="F9">
        <v>786187.06</v>
      </c>
      <c r="G9">
        <v>1741687.62</v>
      </c>
      <c r="H9">
        <v>529427.06000000006</v>
      </c>
      <c r="I9">
        <v>1326244.6200000001</v>
      </c>
      <c r="J9">
        <v>2581390</v>
      </c>
      <c r="K9">
        <v>1023677.5</v>
      </c>
      <c r="L9">
        <v>1125922.1200000001</v>
      </c>
    </row>
    <row r="10" spans="1:12" x14ac:dyDescent="0.2">
      <c r="A10" t="s">
        <v>42</v>
      </c>
      <c r="B10" t="s">
        <v>47</v>
      </c>
      <c r="C10" t="s">
        <v>48</v>
      </c>
      <c r="D10">
        <v>54775.29</v>
      </c>
      <c r="E10">
        <v>21917.21</v>
      </c>
      <c r="F10">
        <v>43845.919999999998</v>
      </c>
      <c r="G10">
        <v>122343.22</v>
      </c>
      <c r="H10">
        <v>17089.759999999998</v>
      </c>
      <c r="I10">
        <v>80522.87</v>
      </c>
      <c r="J10">
        <v>265099.84000000003</v>
      </c>
      <c r="K10">
        <v>74370.12</v>
      </c>
      <c r="L10">
        <v>78303.990000000005</v>
      </c>
    </row>
    <row r="11" spans="1:12" x14ac:dyDescent="0.2">
      <c r="A11" t="s">
        <v>49</v>
      </c>
      <c r="B11" t="s">
        <v>47</v>
      </c>
      <c r="C11" t="s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8671.64</v>
      </c>
    </row>
    <row r="12" spans="1:12" x14ac:dyDescent="0.2">
      <c r="A12" t="s">
        <v>32</v>
      </c>
      <c r="B12" t="s">
        <v>50</v>
      </c>
      <c r="C12" t="s">
        <v>51</v>
      </c>
      <c r="D12">
        <v>391073888</v>
      </c>
      <c r="E12">
        <v>332420608</v>
      </c>
      <c r="F12">
        <v>209167664</v>
      </c>
      <c r="G12">
        <v>289911616</v>
      </c>
      <c r="H12">
        <v>156184128</v>
      </c>
      <c r="I12">
        <v>395709280</v>
      </c>
      <c r="J12">
        <v>322395040</v>
      </c>
      <c r="K12">
        <v>365801856</v>
      </c>
      <c r="L12">
        <v>414397088</v>
      </c>
    </row>
    <row r="13" spans="1:12" x14ac:dyDescent="0.2">
      <c r="A13" t="s">
        <v>35</v>
      </c>
      <c r="B13" t="s">
        <v>50</v>
      </c>
      <c r="C13" t="s">
        <v>51</v>
      </c>
      <c r="D13">
        <v>20848398</v>
      </c>
      <c r="E13">
        <v>16216229</v>
      </c>
      <c r="F13">
        <v>10214796</v>
      </c>
      <c r="G13">
        <v>16434560</v>
      </c>
      <c r="H13">
        <v>7422706.5</v>
      </c>
      <c r="I13">
        <v>20562590</v>
      </c>
      <c r="J13">
        <v>19267088</v>
      </c>
      <c r="K13">
        <v>19248064</v>
      </c>
      <c r="L13">
        <v>22678302</v>
      </c>
    </row>
    <row r="14" spans="1:12" x14ac:dyDescent="0.2">
      <c r="A14" t="s">
        <v>41</v>
      </c>
      <c r="B14" t="s">
        <v>50</v>
      </c>
      <c r="C14" t="s">
        <v>51</v>
      </c>
      <c r="D14">
        <v>1736132.38</v>
      </c>
      <c r="E14">
        <v>1137501.1200000001</v>
      </c>
      <c r="F14">
        <v>617007.75</v>
      </c>
      <c r="G14">
        <v>1799007.5</v>
      </c>
      <c r="H14">
        <v>471978.75</v>
      </c>
      <c r="I14">
        <v>1717917</v>
      </c>
      <c r="J14">
        <v>2349044.75</v>
      </c>
      <c r="K14">
        <v>1549201</v>
      </c>
      <c r="L14">
        <v>2109173</v>
      </c>
    </row>
    <row r="15" spans="1:12" x14ac:dyDescent="0.2">
      <c r="A15" t="s">
        <v>42</v>
      </c>
      <c r="B15" t="s">
        <v>50</v>
      </c>
      <c r="C15" t="s">
        <v>51</v>
      </c>
      <c r="D15">
        <v>46779.95</v>
      </c>
      <c r="E15">
        <v>0</v>
      </c>
      <c r="F15">
        <v>9025.61</v>
      </c>
      <c r="G15">
        <v>39674.400000000001</v>
      </c>
      <c r="H15">
        <v>4906.47</v>
      </c>
      <c r="I15">
        <v>27685.279999999999</v>
      </c>
      <c r="J15">
        <v>96685.82</v>
      </c>
      <c r="K15">
        <v>22101.25</v>
      </c>
      <c r="L15">
        <v>82873.460000000006</v>
      </c>
    </row>
    <row r="16" spans="1:12" x14ac:dyDescent="0.2">
      <c r="A16" t="s">
        <v>32</v>
      </c>
      <c r="B16" t="s">
        <v>52</v>
      </c>
      <c r="C16" t="s">
        <v>53</v>
      </c>
      <c r="D16">
        <v>24697162</v>
      </c>
      <c r="E16">
        <v>22726114</v>
      </c>
      <c r="F16">
        <v>14925860</v>
      </c>
      <c r="G16">
        <v>11770992</v>
      </c>
      <c r="H16">
        <v>7329801.5</v>
      </c>
      <c r="I16">
        <v>19132770</v>
      </c>
      <c r="J16">
        <v>18412966</v>
      </c>
      <c r="K16">
        <v>24839014</v>
      </c>
      <c r="L16">
        <v>17482862</v>
      </c>
    </row>
    <row r="17" spans="1:12" x14ac:dyDescent="0.2">
      <c r="A17" t="s">
        <v>35</v>
      </c>
      <c r="B17" t="s">
        <v>52</v>
      </c>
      <c r="C17" t="s">
        <v>53</v>
      </c>
      <c r="D17">
        <v>1072466.8799999999</v>
      </c>
      <c r="E17">
        <v>981904.31</v>
      </c>
      <c r="F17">
        <v>668377.68999999994</v>
      </c>
      <c r="G17">
        <v>558175.5</v>
      </c>
      <c r="H17">
        <v>281346.28000000003</v>
      </c>
      <c r="I17">
        <v>738787.19</v>
      </c>
      <c r="J17">
        <v>847583.19</v>
      </c>
      <c r="K17">
        <v>1189947.1200000001</v>
      </c>
      <c r="L17">
        <v>726163.19</v>
      </c>
    </row>
    <row r="18" spans="1:12" x14ac:dyDescent="0.2">
      <c r="A18" t="s">
        <v>41</v>
      </c>
      <c r="B18" t="s">
        <v>52</v>
      </c>
      <c r="C18" t="s">
        <v>53</v>
      </c>
      <c r="D18">
        <v>377855.28</v>
      </c>
      <c r="E18">
        <v>223044.95</v>
      </c>
      <c r="F18">
        <v>216907.42</v>
      </c>
      <c r="G18">
        <v>770394.69</v>
      </c>
      <c r="H18">
        <v>90948.46</v>
      </c>
      <c r="I18">
        <v>281271.34000000003</v>
      </c>
      <c r="J18">
        <v>1891070.12</v>
      </c>
      <c r="K18">
        <v>256293.69</v>
      </c>
      <c r="L18">
        <v>215855.25</v>
      </c>
    </row>
    <row r="19" spans="1:12" x14ac:dyDescent="0.2">
      <c r="A19" t="s">
        <v>42</v>
      </c>
      <c r="B19" t="s">
        <v>52</v>
      </c>
      <c r="C19" t="s">
        <v>53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56616.46</v>
      </c>
      <c r="K19">
        <v>0</v>
      </c>
      <c r="L19">
        <v>0</v>
      </c>
    </row>
    <row r="20" spans="1:12" x14ac:dyDescent="0.2">
      <c r="A20" t="s">
        <v>49</v>
      </c>
      <c r="B20" t="s">
        <v>52</v>
      </c>
      <c r="C20" t="s">
        <v>53</v>
      </c>
      <c r="D20">
        <v>0</v>
      </c>
      <c r="E20">
        <v>0</v>
      </c>
      <c r="F20">
        <v>0</v>
      </c>
      <c r="G20">
        <v>19395.73</v>
      </c>
      <c r="H20">
        <v>0</v>
      </c>
      <c r="I20">
        <v>0</v>
      </c>
      <c r="J20">
        <v>73620.649999999994</v>
      </c>
      <c r="K20">
        <v>0</v>
      </c>
      <c r="L20">
        <v>0</v>
      </c>
    </row>
    <row r="21" spans="1:12" x14ac:dyDescent="0.2">
      <c r="A21" t="s">
        <v>32</v>
      </c>
      <c r="B21" t="s">
        <v>54</v>
      </c>
      <c r="C21" t="s">
        <v>55</v>
      </c>
      <c r="D21">
        <v>1988165.12</v>
      </c>
      <c r="E21">
        <v>1565112.88</v>
      </c>
      <c r="F21">
        <v>1599341.88</v>
      </c>
      <c r="G21">
        <v>2242854.25</v>
      </c>
      <c r="H21">
        <v>563822.62</v>
      </c>
      <c r="I21">
        <v>1830632.38</v>
      </c>
      <c r="J21">
        <v>1662065</v>
      </c>
      <c r="K21">
        <v>1192326.8799999999</v>
      </c>
      <c r="L21">
        <v>2262539.5</v>
      </c>
    </row>
    <row r="22" spans="1:12" x14ac:dyDescent="0.2">
      <c r="A22" t="s">
        <v>35</v>
      </c>
      <c r="B22" t="s">
        <v>54</v>
      </c>
      <c r="C22" t="s">
        <v>55</v>
      </c>
      <c r="D22">
        <v>130793.19</v>
      </c>
      <c r="E22">
        <v>107577.54</v>
      </c>
      <c r="F22">
        <v>93652.28</v>
      </c>
      <c r="G22">
        <v>194430.62</v>
      </c>
      <c r="H22">
        <v>34246.449999999997</v>
      </c>
      <c r="I22">
        <v>137008.57999999999</v>
      </c>
      <c r="J22">
        <v>135221.19</v>
      </c>
      <c r="K22">
        <v>79909.91</v>
      </c>
      <c r="L22">
        <v>145004.85999999999</v>
      </c>
    </row>
    <row r="23" spans="1:12" x14ac:dyDescent="0.2">
      <c r="A23" t="s">
        <v>41</v>
      </c>
      <c r="B23" t="s">
        <v>54</v>
      </c>
      <c r="C23" t="s">
        <v>55</v>
      </c>
      <c r="D23">
        <v>22823.87</v>
      </c>
      <c r="E23">
        <v>12518.17</v>
      </c>
      <c r="F23">
        <v>9609.0300000000007</v>
      </c>
      <c r="G23">
        <v>58187.75</v>
      </c>
      <c r="H23">
        <v>2426.9</v>
      </c>
      <c r="I23">
        <v>21932.99</v>
      </c>
      <c r="J23">
        <v>54261.43</v>
      </c>
      <c r="K23">
        <v>15870.45</v>
      </c>
      <c r="L23">
        <v>18893.61</v>
      </c>
    </row>
    <row r="24" spans="1:12" x14ac:dyDescent="0.2">
      <c r="A24" t="s">
        <v>42</v>
      </c>
      <c r="B24" t="s">
        <v>54</v>
      </c>
      <c r="C24" t="s">
        <v>55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 t="s">
        <v>32</v>
      </c>
      <c r="B25" t="s">
        <v>56</v>
      </c>
      <c r="C25" t="s">
        <v>57</v>
      </c>
      <c r="D25">
        <v>11933420</v>
      </c>
      <c r="E25">
        <v>8277882.5</v>
      </c>
      <c r="F25">
        <v>7723160.5</v>
      </c>
      <c r="G25">
        <v>7372820</v>
      </c>
      <c r="H25">
        <v>4037860.25</v>
      </c>
      <c r="I25">
        <v>8163148.5</v>
      </c>
      <c r="J25">
        <v>8157037.5</v>
      </c>
      <c r="K25">
        <v>7183768.5</v>
      </c>
      <c r="L25">
        <v>8807737</v>
      </c>
    </row>
    <row r="26" spans="1:12" x14ac:dyDescent="0.2">
      <c r="A26" t="s">
        <v>35</v>
      </c>
      <c r="B26" t="s">
        <v>56</v>
      </c>
      <c r="C26" t="s">
        <v>57</v>
      </c>
      <c r="D26">
        <v>502105.28</v>
      </c>
      <c r="E26">
        <v>377568.66</v>
      </c>
      <c r="F26">
        <v>319537.46999999997</v>
      </c>
      <c r="G26">
        <v>275260.12</v>
      </c>
      <c r="H26">
        <v>149317.64000000001</v>
      </c>
      <c r="I26">
        <v>358810.41</v>
      </c>
      <c r="J26">
        <v>425280.12</v>
      </c>
      <c r="K26">
        <v>390312.47</v>
      </c>
      <c r="L26">
        <v>435377.25</v>
      </c>
    </row>
    <row r="27" spans="1:12" x14ac:dyDescent="0.2">
      <c r="A27" t="s">
        <v>41</v>
      </c>
      <c r="B27" t="s">
        <v>56</v>
      </c>
      <c r="C27" t="s">
        <v>57</v>
      </c>
      <c r="D27">
        <v>28741.21</v>
      </c>
      <c r="E27">
        <v>16117</v>
      </c>
      <c r="F27">
        <v>7338.84</v>
      </c>
      <c r="G27">
        <v>16031.78</v>
      </c>
      <c r="H27">
        <v>7694.29</v>
      </c>
      <c r="I27">
        <v>15791.46</v>
      </c>
      <c r="J27">
        <v>23253.75</v>
      </c>
      <c r="K27">
        <v>16688.7</v>
      </c>
      <c r="L27">
        <v>27534.29</v>
      </c>
    </row>
    <row r="28" spans="1:12" x14ac:dyDescent="0.2">
      <c r="A28" t="s">
        <v>32</v>
      </c>
      <c r="B28" t="s">
        <v>58</v>
      </c>
      <c r="C28" t="s">
        <v>59</v>
      </c>
      <c r="D28">
        <v>72258520</v>
      </c>
      <c r="E28">
        <v>54159356</v>
      </c>
      <c r="F28">
        <v>70016864</v>
      </c>
      <c r="G28">
        <v>56737156</v>
      </c>
      <c r="H28">
        <v>29670682</v>
      </c>
      <c r="I28">
        <v>63714596</v>
      </c>
      <c r="J28">
        <v>61294048</v>
      </c>
      <c r="K28">
        <v>54852640</v>
      </c>
      <c r="L28">
        <v>56083700</v>
      </c>
    </row>
    <row r="29" spans="1:12" x14ac:dyDescent="0.2">
      <c r="A29" t="s">
        <v>35</v>
      </c>
      <c r="B29" t="s">
        <v>58</v>
      </c>
      <c r="C29" t="s">
        <v>59</v>
      </c>
      <c r="D29">
        <v>5926194</v>
      </c>
      <c r="E29">
        <v>4140087.75</v>
      </c>
      <c r="F29">
        <v>5424001</v>
      </c>
      <c r="G29">
        <v>5424244</v>
      </c>
      <c r="H29">
        <v>2387573.75</v>
      </c>
      <c r="I29">
        <v>5527270</v>
      </c>
      <c r="J29">
        <v>5911192</v>
      </c>
      <c r="K29">
        <v>4585087.5</v>
      </c>
      <c r="L29">
        <v>4921276.5</v>
      </c>
    </row>
    <row r="30" spans="1:12" x14ac:dyDescent="0.2">
      <c r="A30" t="s">
        <v>41</v>
      </c>
      <c r="B30" t="s">
        <v>58</v>
      </c>
      <c r="C30" t="s">
        <v>59</v>
      </c>
      <c r="D30">
        <v>1445493.5</v>
      </c>
      <c r="E30">
        <v>912897.25</v>
      </c>
      <c r="F30">
        <v>1091521.6200000001</v>
      </c>
      <c r="G30">
        <v>2118500.75</v>
      </c>
      <c r="H30">
        <v>589247.06000000006</v>
      </c>
      <c r="I30">
        <v>1454587.38</v>
      </c>
      <c r="J30">
        <v>2667016.5</v>
      </c>
      <c r="K30">
        <v>1182294.6200000001</v>
      </c>
      <c r="L30">
        <v>1357759.12</v>
      </c>
    </row>
    <row r="31" spans="1:12" x14ac:dyDescent="0.2">
      <c r="A31" t="s">
        <v>42</v>
      </c>
      <c r="B31" t="s">
        <v>58</v>
      </c>
      <c r="C31" t="s">
        <v>59</v>
      </c>
      <c r="D31">
        <v>67011.12</v>
      </c>
      <c r="E31">
        <v>43633.61</v>
      </c>
      <c r="F31">
        <v>55148.67</v>
      </c>
      <c r="G31">
        <v>130542.85</v>
      </c>
      <c r="H31">
        <v>31582.22</v>
      </c>
      <c r="I31">
        <v>87360.13</v>
      </c>
      <c r="J31">
        <v>176244.36</v>
      </c>
      <c r="K31">
        <v>64508.01</v>
      </c>
      <c r="L31">
        <v>87221.91</v>
      </c>
    </row>
    <row r="32" spans="1:12" x14ac:dyDescent="0.2">
      <c r="A32" t="s">
        <v>49</v>
      </c>
      <c r="B32" t="s">
        <v>58</v>
      </c>
      <c r="C32" t="s">
        <v>59</v>
      </c>
      <c r="D32">
        <v>0</v>
      </c>
      <c r="E32">
        <v>0</v>
      </c>
      <c r="F32">
        <v>0</v>
      </c>
      <c r="G32">
        <v>8970.9599999999991</v>
      </c>
      <c r="H32">
        <v>0</v>
      </c>
      <c r="I32">
        <v>7154.78</v>
      </c>
      <c r="J32">
        <v>21909.82</v>
      </c>
      <c r="K32">
        <v>0</v>
      </c>
      <c r="L3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2A51-6B0D-CC44-A770-0EF1B2AA48A8}">
  <dimension ref="A1:L11"/>
  <sheetViews>
    <sheetView zoomScale="134" workbookViewId="0">
      <selection activeCell="G15" sqref="G15"/>
    </sheetView>
  </sheetViews>
  <sheetFormatPr baseColWidth="10" defaultColWidth="11" defaultRowHeight="16" x14ac:dyDescent="0.2"/>
  <cols>
    <col min="1" max="1" width="11.83203125" bestFit="1" customWidth="1"/>
    <col min="2" max="2" width="19" bestFit="1" customWidth="1"/>
    <col min="3" max="3" width="10.1640625" bestFit="1" customWidth="1"/>
    <col min="4" max="10" width="11.1640625" bestFit="1" customWidth="1"/>
    <col min="11" max="11" width="10.6640625" bestFit="1" customWidth="1"/>
    <col min="12" max="12" width="11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32</v>
      </c>
      <c r="B2" t="s">
        <v>39</v>
      </c>
      <c r="C2" t="s">
        <v>40</v>
      </c>
      <c r="D2">
        <v>108689704</v>
      </c>
      <c r="E2">
        <v>100745408</v>
      </c>
      <c r="F2">
        <v>95237304</v>
      </c>
      <c r="G2">
        <v>141045376</v>
      </c>
      <c r="H2">
        <v>82082920</v>
      </c>
      <c r="I2">
        <v>144924736</v>
      </c>
      <c r="J2">
        <v>176221632</v>
      </c>
      <c r="K2">
        <v>155306928</v>
      </c>
      <c r="L2">
        <v>144993216</v>
      </c>
    </row>
    <row r="3" spans="1:12" x14ac:dyDescent="0.2">
      <c r="A3" t="s">
        <v>35</v>
      </c>
      <c r="B3" t="s">
        <v>39</v>
      </c>
      <c r="C3" t="s">
        <v>40</v>
      </c>
      <c r="D3">
        <v>6517637.5</v>
      </c>
      <c r="E3">
        <v>6156016</v>
      </c>
      <c r="F3">
        <v>6521301.5</v>
      </c>
      <c r="G3">
        <v>12505097</v>
      </c>
      <c r="H3">
        <v>5174322</v>
      </c>
      <c r="I3">
        <v>9939048</v>
      </c>
      <c r="J3">
        <v>17663484</v>
      </c>
      <c r="K3">
        <v>10374349</v>
      </c>
      <c r="L3">
        <v>9710596</v>
      </c>
    </row>
    <row r="4" spans="1:12" x14ac:dyDescent="0.2">
      <c r="A4" t="s">
        <v>41</v>
      </c>
      <c r="B4" t="s">
        <v>39</v>
      </c>
      <c r="C4" t="s">
        <v>40</v>
      </c>
      <c r="D4">
        <v>517943.91</v>
      </c>
      <c r="E4">
        <v>378131.5</v>
      </c>
      <c r="F4">
        <v>466611.75</v>
      </c>
      <c r="G4">
        <v>2227038.75</v>
      </c>
      <c r="H4">
        <v>388872.47</v>
      </c>
      <c r="I4">
        <v>819987.69</v>
      </c>
      <c r="J4">
        <v>3500915.25</v>
      </c>
      <c r="K4">
        <v>773084.31</v>
      </c>
      <c r="L4">
        <v>716235.5</v>
      </c>
    </row>
    <row r="5" spans="1:12" x14ac:dyDescent="0.2">
      <c r="A5" t="s">
        <v>42</v>
      </c>
      <c r="B5" t="s">
        <v>39</v>
      </c>
      <c r="C5" t="s">
        <v>40</v>
      </c>
      <c r="D5">
        <v>10229.24</v>
      </c>
      <c r="E5">
        <v>0</v>
      </c>
      <c r="F5">
        <v>23525.82</v>
      </c>
      <c r="G5">
        <v>106614</v>
      </c>
      <c r="H5">
        <v>17298.759999999998</v>
      </c>
      <c r="I5">
        <v>27001.57</v>
      </c>
      <c r="J5">
        <v>185537.55</v>
      </c>
      <c r="K5">
        <v>31244.62</v>
      </c>
      <c r="L5">
        <v>35559.08</v>
      </c>
    </row>
    <row r="6" spans="1:12" x14ac:dyDescent="0.2">
      <c r="A6" t="s">
        <v>32</v>
      </c>
      <c r="B6" t="s">
        <v>43</v>
      </c>
      <c r="C6" t="s">
        <v>44</v>
      </c>
      <c r="D6">
        <v>76416640</v>
      </c>
      <c r="E6">
        <v>68729640</v>
      </c>
      <c r="F6">
        <v>79213832</v>
      </c>
      <c r="G6">
        <v>101921560</v>
      </c>
      <c r="H6">
        <v>50474060</v>
      </c>
      <c r="I6">
        <v>87347920</v>
      </c>
      <c r="J6">
        <v>89282440</v>
      </c>
      <c r="K6">
        <v>83010264</v>
      </c>
      <c r="L6">
        <v>69677832</v>
      </c>
    </row>
    <row r="7" spans="1:12" x14ac:dyDescent="0.2">
      <c r="A7" t="s">
        <v>35</v>
      </c>
      <c r="B7" t="s">
        <v>43</v>
      </c>
      <c r="C7" t="s">
        <v>44</v>
      </c>
      <c r="D7">
        <v>4726032.5</v>
      </c>
      <c r="E7">
        <v>3863320</v>
      </c>
      <c r="F7">
        <v>4753459.5</v>
      </c>
      <c r="G7">
        <v>8799310</v>
      </c>
      <c r="H7">
        <v>3087258.25</v>
      </c>
      <c r="I7">
        <v>5696838</v>
      </c>
      <c r="J7">
        <v>8345582.5</v>
      </c>
      <c r="K7">
        <v>5231213</v>
      </c>
      <c r="L7">
        <v>4389613.5</v>
      </c>
    </row>
    <row r="8" spans="1:12" x14ac:dyDescent="0.2">
      <c r="A8" t="s">
        <v>41</v>
      </c>
      <c r="B8" t="s">
        <v>43</v>
      </c>
      <c r="C8" t="s">
        <v>44</v>
      </c>
      <c r="D8">
        <v>577808.68999999994</v>
      </c>
      <c r="E8">
        <v>356659.5</v>
      </c>
      <c r="F8">
        <v>528621.06000000006</v>
      </c>
      <c r="G8">
        <v>2734148.75</v>
      </c>
      <c r="H8">
        <v>446864.03</v>
      </c>
      <c r="I8">
        <v>731052.94</v>
      </c>
      <c r="J8">
        <v>2933872</v>
      </c>
      <c r="K8">
        <v>593478.43999999994</v>
      </c>
      <c r="L8">
        <v>534086.06000000006</v>
      </c>
    </row>
    <row r="9" spans="1:12" x14ac:dyDescent="0.2">
      <c r="A9" t="s">
        <v>42</v>
      </c>
      <c r="B9" t="s">
        <v>43</v>
      </c>
      <c r="C9" t="s">
        <v>44</v>
      </c>
      <c r="D9">
        <v>24109.19</v>
      </c>
      <c r="E9">
        <v>12167.12</v>
      </c>
      <c r="F9">
        <v>26424.400000000001</v>
      </c>
      <c r="G9">
        <v>153939.79999999999</v>
      </c>
      <c r="H9">
        <v>16633.900000000001</v>
      </c>
      <c r="I9">
        <v>28620.45</v>
      </c>
      <c r="J9">
        <v>156311.35999999999</v>
      </c>
      <c r="K9">
        <v>22300.35</v>
      </c>
      <c r="L9">
        <v>22212.58</v>
      </c>
    </row>
    <row r="10" spans="1:12" x14ac:dyDescent="0.2">
      <c r="A10" t="s">
        <v>32</v>
      </c>
      <c r="B10" t="s">
        <v>45</v>
      </c>
      <c r="C10" t="s">
        <v>46</v>
      </c>
      <c r="D10">
        <v>618242.31000000006</v>
      </c>
      <c r="E10">
        <v>601866.75</v>
      </c>
      <c r="F10">
        <v>205674.08</v>
      </c>
      <c r="G10">
        <v>579644.62</v>
      </c>
      <c r="H10">
        <v>272911.56</v>
      </c>
      <c r="I10">
        <v>306287.25</v>
      </c>
      <c r="J10">
        <v>371454.75</v>
      </c>
      <c r="K10">
        <v>332850.34000000003</v>
      </c>
      <c r="L10">
        <v>373083.59</v>
      </c>
    </row>
    <row r="11" spans="1:12" x14ac:dyDescent="0.2">
      <c r="A11" t="s">
        <v>35</v>
      </c>
      <c r="B11" t="s">
        <v>45</v>
      </c>
      <c r="C11" t="s">
        <v>46</v>
      </c>
      <c r="D11">
        <v>44144.09</v>
      </c>
      <c r="E11">
        <v>37475.68</v>
      </c>
      <c r="F11">
        <v>13759.23</v>
      </c>
      <c r="G11">
        <v>55765.22</v>
      </c>
      <c r="H11">
        <v>14992.99</v>
      </c>
      <c r="I11">
        <v>25749.35</v>
      </c>
      <c r="J11">
        <v>26951.81</v>
      </c>
      <c r="K11">
        <v>31301.5</v>
      </c>
      <c r="L11">
        <v>24723.3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F92D-ABE2-434E-9381-81FEEF3983CC}">
  <dimension ref="A1:L7"/>
  <sheetViews>
    <sheetView workbookViewId="0">
      <selection activeCell="L2" sqref="A2:L7"/>
    </sheetView>
  </sheetViews>
  <sheetFormatPr baseColWidth="10" defaultRowHeight="16" x14ac:dyDescent="0.2"/>
  <sheetData>
    <row r="1" spans="1:12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</row>
    <row r="2" spans="1:12" x14ac:dyDescent="0.2">
      <c r="A2" s="14" t="s">
        <v>32</v>
      </c>
      <c r="B2" s="14" t="s">
        <v>33</v>
      </c>
      <c r="C2" s="14" t="s">
        <v>34</v>
      </c>
      <c r="D2" s="14">
        <v>9382123</v>
      </c>
      <c r="E2" s="14">
        <v>8189636.5</v>
      </c>
      <c r="F2" s="14">
        <v>13830656</v>
      </c>
      <c r="G2" s="14">
        <v>17404450</v>
      </c>
      <c r="H2" s="14">
        <v>12048172</v>
      </c>
      <c r="I2" s="14">
        <v>24840882</v>
      </c>
      <c r="J2" s="14">
        <v>21390064</v>
      </c>
      <c r="K2" s="14">
        <v>13743153</v>
      </c>
      <c r="L2" s="14">
        <v>10305718</v>
      </c>
    </row>
    <row r="3" spans="1:12" x14ac:dyDescent="0.2">
      <c r="A3" s="14" t="s">
        <v>35</v>
      </c>
      <c r="B3" s="14" t="s">
        <v>33</v>
      </c>
      <c r="C3" s="14" t="s">
        <v>34</v>
      </c>
      <c r="D3" s="14">
        <v>1645781.62</v>
      </c>
      <c r="E3" s="14">
        <v>1466826.38</v>
      </c>
      <c r="F3" s="14">
        <v>2465863.25</v>
      </c>
      <c r="G3" s="14">
        <v>3191001.25</v>
      </c>
      <c r="H3" s="14">
        <v>2193899.25</v>
      </c>
      <c r="I3" s="14">
        <v>4631714.5</v>
      </c>
      <c r="J3" s="14">
        <v>4013439.75</v>
      </c>
      <c r="K3" s="14">
        <v>2462002</v>
      </c>
      <c r="L3" s="14">
        <v>1734284.38</v>
      </c>
    </row>
    <row r="4" spans="1:12" x14ac:dyDescent="0.2">
      <c r="A4" s="14" t="s">
        <v>36</v>
      </c>
      <c r="B4" s="14" t="s">
        <v>33</v>
      </c>
      <c r="C4" s="14" t="s">
        <v>34</v>
      </c>
      <c r="D4" s="14">
        <v>9847.85</v>
      </c>
      <c r="E4" s="14">
        <v>0</v>
      </c>
      <c r="F4" s="14">
        <v>0</v>
      </c>
      <c r="G4" s="14">
        <v>46521.75</v>
      </c>
      <c r="H4" s="14">
        <v>3492.97</v>
      </c>
      <c r="I4" s="14">
        <v>13774.23</v>
      </c>
      <c r="J4" s="14">
        <v>39531.769999999997</v>
      </c>
      <c r="K4" s="14">
        <v>0</v>
      </c>
      <c r="L4" s="14">
        <v>6730.54</v>
      </c>
    </row>
    <row r="5" spans="1:12" x14ac:dyDescent="0.2">
      <c r="A5" s="14" t="s">
        <v>37</v>
      </c>
      <c r="B5" s="14" t="s">
        <v>33</v>
      </c>
      <c r="C5" s="14" t="s">
        <v>34</v>
      </c>
      <c r="D5" s="14">
        <v>11185.35</v>
      </c>
      <c r="E5" s="14">
        <v>28494.48</v>
      </c>
      <c r="F5" s="14">
        <v>33522.120000000003</v>
      </c>
      <c r="G5" s="14">
        <v>136620.81</v>
      </c>
      <c r="H5" s="14">
        <v>39372.44</v>
      </c>
      <c r="I5" s="14">
        <v>86553.07</v>
      </c>
      <c r="J5" s="14">
        <v>129231.84</v>
      </c>
      <c r="K5" s="14">
        <v>33239.83</v>
      </c>
      <c r="L5" s="14">
        <v>20854.689999999999</v>
      </c>
    </row>
    <row r="6" spans="1:12" x14ac:dyDescent="0.2">
      <c r="A6" s="14" t="s">
        <v>38</v>
      </c>
      <c r="B6" s="14" t="s">
        <v>33</v>
      </c>
      <c r="C6" s="14" t="s">
        <v>34</v>
      </c>
      <c r="D6" s="14">
        <v>416481.03</v>
      </c>
      <c r="E6" s="14">
        <v>318136.88</v>
      </c>
      <c r="F6" s="14">
        <v>589941.5</v>
      </c>
      <c r="G6" s="14">
        <v>2106212.25</v>
      </c>
      <c r="H6" s="14">
        <v>641473.06000000006</v>
      </c>
      <c r="I6" s="14">
        <v>1287164.1200000001</v>
      </c>
      <c r="J6" s="14">
        <v>3465542.25</v>
      </c>
      <c r="K6" s="14">
        <v>559322.31000000006</v>
      </c>
      <c r="L6" s="14">
        <v>555968.25</v>
      </c>
    </row>
    <row r="7" spans="1:12" x14ac:dyDescent="0.2">
      <c r="A7" s="14" t="s">
        <v>41</v>
      </c>
      <c r="B7" s="14" t="s">
        <v>33</v>
      </c>
      <c r="C7" s="14" t="s">
        <v>34</v>
      </c>
      <c r="D7" s="14">
        <v>119743.29</v>
      </c>
      <c r="E7" s="14">
        <v>10096.11</v>
      </c>
      <c r="F7" s="14">
        <v>34831.4</v>
      </c>
      <c r="G7" s="14">
        <v>0</v>
      </c>
      <c r="H7" s="14">
        <v>0</v>
      </c>
      <c r="I7" s="14">
        <v>56898.33</v>
      </c>
      <c r="J7" s="14">
        <v>166160.89000000001</v>
      </c>
      <c r="K7" s="14">
        <v>79630.66</v>
      </c>
      <c r="L7" s="14">
        <v>16623.32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37F0-8CE2-D040-A266-8B8CC214615B}">
  <dimension ref="A1:L6"/>
  <sheetViews>
    <sheetView workbookViewId="0">
      <selection activeCell="H17" sqref="H17"/>
    </sheetView>
  </sheetViews>
  <sheetFormatPr baseColWidth="10" defaultColWidth="12" defaultRowHeight="16" x14ac:dyDescent="0.2"/>
  <cols>
    <col min="1" max="1" width="11.83203125" bestFit="1" customWidth="1"/>
    <col min="2" max="2" width="9.6640625" bestFit="1" customWidth="1"/>
    <col min="3" max="3" width="10.1640625" bestFit="1" customWidth="1"/>
    <col min="4" max="12" width="14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2">
      <c r="A2" t="s">
        <v>32</v>
      </c>
      <c r="B2" t="s">
        <v>60</v>
      </c>
      <c r="C2" t="s">
        <v>34</v>
      </c>
      <c r="D2" s="1">
        <v>847331520</v>
      </c>
      <c r="E2" s="1">
        <v>918686208</v>
      </c>
      <c r="F2" s="1">
        <v>896571328</v>
      </c>
      <c r="G2" s="1">
        <v>565982400</v>
      </c>
      <c r="H2" s="1">
        <v>508872352</v>
      </c>
      <c r="I2" s="1">
        <v>865589824</v>
      </c>
      <c r="J2" s="1">
        <v>739591488</v>
      </c>
      <c r="K2" s="1">
        <v>806604032</v>
      </c>
      <c r="L2" s="1">
        <v>927288640</v>
      </c>
    </row>
    <row r="3" spans="1:12" x14ac:dyDescent="0.2">
      <c r="A3" t="s">
        <v>35</v>
      </c>
      <c r="B3" t="s">
        <v>60</v>
      </c>
      <c r="C3" t="s">
        <v>34</v>
      </c>
      <c r="D3" s="1">
        <v>158854320</v>
      </c>
      <c r="E3" s="1">
        <v>176599936</v>
      </c>
      <c r="F3" s="1">
        <v>172227072</v>
      </c>
      <c r="G3" s="1">
        <v>107802424</v>
      </c>
      <c r="H3" s="1">
        <v>119203416</v>
      </c>
      <c r="I3" s="1">
        <v>163440976</v>
      </c>
      <c r="J3" s="1">
        <v>141742944</v>
      </c>
      <c r="K3" s="1">
        <v>153242496</v>
      </c>
      <c r="L3" s="1">
        <v>175926800</v>
      </c>
    </row>
    <row r="4" spans="1:12" x14ac:dyDescent="0.2">
      <c r="A4" t="s">
        <v>36</v>
      </c>
      <c r="B4" t="s">
        <v>60</v>
      </c>
      <c r="C4" t="s">
        <v>34</v>
      </c>
      <c r="D4" s="1">
        <v>1455554</v>
      </c>
      <c r="E4" s="1">
        <v>1395576.5</v>
      </c>
      <c r="F4" s="1">
        <v>1561834.38</v>
      </c>
      <c r="G4" s="1">
        <v>1384902.5</v>
      </c>
      <c r="H4" s="1">
        <v>1364977.88</v>
      </c>
      <c r="I4" s="1">
        <v>1557664.38</v>
      </c>
      <c r="J4" s="1">
        <v>679128.44</v>
      </c>
      <c r="K4" s="1">
        <v>794453.69</v>
      </c>
      <c r="L4" s="1">
        <v>2143290.25</v>
      </c>
    </row>
    <row r="5" spans="1:12" x14ac:dyDescent="0.2">
      <c r="A5" t="s">
        <v>37</v>
      </c>
      <c r="B5" t="s">
        <v>60</v>
      </c>
      <c r="C5" t="s">
        <v>34</v>
      </c>
      <c r="D5" s="1">
        <v>3732450</v>
      </c>
      <c r="E5" s="1">
        <v>3647960.75</v>
      </c>
      <c r="F5" s="1">
        <v>3747826</v>
      </c>
      <c r="G5" s="1">
        <v>4159603</v>
      </c>
      <c r="H5" s="1">
        <v>3240356</v>
      </c>
      <c r="I5" s="1">
        <v>3878188.75</v>
      </c>
      <c r="J5" s="1">
        <v>4363250.5</v>
      </c>
      <c r="K5" s="1">
        <v>3039935.75</v>
      </c>
      <c r="L5" s="1">
        <v>4043679</v>
      </c>
    </row>
    <row r="6" spans="1:12" ht="17" customHeight="1" x14ac:dyDescent="0.2">
      <c r="A6" t="s">
        <v>38</v>
      </c>
      <c r="B6" t="s">
        <v>60</v>
      </c>
      <c r="C6" t="s">
        <v>34</v>
      </c>
      <c r="D6" s="1">
        <v>52359892</v>
      </c>
      <c r="E6" s="1">
        <v>59664060</v>
      </c>
      <c r="F6" s="1">
        <v>66075884</v>
      </c>
      <c r="G6" s="1">
        <v>65419300</v>
      </c>
      <c r="H6" s="1">
        <v>53239180</v>
      </c>
      <c r="I6" s="1">
        <v>60026448</v>
      </c>
      <c r="J6" s="1">
        <v>73769080</v>
      </c>
      <c r="K6" s="1">
        <v>49700684</v>
      </c>
      <c r="L6" s="1">
        <v>73212632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AB11-8AF7-334A-928D-AD7D6C5F355E}">
  <dimension ref="A1:D32"/>
  <sheetViews>
    <sheetView topLeftCell="A15" zoomScale="300" workbookViewId="0">
      <selection activeCell="C2" sqref="C2"/>
    </sheetView>
  </sheetViews>
  <sheetFormatPr baseColWidth="10" defaultRowHeight="16" x14ac:dyDescent="0.2"/>
  <cols>
    <col min="1" max="1" width="16.5" bestFit="1" customWidth="1"/>
    <col min="2" max="2" width="11.6640625" bestFit="1" customWidth="1"/>
    <col min="4" max="4" width="11.6640625" style="6" bestFit="1" customWidth="1"/>
  </cols>
  <sheetData>
    <row r="1" spans="1:4" x14ac:dyDescent="0.2">
      <c r="A1" s="9" t="s">
        <v>61</v>
      </c>
      <c r="B1" s="9" t="s">
        <v>62</v>
      </c>
      <c r="C1" s="9" t="s">
        <v>63</v>
      </c>
      <c r="D1" s="10" t="s">
        <v>75</v>
      </c>
    </row>
    <row r="2" spans="1:4" x14ac:dyDescent="0.2">
      <c r="A2" s="2" t="s">
        <v>67</v>
      </c>
      <c r="B2" s="4">
        <v>0.69444444444444442</v>
      </c>
      <c r="C2" s="4">
        <v>0.71527777777777779</v>
      </c>
      <c r="D2" s="11">
        <f>(C2-B2)*24</f>
        <v>0.50000000000000089</v>
      </c>
    </row>
    <row r="3" spans="1:4" x14ac:dyDescent="0.2">
      <c r="A3" s="2" t="s">
        <v>68</v>
      </c>
      <c r="B3" s="4">
        <v>0.6958333333333333</v>
      </c>
      <c r="C3" s="4">
        <v>0.71736111111111112</v>
      </c>
      <c r="D3" s="11">
        <f>(C3-B3)*24</f>
        <v>0.5166666666666675</v>
      </c>
    </row>
    <row r="4" spans="1:4" x14ac:dyDescent="0.2">
      <c r="A4" s="2" t="s">
        <v>21</v>
      </c>
      <c r="B4" s="4">
        <v>0.70763888888888893</v>
      </c>
      <c r="C4" s="4">
        <v>0.72083333333333333</v>
      </c>
      <c r="D4" s="11">
        <f>(C4-B4)*24</f>
        <v>0.31666666666666554</v>
      </c>
    </row>
    <row r="5" spans="1:4" ht="17" thickBot="1" x14ac:dyDescent="0.25">
      <c r="A5" s="12" t="s">
        <v>22</v>
      </c>
      <c r="B5" s="8">
        <v>0.70972222222222225</v>
      </c>
      <c r="C5" s="8">
        <v>0.72013888888888888</v>
      </c>
      <c r="D5" s="13">
        <f>(C5-B5)*24</f>
        <v>0.24999999999999911</v>
      </c>
    </row>
    <row r="6" spans="1:4" x14ac:dyDescent="0.2">
      <c r="A6" s="2" t="s">
        <v>23</v>
      </c>
      <c r="B6" s="4">
        <v>0.69444444444444442</v>
      </c>
      <c r="C6" s="4">
        <v>0.77777777777777779</v>
      </c>
      <c r="D6" s="11">
        <f t="shared" ref="D6:D32" si="0">(C6-B6)*24</f>
        <v>2.0000000000000009</v>
      </c>
    </row>
    <row r="7" spans="1:4" x14ac:dyDescent="0.2">
      <c r="A7" s="2" t="s">
        <v>24</v>
      </c>
      <c r="B7" s="4">
        <v>0.6958333333333333</v>
      </c>
      <c r="C7" s="4">
        <v>0.78263888888888888</v>
      </c>
      <c r="D7" s="11">
        <f t="shared" si="0"/>
        <v>2.0833333333333339</v>
      </c>
    </row>
    <row r="8" spans="1:4" x14ac:dyDescent="0.2">
      <c r="A8" s="2" t="s">
        <v>25</v>
      </c>
      <c r="B8" s="4">
        <v>0.69791666666666663</v>
      </c>
      <c r="C8" s="4">
        <v>0.78680555555555554</v>
      </c>
      <c r="D8" s="11">
        <f t="shared" si="0"/>
        <v>2.1333333333333337</v>
      </c>
    </row>
    <row r="9" spans="1:4" x14ac:dyDescent="0.2">
      <c r="A9" s="2" t="s">
        <v>26</v>
      </c>
      <c r="B9" s="4">
        <v>0.7</v>
      </c>
      <c r="C9" s="4">
        <v>0.7</v>
      </c>
      <c r="D9" s="11">
        <f t="shared" si="0"/>
        <v>0</v>
      </c>
    </row>
    <row r="10" spans="1:4" x14ac:dyDescent="0.2">
      <c r="A10" s="2" t="s">
        <v>27</v>
      </c>
      <c r="B10" s="4">
        <v>0.70208333333333328</v>
      </c>
      <c r="C10" s="4">
        <v>0.76736111111111116</v>
      </c>
      <c r="D10" s="11">
        <f t="shared" si="0"/>
        <v>1.5666666666666691</v>
      </c>
    </row>
    <row r="11" spans="1:4" x14ac:dyDescent="0.2">
      <c r="A11" s="2" t="s">
        <v>28</v>
      </c>
      <c r="B11" s="4">
        <v>0.70416666666666672</v>
      </c>
      <c r="C11" s="4">
        <v>0.74861111111111112</v>
      </c>
      <c r="D11" s="11">
        <f t="shared" si="0"/>
        <v>1.0666666666666655</v>
      </c>
    </row>
    <row r="12" spans="1:4" x14ac:dyDescent="0.2">
      <c r="A12" s="2" t="s">
        <v>29</v>
      </c>
      <c r="B12" s="4">
        <v>0.70625000000000004</v>
      </c>
      <c r="C12" s="4">
        <v>0.70625000000000004</v>
      </c>
      <c r="D12" s="11">
        <f t="shared" si="0"/>
        <v>0</v>
      </c>
    </row>
    <row r="13" spans="1:4" x14ac:dyDescent="0.2">
      <c r="A13" s="2" t="s">
        <v>30</v>
      </c>
      <c r="B13" s="4">
        <v>0.70763888888888893</v>
      </c>
      <c r="C13" s="4">
        <v>0.75486111111111109</v>
      </c>
      <c r="D13" s="11">
        <f t="shared" si="0"/>
        <v>1.133333333333332</v>
      </c>
    </row>
    <row r="14" spans="1:4" ht="17" thickBot="1" x14ac:dyDescent="0.25">
      <c r="A14" s="12" t="s">
        <v>31</v>
      </c>
      <c r="B14" s="8">
        <v>0.70972222222222225</v>
      </c>
      <c r="C14" s="8">
        <v>0.76041666666666663</v>
      </c>
      <c r="D14" s="13">
        <f t="shared" si="0"/>
        <v>1.216666666666665</v>
      </c>
    </row>
    <row r="15" spans="1:4" x14ac:dyDescent="0.2">
      <c r="A15" s="2" t="s">
        <v>3</v>
      </c>
      <c r="B15" s="4">
        <v>0.69444444444444442</v>
      </c>
      <c r="C15" s="4">
        <v>0.77777777777777779</v>
      </c>
      <c r="D15" s="11">
        <f t="shared" si="0"/>
        <v>2.0000000000000009</v>
      </c>
    </row>
    <row r="16" spans="1:4" x14ac:dyDescent="0.2">
      <c r="A16" s="2" t="s">
        <v>4</v>
      </c>
      <c r="B16" s="4">
        <v>0.6958333333333333</v>
      </c>
      <c r="C16" s="4">
        <v>0.78263888888888888</v>
      </c>
      <c r="D16" s="11">
        <f t="shared" si="0"/>
        <v>2.0833333333333339</v>
      </c>
    </row>
    <row r="17" spans="1:4" x14ac:dyDescent="0.2">
      <c r="A17" s="2" t="s">
        <v>5</v>
      </c>
      <c r="B17" s="4">
        <v>0.69791666666666663</v>
      </c>
      <c r="C17" s="4">
        <v>0.78680555555555554</v>
      </c>
      <c r="D17" s="11">
        <f t="shared" si="0"/>
        <v>2.1333333333333337</v>
      </c>
    </row>
    <row r="18" spans="1:4" x14ac:dyDescent="0.2">
      <c r="A18" s="2" t="s">
        <v>6</v>
      </c>
      <c r="B18" s="4">
        <v>0.7</v>
      </c>
      <c r="C18" s="4">
        <v>0.7</v>
      </c>
      <c r="D18" s="11">
        <f t="shared" si="0"/>
        <v>0</v>
      </c>
    </row>
    <row r="19" spans="1:4" x14ac:dyDescent="0.2">
      <c r="A19" s="2" t="s">
        <v>7</v>
      </c>
      <c r="B19" s="4">
        <v>0.70208333333333328</v>
      </c>
      <c r="C19" s="4">
        <v>0.76736111111111116</v>
      </c>
      <c r="D19" s="11">
        <f t="shared" si="0"/>
        <v>1.5666666666666691</v>
      </c>
    </row>
    <row r="20" spans="1:4" x14ac:dyDescent="0.2">
      <c r="A20" s="2" t="s">
        <v>8</v>
      </c>
      <c r="B20" s="4">
        <v>0.70416666666666672</v>
      </c>
      <c r="C20" s="4">
        <v>0.74861111111111112</v>
      </c>
      <c r="D20" s="11">
        <f t="shared" si="0"/>
        <v>1.0666666666666655</v>
      </c>
    </row>
    <row r="21" spans="1:4" x14ac:dyDescent="0.2">
      <c r="A21" s="2" t="s">
        <v>9</v>
      </c>
      <c r="B21" s="4">
        <v>0.70625000000000004</v>
      </c>
      <c r="C21" s="4">
        <v>0.70625000000000004</v>
      </c>
      <c r="D21" s="11">
        <f t="shared" si="0"/>
        <v>0</v>
      </c>
    </row>
    <row r="22" spans="1:4" x14ac:dyDescent="0.2">
      <c r="A22" s="2" t="s">
        <v>10</v>
      </c>
      <c r="B22" s="4">
        <v>0.70763888888888893</v>
      </c>
      <c r="C22" s="4">
        <v>0.75486111111111109</v>
      </c>
      <c r="D22" s="11">
        <f t="shared" si="0"/>
        <v>1.133333333333332</v>
      </c>
    </row>
    <row r="23" spans="1:4" ht="17" thickBot="1" x14ac:dyDescent="0.25">
      <c r="A23" s="12" t="s">
        <v>11</v>
      </c>
      <c r="B23" s="8">
        <v>0.70972222222222225</v>
      </c>
      <c r="C23" s="8">
        <v>0.76041666666666663</v>
      </c>
      <c r="D23" s="13">
        <f t="shared" si="0"/>
        <v>1.216666666666665</v>
      </c>
    </row>
    <row r="24" spans="1:4" x14ac:dyDescent="0.2">
      <c r="A24" s="2" t="s">
        <v>12</v>
      </c>
      <c r="B24" s="4">
        <v>0.69444444444444442</v>
      </c>
      <c r="C24" s="4">
        <v>0.77777777777777779</v>
      </c>
      <c r="D24" s="11">
        <f t="shared" si="0"/>
        <v>2.0000000000000009</v>
      </c>
    </row>
    <row r="25" spans="1:4" x14ac:dyDescent="0.2">
      <c r="A25" s="2" t="s">
        <v>13</v>
      </c>
      <c r="B25" s="4">
        <v>0.6958333333333333</v>
      </c>
      <c r="C25" s="4">
        <v>0.78263888888888888</v>
      </c>
      <c r="D25" s="11">
        <f t="shared" si="0"/>
        <v>2.0833333333333339</v>
      </c>
    </row>
    <row r="26" spans="1:4" x14ac:dyDescent="0.2">
      <c r="A26" s="2" t="s">
        <v>14</v>
      </c>
      <c r="B26" s="4">
        <v>0.69791666666666663</v>
      </c>
      <c r="C26" s="4">
        <v>0.78680555555555554</v>
      </c>
      <c r="D26" s="11">
        <f t="shared" si="0"/>
        <v>2.1333333333333337</v>
      </c>
    </row>
    <row r="27" spans="1:4" x14ac:dyDescent="0.2">
      <c r="A27" s="2" t="s">
        <v>15</v>
      </c>
      <c r="B27" s="4">
        <v>0.7</v>
      </c>
      <c r="C27" s="4">
        <v>0.7</v>
      </c>
      <c r="D27" s="11">
        <f t="shared" si="0"/>
        <v>0</v>
      </c>
    </row>
    <row r="28" spans="1:4" x14ac:dyDescent="0.2">
      <c r="A28" s="2" t="s">
        <v>16</v>
      </c>
      <c r="B28" s="4">
        <v>0.70208333333333328</v>
      </c>
      <c r="C28" s="4">
        <v>0.76736111111111116</v>
      </c>
      <c r="D28" s="11">
        <f t="shared" si="0"/>
        <v>1.5666666666666691</v>
      </c>
    </row>
    <row r="29" spans="1:4" x14ac:dyDescent="0.2">
      <c r="A29" s="2" t="s">
        <v>17</v>
      </c>
      <c r="B29" s="4">
        <v>0.70416666666666672</v>
      </c>
      <c r="C29" s="4">
        <v>0.74861111111111112</v>
      </c>
      <c r="D29" s="11">
        <f t="shared" si="0"/>
        <v>1.0666666666666655</v>
      </c>
    </row>
    <row r="30" spans="1:4" x14ac:dyDescent="0.2">
      <c r="A30" s="2" t="s">
        <v>18</v>
      </c>
      <c r="B30" s="4">
        <v>0.70625000000000004</v>
      </c>
      <c r="C30" s="4">
        <v>0.70625000000000004</v>
      </c>
      <c r="D30" s="11">
        <f t="shared" si="0"/>
        <v>0</v>
      </c>
    </row>
    <row r="31" spans="1:4" x14ac:dyDescent="0.2">
      <c r="A31" s="2" t="s">
        <v>19</v>
      </c>
      <c r="B31" s="4">
        <v>0.70763888888888893</v>
      </c>
      <c r="C31" s="4">
        <v>0.75486111111111109</v>
      </c>
      <c r="D31" s="11">
        <f t="shared" si="0"/>
        <v>1.133333333333332</v>
      </c>
    </row>
    <row r="32" spans="1:4" x14ac:dyDescent="0.2">
      <c r="A32" s="2" t="s">
        <v>20</v>
      </c>
      <c r="B32" s="4">
        <v>0.70972222222222225</v>
      </c>
      <c r="C32" s="4">
        <v>0.76041666666666663</v>
      </c>
      <c r="D32" s="11">
        <f t="shared" si="0"/>
        <v>1.216666666666665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928D-63E1-8744-83C2-4E62DA9C5DB7}">
  <dimension ref="A1:F10"/>
  <sheetViews>
    <sheetView tabSelected="1" zoomScale="245" workbookViewId="0">
      <selection activeCell="D8" sqref="D8"/>
    </sheetView>
  </sheetViews>
  <sheetFormatPr baseColWidth="10" defaultRowHeight="16" x14ac:dyDescent="0.2"/>
  <cols>
    <col min="1" max="1" width="6.5" bestFit="1" customWidth="1"/>
    <col min="2" max="2" width="22.6640625" bestFit="1" customWidth="1"/>
    <col min="5" max="6" width="14.33203125" bestFit="1" customWidth="1"/>
  </cols>
  <sheetData>
    <row r="1" spans="1:6" x14ac:dyDescent="0.2">
      <c r="A1" s="2" t="s">
        <v>64</v>
      </c>
      <c r="B1" s="2" t="s">
        <v>73</v>
      </c>
      <c r="C1" s="2" t="s">
        <v>62</v>
      </c>
      <c r="D1" s="2" t="s">
        <v>65</v>
      </c>
      <c r="E1" s="2" t="s">
        <v>66</v>
      </c>
      <c r="F1" s="2" t="s">
        <v>74</v>
      </c>
    </row>
    <row r="2" spans="1:6" x14ac:dyDescent="0.2">
      <c r="A2" s="2">
        <v>1</v>
      </c>
      <c r="B2" s="3">
        <v>0.3611111111111111</v>
      </c>
      <c r="C2" s="4">
        <v>0.69444444444444442</v>
      </c>
      <c r="D2">
        <v>25.3</v>
      </c>
      <c r="E2" s="7">
        <f>(C2-B2)*24</f>
        <v>8</v>
      </c>
      <c r="F2" s="5">
        <v>0.77777777777777779</v>
      </c>
    </row>
    <row r="3" spans="1:6" x14ac:dyDescent="0.2">
      <c r="A3" s="2">
        <v>2</v>
      </c>
      <c r="B3" s="3">
        <v>0.36249999999999999</v>
      </c>
      <c r="C3" s="4">
        <v>0.6958333333333333</v>
      </c>
      <c r="E3" s="7">
        <f t="shared" ref="E3:E10" si="0">(C3-B3)*24</f>
        <v>8</v>
      </c>
      <c r="F3" s="5">
        <v>0.78263888888888888</v>
      </c>
    </row>
    <row r="4" spans="1:6" x14ac:dyDescent="0.2">
      <c r="A4" s="2">
        <v>3</v>
      </c>
      <c r="B4" s="3">
        <v>0.36458333333333331</v>
      </c>
      <c r="C4" s="4">
        <v>0.69791666666666663</v>
      </c>
      <c r="D4">
        <v>27.6</v>
      </c>
      <c r="E4" s="7">
        <f t="shared" si="0"/>
        <v>8</v>
      </c>
      <c r="F4" s="5">
        <v>0.78680555555555554</v>
      </c>
    </row>
    <row r="5" spans="1:6" x14ac:dyDescent="0.2">
      <c r="A5" s="2">
        <v>4</v>
      </c>
      <c r="B5" s="3">
        <v>0.36666666666666664</v>
      </c>
      <c r="C5" s="4">
        <v>0.7</v>
      </c>
      <c r="E5" s="7">
        <f t="shared" si="0"/>
        <v>8</v>
      </c>
      <c r="F5" s="5">
        <v>0.7</v>
      </c>
    </row>
    <row r="6" spans="1:6" x14ac:dyDescent="0.2">
      <c r="A6" s="2">
        <v>5</v>
      </c>
      <c r="B6" s="3">
        <v>0.36875000000000002</v>
      </c>
      <c r="C6" s="4">
        <v>0.70208333333333328</v>
      </c>
      <c r="D6">
        <v>26.8</v>
      </c>
      <c r="E6" s="7">
        <f t="shared" si="0"/>
        <v>7.9999999999999982</v>
      </c>
      <c r="F6" s="5">
        <v>0.76736111111111116</v>
      </c>
    </row>
    <row r="7" spans="1:6" x14ac:dyDescent="0.2">
      <c r="A7" s="2">
        <v>6</v>
      </c>
      <c r="B7" s="3">
        <v>0.37083333333333335</v>
      </c>
      <c r="C7" s="4">
        <v>0.70416666666666672</v>
      </c>
      <c r="D7">
        <v>28.1</v>
      </c>
      <c r="E7" s="7">
        <f t="shared" si="0"/>
        <v>8</v>
      </c>
      <c r="F7" s="5">
        <v>0.74861111111111112</v>
      </c>
    </row>
    <row r="8" spans="1:6" x14ac:dyDescent="0.2">
      <c r="A8" s="2">
        <v>7</v>
      </c>
      <c r="B8" s="3">
        <v>0.37291666666666667</v>
      </c>
      <c r="C8" s="4">
        <v>0.70625000000000004</v>
      </c>
      <c r="D8">
        <v>26</v>
      </c>
      <c r="E8" s="7">
        <f t="shared" si="0"/>
        <v>8</v>
      </c>
      <c r="F8" s="5">
        <v>0.70625000000000004</v>
      </c>
    </row>
    <row r="9" spans="1:6" x14ac:dyDescent="0.2">
      <c r="A9" s="2">
        <v>8</v>
      </c>
      <c r="B9" s="3">
        <v>0.37430555555555556</v>
      </c>
      <c r="C9" s="4">
        <v>0.70763888888888893</v>
      </c>
      <c r="D9">
        <v>26.9</v>
      </c>
      <c r="E9" s="7">
        <f t="shared" si="0"/>
        <v>8</v>
      </c>
      <c r="F9" s="5">
        <v>0.75486111111111109</v>
      </c>
    </row>
    <row r="10" spans="1:6" x14ac:dyDescent="0.2">
      <c r="A10" s="2">
        <v>9</v>
      </c>
      <c r="B10" s="3">
        <v>0.37638888888888888</v>
      </c>
      <c r="C10" s="4">
        <v>0.70972222222222225</v>
      </c>
      <c r="D10">
        <v>25.4</v>
      </c>
      <c r="E10" s="7">
        <f t="shared" si="0"/>
        <v>8</v>
      </c>
      <c r="F10" s="5">
        <v>0.76041666666666663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chase_serum_middle_point</vt:lpstr>
      <vt:lpstr>chase_serum_middle_point_2</vt:lpstr>
      <vt:lpstr>chase_serum_SAC</vt:lpstr>
      <vt:lpstr>liver_Free_Metabolites_SAC</vt:lpstr>
      <vt:lpstr>others</vt:lpstr>
      <vt:lpstr>liver_TAG_SAC</vt:lpstr>
      <vt:lpstr>sample.id</vt:lpstr>
      <vt:lpstr>mouse.id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2025-09-23T23:55:03Z</dcterms:created>
  <dcterms:modified xsi:type="dcterms:W3CDTF">2026-07-04T18:56:50Z</dcterms:modified>
</cp:coreProperties>
</file>