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iver TAG tracing kinetics/Pulse Fasted/"/>
    </mc:Choice>
  </mc:AlternateContent>
  <xr:revisionPtr revIDLastSave="0" documentId="13_ncr:1_{7145E3A5-B261-9948-99FE-E439F43E39AF}" xr6:coauthVersionLast="47" xr6:coauthVersionMax="47" xr10:uidLastSave="{00000000-0000-0000-0000-000000000000}"/>
  <bookViews>
    <workbookView xWindow="0" yWindow="0" windowWidth="38400" windowHeight="21600" activeTab="4" xr2:uid="{70BBE4BA-43EB-F24B-B15C-735083EDD70E}"/>
  </bookViews>
  <sheets>
    <sheet name="serum" sheetId="1" r:id="rId1"/>
    <sheet name="serum_2" sheetId="6" r:id="rId2"/>
    <sheet name="liver TAG saponified" sheetId="5" r:id="rId3"/>
    <sheet name="liver TCA" sheetId="4" r:id="rId4"/>
    <sheet name="sampleID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F18" i="2"/>
  <c r="F17" i="2"/>
  <c r="F16" i="2"/>
  <c r="F15" i="2"/>
  <c r="F14" i="2"/>
  <c r="F13" i="2"/>
  <c r="F12" i="2"/>
  <c r="F11" i="2"/>
  <c r="F3" i="2"/>
  <c r="F4" i="2"/>
  <c r="F5" i="2"/>
  <c r="F6" i="2"/>
  <c r="F7" i="2"/>
  <c r="F8" i="2"/>
  <c r="F9" i="2"/>
  <c r="F10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tc={935C5F67-D2CC-D040-9A76-18BAFF6A7CA9}</author>
  </authors>
  <commentList>
    <comment ref="D1" authorId="0" shapeId="0" xr:uid="{935C5F67-D2CC-D040-9A76-18BAFF6A7CA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incorrectly named as MID in the Sep15 run.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tc={81C8D666-64A6-B745-A88B-979BF7E99462}</author>
    <author>tc={ED3DE675-5882-5E4D-8020-D00034AB3A10}</author>
  </authors>
  <commentList>
    <comment ref="C8" authorId="0" shapeId="0" xr:uid="{81C8D666-64A6-B745-A88B-979BF7E99462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serious leaking from the red pinport found at the end of the infusion!!</t>
      </text>
    </comment>
    <comment ref="C20" authorId="1" shapeId="0" xr:uid="{ED3DE675-5882-5E4D-8020-D00034AB3A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line is marking the time = 0 and labeling = 0 origin point in the plots. </t>
      </text>
    </comment>
  </commentList>
</comments>
</file>

<file path=xl/sharedStrings.xml><?xml version="1.0" encoding="utf-8"?>
<sst xmlns="http://schemas.openxmlformats.org/spreadsheetml/2006/main" count="347" uniqueCount="97">
  <si>
    <t>isotopeLabel</t>
  </si>
  <si>
    <t>compound</t>
  </si>
  <si>
    <t>formula</t>
  </si>
  <si>
    <t>serum_A</t>
  </si>
  <si>
    <t>serum_B</t>
  </si>
  <si>
    <t>serum_C</t>
  </si>
  <si>
    <t>serum_D</t>
  </si>
  <si>
    <t>serum_E</t>
  </si>
  <si>
    <t>serum_G</t>
  </si>
  <si>
    <t>serum_H</t>
  </si>
  <si>
    <t>serum_I</t>
  </si>
  <si>
    <t>C12 PARENT</t>
  </si>
  <si>
    <t>C4H6O5</t>
  </si>
  <si>
    <t>C13-label-1</t>
  </si>
  <si>
    <t>C13-label-2</t>
  </si>
  <si>
    <t>C13-label-3</t>
  </si>
  <si>
    <t>C4H6O4</t>
  </si>
  <si>
    <t>C6H12O6</t>
  </si>
  <si>
    <t>C13-label-4</t>
  </si>
  <si>
    <t>C3H6O3</t>
  </si>
  <si>
    <t>C18:2</t>
  </si>
  <si>
    <t>C18H32O2</t>
  </si>
  <si>
    <t>C13-label-16</t>
  </si>
  <si>
    <t>C13-label-17</t>
  </si>
  <si>
    <t>C13-label-18</t>
  </si>
  <si>
    <t>C13-label-5</t>
  </si>
  <si>
    <t>mouse</t>
  </si>
  <si>
    <t>start time</t>
  </si>
  <si>
    <t>end time</t>
  </si>
  <si>
    <t>vol infused (uL)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</si>
  <si>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</si>
  <si>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</si>
  <si>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</si>
  <si>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</si>
  <si>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</si>
  <si>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</si>
  <si>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</si>
  <si>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</si>
  <si>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</si>
  <si>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time (h)</t>
  </si>
  <si>
    <t>body mass (g)</t>
  </si>
  <si>
    <t>inf. rate (uL/min)</t>
  </si>
  <si>
    <t>Malate</t>
  </si>
  <si>
    <t>Succinic acid</t>
  </si>
  <si>
    <t>Lactate</t>
  </si>
  <si>
    <t>Glucose</t>
  </si>
  <si>
    <t>J</t>
  </si>
  <si>
    <t>K</t>
  </si>
  <si>
    <t>L</t>
  </si>
  <si>
    <t>M</t>
  </si>
  <si>
    <t>N</t>
  </si>
  <si>
    <t>serum_J</t>
  </si>
  <si>
    <t>serum_K</t>
  </si>
  <si>
    <t>serum_L</t>
  </si>
  <si>
    <t>serum_M</t>
  </si>
  <si>
    <t>serum_N</t>
  </si>
  <si>
    <t>C13-label-15</t>
  </si>
  <si>
    <t>LIVER_A</t>
  </si>
  <si>
    <t>LIVER_B</t>
  </si>
  <si>
    <t>LIVER_C</t>
  </si>
  <si>
    <t>LIVER_D</t>
  </si>
  <si>
    <t>LIVER_E</t>
  </si>
  <si>
    <t>LIVER_F</t>
  </si>
  <si>
    <t>LIVER_G</t>
  </si>
  <si>
    <t>LIVER_H</t>
  </si>
  <si>
    <t>LIVER_I</t>
  </si>
  <si>
    <t>LIVER_J</t>
  </si>
  <si>
    <t>LIVER_K</t>
  </si>
  <si>
    <t>LIVER_L</t>
  </si>
  <si>
    <t>LIVER_M</t>
  </si>
  <si>
    <t>LIVER_N</t>
  </si>
  <si>
    <t>Alpha-Ketoglutarate</t>
  </si>
  <si>
    <t>C5H6O5</t>
  </si>
  <si>
    <t>TAG C18:2</t>
  </si>
  <si>
    <t>C16:0</t>
  </si>
  <si>
    <t>C16H32O2</t>
  </si>
  <si>
    <t>C18:1</t>
  </si>
  <si>
    <t>C18H34O2</t>
  </si>
  <si>
    <t>Alanine</t>
  </si>
  <si>
    <t>C3H7NO2</t>
  </si>
  <si>
    <t>3-Hydroxybutyric acid</t>
  </si>
  <si>
    <t>C4H8O3</t>
  </si>
  <si>
    <t>Glutamate</t>
  </si>
  <si>
    <t>conc.mM</t>
  </si>
  <si>
    <t>date</t>
  </si>
  <si>
    <t>June-July</t>
  </si>
  <si>
    <t>Glutamine</t>
  </si>
  <si>
    <t>serum_1</t>
  </si>
  <si>
    <t>serum_2</t>
  </si>
  <si>
    <t>serum_3</t>
  </si>
  <si>
    <t>serum_4</t>
  </si>
  <si>
    <t>batch</t>
  </si>
  <si>
    <t>C5H10N2O3</t>
  </si>
  <si>
    <t>C5H8NO4</t>
  </si>
  <si>
    <t>LIVER_O</t>
  </si>
  <si>
    <t>serum_O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</si>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</sst>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thin">
        <color rgb="FF7030A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20" fontId="0" fillId="33" borderId="0" xfId="0" applyNumberFormat="1" applyFill="1" applyAlignment="1">
      <alignment horizontal="left"/>
    </xf>
    <xf numFmtId="18" fontId="0" fillId="33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2" fontId="0" fillId="33" borderId="0" xfId="0" applyNumberFormat="1" applyFill="1" applyAlignment="1">
      <alignment horizontal="left"/>
    </xf>
    <xf numFmtId="11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20" fontId="0" fillId="0" borderId="10" xfId="0" applyNumberFormat="1" applyBorder="1" applyAlignment="1">
      <alignment horizontal="left"/>
    </xf>
    <xf numFmtId="18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16" fontId="0" fillId="0" borderId="10" xfId="0" applyNumberFormat="1" applyBorder="1" applyAlignment="1">
      <alignment horizontal="left"/>
    </xf>
    <xf numFmtId="0" fontId="18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18" fillId="0" borderId="0" xfId="0" applyFont="1"/>
    <xf numFmtId="1" fontId="18" fillId="0" borderId="0" xfId="0" applyNumberFormat="1" applyFont="1" applyAlignment="1">
      <alignment horizontal="left"/>
    </xf>
    <xf numFmtId="0" fontId="0" fillId="0" borderId="11" xfId="0" applyBorder="1" applyAlignment="1">
      <alignment horizontal="left"/>
    </xf>
    <xf numFmtId="2" fontId="0" fillId="0" borderId="11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691CE5C3-EC7D-824B-8A7F-C0EB5B52AA14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9-16T19:02:20.47" personId="{691CE5C3-EC7D-824B-8A7F-C0EB5B52AA14}" id="{935C5F67-D2CC-D040-9A76-18BAFF6A7CA9}">
    <text>incorrectly named as MID in the Sep15 run.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" dT="2025-05-25T14:40:05.58" personId="{691CE5C3-EC7D-824B-8A7F-C0EB5B52AA14}" id="{81C8D666-64A6-B745-A88B-979BF7E99462}">
    <text>Very serious leaking from the red pinport found at the end of the infusion!!</text>
  </threadedComment>
  <threadedComment ref="C20" dT="2025-09-23T23:43:20.84" personId="{691CE5C3-EC7D-824B-8A7F-C0EB5B52AA14}" id="{ED3DE675-5882-5E4D-8020-D00034AB3A10}">
    <text xml:space="preserve">This line is marking the time = 0 and labeling = 0 origin point in the plots.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0281-662F-B74B-A2FD-D6F4850B4B23}">
  <dimension ref="A1:Q40"/>
  <sheetViews>
    <sheetView zoomScale="175" workbookViewId="0">
      <pane ySplit="1" topLeftCell="A23" activePane="bottomLeft" state="frozen"/>
      <selection pane="bottomLeft" activeCell="F42" sqref="F42"/>
    </sheetView>
  </sheetViews>
  <sheetFormatPr baseColWidth="10" defaultColWidth="12" defaultRowHeight="16" x14ac:dyDescent="0.2"/>
  <cols>
    <col min="1" max="1" width="11.83203125" style="1" bestFit="1" customWidth="1"/>
    <col min="2" max="2" width="19" style="1" bestFit="1" customWidth="1"/>
    <col min="3" max="3" width="11.5" style="1" bestFit="1" customWidth="1"/>
    <col min="4" max="5" width="10.33203125" style="1" bestFit="1" customWidth="1"/>
    <col min="6" max="6" width="11.33203125" style="1" bestFit="1" customWidth="1"/>
    <col min="7" max="10" width="10.33203125" style="1" bestFit="1" customWidth="1"/>
    <col min="11" max="11" width="11.33203125" style="1" bestFit="1" customWidth="1"/>
    <col min="12" max="13" width="10.33203125" style="1" bestFit="1" customWidth="1"/>
    <col min="14" max="15" width="11.33203125" style="1" bestFit="1" customWidth="1"/>
    <col min="16" max="16" width="10.33203125" style="1" bestFit="1" customWidth="1"/>
    <col min="17" max="17" width="8.6640625" style="1" bestFit="1" customWidth="1"/>
    <col min="18" max="16384" width="12" style="1"/>
  </cols>
  <sheetData>
    <row r="1" spans="1:17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51</v>
      </c>
      <c r="M1" s="16" t="s">
        <v>52</v>
      </c>
      <c r="N1" s="16" t="s">
        <v>53</v>
      </c>
      <c r="O1" s="16" t="s">
        <v>54</v>
      </c>
      <c r="P1" s="16" t="s">
        <v>55</v>
      </c>
      <c r="Q1" s="16" t="s">
        <v>95</v>
      </c>
    </row>
    <row r="2" spans="1:17" s="16" customFormat="1" x14ac:dyDescent="0.2">
      <c r="A2" s="16" t="s">
        <v>11</v>
      </c>
      <c r="B2" s="16" t="s">
        <v>20</v>
      </c>
      <c r="C2" s="16" t="s">
        <v>21</v>
      </c>
      <c r="D2" s="19">
        <v>156164096</v>
      </c>
      <c r="E2" s="19">
        <v>219876560</v>
      </c>
      <c r="F2" s="19">
        <v>215802448</v>
      </c>
      <c r="G2" s="19">
        <v>177075312</v>
      </c>
      <c r="H2" s="19">
        <v>283927392</v>
      </c>
      <c r="I2" s="19">
        <v>201519312</v>
      </c>
      <c r="J2" s="19">
        <v>235662656</v>
      </c>
      <c r="K2" s="19">
        <v>214223408</v>
      </c>
      <c r="L2" s="19">
        <v>162313088</v>
      </c>
      <c r="M2" s="19">
        <v>394600096</v>
      </c>
      <c r="N2" s="19">
        <v>1048947456</v>
      </c>
      <c r="O2" s="19">
        <v>352501504</v>
      </c>
      <c r="P2" s="19">
        <v>222120048</v>
      </c>
      <c r="Q2" s="16">
        <v>1</v>
      </c>
    </row>
    <row r="3" spans="1:17" x14ac:dyDescent="0.2">
      <c r="A3" s="1" t="s">
        <v>13</v>
      </c>
      <c r="B3" s="1" t="s">
        <v>20</v>
      </c>
      <c r="C3" s="1" t="s">
        <v>21</v>
      </c>
      <c r="D3" s="17">
        <v>29771838</v>
      </c>
      <c r="E3" s="17">
        <v>41716292</v>
      </c>
      <c r="F3" s="17">
        <v>41729024</v>
      </c>
      <c r="G3" s="17">
        <v>33214336</v>
      </c>
      <c r="H3" s="17">
        <v>55017484</v>
      </c>
      <c r="I3" s="17">
        <v>38656592</v>
      </c>
      <c r="J3" s="17">
        <v>44497252</v>
      </c>
      <c r="K3" s="17">
        <v>39575084</v>
      </c>
      <c r="L3" s="17">
        <v>30889562</v>
      </c>
      <c r="M3" s="17">
        <v>76276264</v>
      </c>
      <c r="N3" s="17">
        <v>200087376</v>
      </c>
      <c r="O3" s="17">
        <v>68623536</v>
      </c>
      <c r="P3" s="17">
        <v>42142864</v>
      </c>
      <c r="Q3" s="17">
        <v>0</v>
      </c>
    </row>
    <row r="4" spans="1:17" x14ac:dyDescent="0.2">
      <c r="A4" s="1" t="s">
        <v>56</v>
      </c>
      <c r="B4" s="1" t="s">
        <v>20</v>
      </c>
      <c r="C4" s="1" t="s">
        <v>21</v>
      </c>
      <c r="D4" s="17">
        <v>6087.73</v>
      </c>
      <c r="E4" s="17">
        <v>29318.18</v>
      </c>
      <c r="F4" s="17">
        <v>0</v>
      </c>
      <c r="G4" s="17">
        <v>32086.400000000001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</row>
    <row r="5" spans="1:17" x14ac:dyDescent="0.2">
      <c r="A5" s="1" t="s">
        <v>22</v>
      </c>
      <c r="B5" s="1" t="s">
        <v>20</v>
      </c>
      <c r="C5" s="1" t="s">
        <v>21</v>
      </c>
      <c r="D5" s="17">
        <v>253827.20000000001</v>
      </c>
      <c r="E5" s="17">
        <v>245432.11</v>
      </c>
      <c r="F5" s="17">
        <v>271442.25</v>
      </c>
      <c r="G5" s="17">
        <v>361872.41</v>
      </c>
      <c r="H5" s="17">
        <v>264146.88</v>
      </c>
      <c r="I5" s="17">
        <v>48627.54</v>
      </c>
      <c r="J5" s="17">
        <v>290638.71999999997</v>
      </c>
      <c r="K5" s="17">
        <v>194301.58</v>
      </c>
      <c r="L5" s="17">
        <v>135707.92000000001</v>
      </c>
      <c r="M5" s="17">
        <v>318456.71999999997</v>
      </c>
      <c r="N5" s="17">
        <v>529147.31000000006</v>
      </c>
      <c r="O5" s="17">
        <v>119886.05</v>
      </c>
      <c r="P5" s="17">
        <v>266597.84000000003</v>
      </c>
      <c r="Q5" s="17">
        <v>0</v>
      </c>
    </row>
    <row r="6" spans="1:17" x14ac:dyDescent="0.2">
      <c r="A6" s="1" t="s">
        <v>23</v>
      </c>
      <c r="B6" s="1" t="s">
        <v>20</v>
      </c>
      <c r="C6" s="1" t="s">
        <v>21</v>
      </c>
      <c r="D6" s="17">
        <v>1594946.5</v>
      </c>
      <c r="E6" s="17">
        <v>1799379.62</v>
      </c>
      <c r="F6" s="17">
        <v>1494922.5</v>
      </c>
      <c r="G6" s="17">
        <v>1792563</v>
      </c>
      <c r="H6" s="17">
        <v>2453868.75</v>
      </c>
      <c r="I6" s="17">
        <v>424634.09</v>
      </c>
      <c r="J6" s="17">
        <v>2005528.88</v>
      </c>
      <c r="K6" s="17">
        <v>1378069.5</v>
      </c>
      <c r="L6" s="17">
        <v>784692</v>
      </c>
      <c r="M6" s="17">
        <v>3834456.25</v>
      </c>
      <c r="N6" s="17">
        <v>2833751.75</v>
      </c>
      <c r="O6" s="17">
        <v>877909.44</v>
      </c>
      <c r="P6" s="17">
        <v>1166365.3799999999</v>
      </c>
      <c r="Q6" s="17">
        <v>0</v>
      </c>
    </row>
    <row r="7" spans="1:17" ht="17" customHeight="1" x14ac:dyDescent="0.2">
      <c r="A7" s="1" t="s">
        <v>24</v>
      </c>
      <c r="B7" s="1" t="s">
        <v>20</v>
      </c>
      <c r="C7" s="1" t="s">
        <v>21</v>
      </c>
      <c r="D7" s="17">
        <v>28070194</v>
      </c>
      <c r="E7" s="17">
        <v>27725056</v>
      </c>
      <c r="F7" s="17">
        <v>31170328</v>
      </c>
      <c r="G7" s="17">
        <v>32192150</v>
      </c>
      <c r="H7" s="17">
        <v>50070528</v>
      </c>
      <c r="I7" s="17">
        <v>8429212</v>
      </c>
      <c r="J7" s="17">
        <v>35760808</v>
      </c>
      <c r="K7" s="17">
        <v>23554758</v>
      </c>
      <c r="L7" s="17">
        <v>13808979</v>
      </c>
      <c r="M7" s="17">
        <v>68525320</v>
      </c>
      <c r="N7" s="17">
        <v>49956800</v>
      </c>
      <c r="O7" s="17">
        <v>15085781</v>
      </c>
      <c r="P7" s="17">
        <v>21535624</v>
      </c>
      <c r="Q7" s="17">
        <v>0</v>
      </c>
    </row>
    <row r="8" spans="1:17" s="16" customFormat="1" x14ac:dyDescent="0.2">
      <c r="A8" s="16" t="s">
        <v>11</v>
      </c>
      <c r="B8" s="16" t="s">
        <v>74</v>
      </c>
      <c r="C8" s="16" t="s">
        <v>75</v>
      </c>
      <c r="D8" s="19">
        <v>102115776</v>
      </c>
      <c r="E8" s="19">
        <v>102163112</v>
      </c>
      <c r="F8" s="19">
        <v>119060232</v>
      </c>
      <c r="G8" s="19">
        <v>128022312</v>
      </c>
      <c r="H8" s="19">
        <v>137383888</v>
      </c>
      <c r="I8" s="19">
        <v>113707776</v>
      </c>
      <c r="J8" s="19">
        <v>114415488</v>
      </c>
      <c r="K8" s="19">
        <v>101403416</v>
      </c>
      <c r="L8" s="19">
        <v>89688704</v>
      </c>
      <c r="M8" s="19">
        <v>213029136</v>
      </c>
      <c r="N8" s="19">
        <v>250737360</v>
      </c>
      <c r="O8" s="19">
        <v>92606168</v>
      </c>
      <c r="P8" s="19">
        <v>101399080</v>
      </c>
      <c r="Q8" s="19">
        <v>1</v>
      </c>
    </row>
    <row r="9" spans="1:17" x14ac:dyDescent="0.2">
      <c r="A9" s="1" t="s">
        <v>13</v>
      </c>
      <c r="B9" s="1" t="s">
        <v>74</v>
      </c>
      <c r="C9" s="1" t="s">
        <v>75</v>
      </c>
      <c r="D9" s="17">
        <v>17632970</v>
      </c>
      <c r="E9" s="17">
        <v>17657530</v>
      </c>
      <c r="F9" s="17">
        <v>20463950</v>
      </c>
      <c r="G9" s="17">
        <v>22482066</v>
      </c>
      <c r="H9" s="17">
        <v>23475590</v>
      </c>
      <c r="I9" s="17">
        <v>19626964</v>
      </c>
      <c r="J9" s="17">
        <v>19050438</v>
      </c>
      <c r="K9" s="17">
        <v>17535848</v>
      </c>
      <c r="L9" s="17">
        <v>15005824</v>
      </c>
      <c r="M9" s="17">
        <v>37148388</v>
      </c>
      <c r="N9" s="17">
        <v>42911648</v>
      </c>
      <c r="O9" s="17">
        <v>15684557</v>
      </c>
      <c r="P9" s="17">
        <v>17157632</v>
      </c>
      <c r="Q9" s="17">
        <v>0</v>
      </c>
    </row>
    <row r="10" spans="1:17" x14ac:dyDescent="0.2">
      <c r="A10" s="1" t="s">
        <v>22</v>
      </c>
      <c r="B10" s="1" t="s">
        <v>74</v>
      </c>
      <c r="C10" s="1" t="s">
        <v>75</v>
      </c>
      <c r="D10" s="17">
        <v>0</v>
      </c>
      <c r="E10" s="17">
        <v>0</v>
      </c>
      <c r="F10" s="17">
        <v>0</v>
      </c>
      <c r="G10" s="17">
        <v>0</v>
      </c>
      <c r="H10" s="17">
        <v>23469.26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</row>
    <row r="11" spans="1:17" x14ac:dyDescent="0.2">
      <c r="A11" s="1" t="s">
        <v>14</v>
      </c>
      <c r="B11" s="1" t="s">
        <v>74</v>
      </c>
      <c r="C11" s="1" t="s">
        <v>75</v>
      </c>
      <c r="D11" s="17">
        <v>1797366</v>
      </c>
      <c r="E11" s="17">
        <v>1810268.38</v>
      </c>
      <c r="F11" s="17">
        <v>2370828</v>
      </c>
      <c r="G11" s="17">
        <v>2330183.75</v>
      </c>
      <c r="H11" s="17">
        <v>2074653.62</v>
      </c>
      <c r="I11" s="17">
        <v>1384039.62</v>
      </c>
      <c r="J11" s="17">
        <v>1670588.38</v>
      </c>
      <c r="K11" s="17">
        <v>1560407.38</v>
      </c>
      <c r="L11" s="17">
        <v>1302773</v>
      </c>
      <c r="M11" s="17">
        <v>3164956.75</v>
      </c>
      <c r="N11" s="17">
        <v>5114684.5</v>
      </c>
      <c r="O11" s="17">
        <v>1897698.88</v>
      </c>
      <c r="P11" s="17">
        <v>1591022.5</v>
      </c>
      <c r="Q11" s="17">
        <v>0</v>
      </c>
    </row>
    <row r="12" spans="1:17" x14ac:dyDescent="0.2">
      <c r="A12" s="1" t="s">
        <v>15</v>
      </c>
      <c r="B12" s="1" t="s">
        <v>74</v>
      </c>
      <c r="C12" s="1" t="s">
        <v>75</v>
      </c>
      <c r="D12" s="17">
        <v>147787.45000000001</v>
      </c>
      <c r="E12" s="17">
        <v>135436.35999999999</v>
      </c>
      <c r="F12" s="17">
        <v>242396.44</v>
      </c>
      <c r="G12" s="17">
        <v>175222.33</v>
      </c>
      <c r="H12" s="17">
        <v>82690.899999999994</v>
      </c>
      <c r="I12" s="17">
        <v>51458.67</v>
      </c>
      <c r="J12" s="17">
        <v>182294.83</v>
      </c>
      <c r="K12" s="17">
        <v>49620.88</v>
      </c>
      <c r="L12" s="17">
        <v>83191.06</v>
      </c>
      <c r="M12" s="17">
        <v>215115.33</v>
      </c>
      <c r="N12" s="17">
        <v>422637.84</v>
      </c>
      <c r="O12" s="17">
        <v>212257.52</v>
      </c>
      <c r="P12" s="17">
        <v>98785.12</v>
      </c>
      <c r="Q12" s="17">
        <v>0</v>
      </c>
    </row>
    <row r="13" spans="1:17" x14ac:dyDescent="0.2">
      <c r="A13" s="1" t="s">
        <v>18</v>
      </c>
      <c r="B13" s="1" t="s">
        <v>74</v>
      </c>
      <c r="C13" s="1" t="s">
        <v>75</v>
      </c>
      <c r="D13" s="17">
        <v>132966.35999999999</v>
      </c>
      <c r="E13" s="17">
        <v>153815.48000000001</v>
      </c>
      <c r="F13" s="17">
        <v>104526.74</v>
      </c>
      <c r="G13" s="17">
        <v>153128.89000000001</v>
      </c>
      <c r="H13" s="17">
        <v>71838.22</v>
      </c>
      <c r="I13" s="17">
        <v>0</v>
      </c>
      <c r="J13" s="17">
        <v>111018.07</v>
      </c>
      <c r="K13" s="17">
        <v>42061.13</v>
      </c>
      <c r="L13" s="17">
        <v>52276.14</v>
      </c>
      <c r="M13" s="17">
        <v>189353.08</v>
      </c>
      <c r="N13" s="17">
        <v>574229.68999999994</v>
      </c>
      <c r="O13" s="17">
        <v>177657.95</v>
      </c>
      <c r="P13" s="17">
        <v>113446.3</v>
      </c>
      <c r="Q13" s="17">
        <v>0</v>
      </c>
    </row>
    <row r="14" spans="1:17" s="16" customFormat="1" x14ac:dyDescent="0.2">
      <c r="A14" s="16" t="s">
        <v>11</v>
      </c>
      <c r="B14" s="16" t="s">
        <v>76</v>
      </c>
      <c r="C14" s="16" t="s">
        <v>77</v>
      </c>
      <c r="D14" s="19">
        <v>176503744</v>
      </c>
      <c r="E14" s="19">
        <v>243590464</v>
      </c>
      <c r="F14" s="19">
        <v>222849552</v>
      </c>
      <c r="G14" s="19">
        <v>247062480</v>
      </c>
      <c r="H14" s="19">
        <v>280597472</v>
      </c>
      <c r="I14" s="19">
        <v>216410608</v>
      </c>
      <c r="J14" s="19">
        <v>290813088</v>
      </c>
      <c r="K14" s="19">
        <v>494545568</v>
      </c>
      <c r="L14" s="19">
        <v>183369984</v>
      </c>
      <c r="M14" s="19">
        <v>349201376</v>
      </c>
      <c r="N14" s="19">
        <v>813280768</v>
      </c>
      <c r="O14" s="19">
        <v>181173808</v>
      </c>
      <c r="P14" s="19">
        <v>237263440</v>
      </c>
      <c r="Q14" s="19">
        <v>1</v>
      </c>
    </row>
    <row r="15" spans="1:17" x14ac:dyDescent="0.2">
      <c r="A15" s="1" t="s">
        <v>13</v>
      </c>
      <c r="B15" s="1" t="s">
        <v>76</v>
      </c>
      <c r="C15" s="1" t="s">
        <v>77</v>
      </c>
      <c r="D15" s="17">
        <v>34102332</v>
      </c>
      <c r="E15" s="17">
        <v>48048108</v>
      </c>
      <c r="F15" s="17">
        <v>43890288</v>
      </c>
      <c r="G15" s="17">
        <v>47495052</v>
      </c>
      <c r="H15" s="17">
        <v>54388924</v>
      </c>
      <c r="I15" s="17">
        <v>42023396</v>
      </c>
      <c r="J15" s="17">
        <v>56774656</v>
      </c>
      <c r="K15" s="17">
        <v>95381632</v>
      </c>
      <c r="L15" s="17">
        <v>35424352</v>
      </c>
      <c r="M15" s="17">
        <v>67492408</v>
      </c>
      <c r="N15" s="17">
        <v>158374768</v>
      </c>
      <c r="O15" s="17">
        <v>35217232</v>
      </c>
      <c r="P15" s="17">
        <v>46286176</v>
      </c>
      <c r="Q15" s="17">
        <v>0</v>
      </c>
    </row>
    <row r="16" spans="1:17" x14ac:dyDescent="0.2">
      <c r="A16" s="1" t="s">
        <v>24</v>
      </c>
      <c r="B16" s="1" t="s">
        <v>76</v>
      </c>
      <c r="C16" s="1" t="s">
        <v>77</v>
      </c>
      <c r="D16" s="17">
        <v>97885.88</v>
      </c>
      <c r="E16" s="17">
        <v>63529.96</v>
      </c>
      <c r="F16" s="17">
        <v>108451.66</v>
      </c>
      <c r="G16" s="17">
        <v>220905.77</v>
      </c>
      <c r="H16" s="17">
        <v>202486.7</v>
      </c>
      <c r="I16" s="17">
        <v>0</v>
      </c>
      <c r="J16" s="17">
        <v>173280.77</v>
      </c>
      <c r="K16" s="17">
        <v>85067.15</v>
      </c>
      <c r="L16" s="17">
        <v>59572.02</v>
      </c>
      <c r="M16" s="17">
        <v>318421.96999999997</v>
      </c>
      <c r="N16" s="17">
        <v>300922.94</v>
      </c>
      <c r="O16" s="17">
        <v>127474.4</v>
      </c>
      <c r="P16" s="17">
        <v>133517.95000000001</v>
      </c>
      <c r="Q16" s="17">
        <v>0</v>
      </c>
    </row>
    <row r="17" spans="1:17" x14ac:dyDescent="0.2">
      <c r="A17" s="1" t="s">
        <v>14</v>
      </c>
      <c r="B17" s="1" t="s">
        <v>76</v>
      </c>
      <c r="C17" s="1" t="s">
        <v>77</v>
      </c>
      <c r="D17" s="17">
        <v>2036323.38</v>
      </c>
      <c r="E17" s="17">
        <v>3753750.25</v>
      </c>
      <c r="F17" s="17">
        <v>3626616</v>
      </c>
      <c r="G17" s="17">
        <v>4000405.25</v>
      </c>
      <c r="H17" s="17">
        <v>4309676.5</v>
      </c>
      <c r="I17" s="17">
        <v>1775581.88</v>
      </c>
      <c r="J17" s="17">
        <v>3107980.25</v>
      </c>
      <c r="K17" s="17">
        <v>7286693.5</v>
      </c>
      <c r="L17" s="17">
        <v>2718512</v>
      </c>
      <c r="M17" s="17">
        <v>5689714</v>
      </c>
      <c r="N17" s="17">
        <v>12555805</v>
      </c>
      <c r="O17" s="17">
        <v>3217907.25</v>
      </c>
      <c r="P17" s="17">
        <v>3708421.75</v>
      </c>
      <c r="Q17" s="17">
        <v>0</v>
      </c>
    </row>
    <row r="18" spans="1:17" x14ac:dyDescent="0.2">
      <c r="A18" s="1" t="s">
        <v>15</v>
      </c>
      <c r="B18" s="1" t="s">
        <v>76</v>
      </c>
      <c r="C18" s="1" t="s">
        <v>77</v>
      </c>
      <c r="D18" s="17">
        <v>56788.02</v>
      </c>
      <c r="E18" s="17">
        <v>140886.98000000001</v>
      </c>
      <c r="F18" s="17">
        <v>94519.52</v>
      </c>
      <c r="G18" s="17">
        <v>178066.33</v>
      </c>
      <c r="H18" s="17">
        <v>149678.5</v>
      </c>
      <c r="I18" s="17">
        <v>85522.16</v>
      </c>
      <c r="J18" s="17">
        <v>137492.60999999999</v>
      </c>
      <c r="K18" s="17">
        <v>318715.15999999997</v>
      </c>
      <c r="L18" s="17">
        <v>60669.21</v>
      </c>
      <c r="M18" s="17">
        <v>192175.98</v>
      </c>
      <c r="N18" s="17">
        <v>656627.06000000006</v>
      </c>
      <c r="O18" s="17">
        <v>51044.959999999999</v>
      </c>
      <c r="P18" s="17">
        <v>149498.75</v>
      </c>
      <c r="Q18" s="17">
        <v>0</v>
      </c>
    </row>
    <row r="19" spans="1:17" s="16" customFormat="1" x14ac:dyDescent="0.2">
      <c r="A19" s="16" t="s">
        <v>11</v>
      </c>
      <c r="B19" s="16" t="s">
        <v>45</v>
      </c>
      <c r="C19" s="16" t="s">
        <v>17</v>
      </c>
      <c r="D19" s="19">
        <v>83056576</v>
      </c>
      <c r="E19" s="19">
        <v>68481288</v>
      </c>
      <c r="F19" s="19">
        <v>75483536</v>
      </c>
      <c r="G19" s="19">
        <v>81059800</v>
      </c>
      <c r="H19" s="19">
        <v>81075592</v>
      </c>
      <c r="I19" s="19">
        <v>111457000</v>
      </c>
      <c r="J19" s="19">
        <v>136571296</v>
      </c>
      <c r="K19" s="19">
        <v>78187416</v>
      </c>
      <c r="L19" s="19">
        <v>83998520</v>
      </c>
      <c r="M19" s="19">
        <v>122768488</v>
      </c>
      <c r="N19" s="19">
        <v>106904360</v>
      </c>
      <c r="O19" s="19">
        <v>66484756</v>
      </c>
      <c r="P19" s="19">
        <v>115756568</v>
      </c>
      <c r="Q19" s="19">
        <v>1</v>
      </c>
    </row>
    <row r="20" spans="1:17" x14ac:dyDescent="0.2">
      <c r="A20" s="1" t="s">
        <v>13</v>
      </c>
      <c r="B20" s="1" t="s">
        <v>45</v>
      </c>
      <c r="C20" s="1" t="s">
        <v>17</v>
      </c>
      <c r="D20" s="17">
        <v>11225228</v>
      </c>
      <c r="E20" s="17">
        <v>11176440</v>
      </c>
      <c r="F20" s="17">
        <v>10589179</v>
      </c>
      <c r="G20" s="17">
        <v>11394317</v>
      </c>
      <c r="H20" s="17">
        <v>9924114</v>
      </c>
      <c r="I20" s="17">
        <v>7655282.5</v>
      </c>
      <c r="J20" s="17">
        <v>12409843</v>
      </c>
      <c r="K20" s="17">
        <v>7454663.5</v>
      </c>
      <c r="L20" s="17">
        <v>11155596</v>
      </c>
      <c r="M20" s="17">
        <v>16016675</v>
      </c>
      <c r="N20" s="17">
        <v>9951521</v>
      </c>
      <c r="O20" s="17">
        <v>5820324</v>
      </c>
      <c r="P20" s="17">
        <v>10801184</v>
      </c>
      <c r="Q20" s="17">
        <v>0</v>
      </c>
    </row>
    <row r="21" spans="1:17" x14ac:dyDescent="0.2">
      <c r="A21" s="1" t="s">
        <v>14</v>
      </c>
      <c r="B21" s="1" t="s">
        <v>45</v>
      </c>
      <c r="C21" s="1" t="s">
        <v>17</v>
      </c>
      <c r="D21" s="17">
        <v>1779122</v>
      </c>
      <c r="E21" s="17">
        <v>1931810.38</v>
      </c>
      <c r="F21" s="17">
        <v>1711706.12</v>
      </c>
      <c r="G21" s="17">
        <v>1909258.88</v>
      </c>
      <c r="H21" s="17">
        <v>1523168.12</v>
      </c>
      <c r="I21" s="17">
        <v>142901.81</v>
      </c>
      <c r="J21" s="17">
        <v>1327759.5</v>
      </c>
      <c r="K21" s="17">
        <v>670578.5</v>
      </c>
      <c r="L21" s="17">
        <v>1564166.38</v>
      </c>
      <c r="M21" s="17">
        <v>2464780.25</v>
      </c>
      <c r="N21" s="17">
        <v>1038065.94</v>
      </c>
      <c r="O21" s="17">
        <v>437219.78</v>
      </c>
      <c r="P21" s="17">
        <v>1141741.25</v>
      </c>
      <c r="Q21" s="17">
        <v>0</v>
      </c>
    </row>
    <row r="22" spans="1:17" x14ac:dyDescent="0.2">
      <c r="A22" s="1" t="s">
        <v>15</v>
      </c>
      <c r="B22" s="1" t="s">
        <v>45</v>
      </c>
      <c r="C22" s="1" t="s">
        <v>17</v>
      </c>
      <c r="D22" s="17">
        <v>116713.77</v>
      </c>
      <c r="E22" s="17">
        <v>152704.29999999999</v>
      </c>
      <c r="F22" s="17">
        <v>158820.44</v>
      </c>
      <c r="G22" s="17">
        <v>152027.04999999999</v>
      </c>
      <c r="H22" s="17">
        <v>121397.15</v>
      </c>
      <c r="I22" s="17">
        <v>0</v>
      </c>
      <c r="J22" s="17">
        <v>65278.39</v>
      </c>
      <c r="K22" s="17">
        <v>38552.120000000003</v>
      </c>
      <c r="L22" s="17">
        <v>147666.57999999999</v>
      </c>
      <c r="M22" s="17">
        <v>187521.92000000001</v>
      </c>
      <c r="N22" s="17">
        <v>60112.38</v>
      </c>
      <c r="O22" s="17">
        <v>25725.06</v>
      </c>
      <c r="P22" s="17">
        <v>79081.56</v>
      </c>
      <c r="Q22" s="17">
        <v>0</v>
      </c>
    </row>
    <row r="23" spans="1:17" x14ac:dyDescent="0.2">
      <c r="A23" s="1" t="s">
        <v>18</v>
      </c>
      <c r="B23" s="1" t="s">
        <v>45</v>
      </c>
      <c r="C23" s="1" t="s">
        <v>17</v>
      </c>
      <c r="D23" s="17">
        <v>7762.2</v>
      </c>
      <c r="E23" s="17">
        <v>9494.25</v>
      </c>
      <c r="F23" s="17">
        <v>6548.91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13299.51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</row>
    <row r="24" spans="1:17" x14ac:dyDescent="0.2">
      <c r="A24" s="1" t="s">
        <v>25</v>
      </c>
      <c r="B24" s="1" t="s">
        <v>45</v>
      </c>
      <c r="C24" s="1" t="s">
        <v>17</v>
      </c>
      <c r="D24" s="17">
        <v>0</v>
      </c>
      <c r="E24" s="17">
        <v>0</v>
      </c>
      <c r="F24" s="17">
        <v>0</v>
      </c>
      <c r="G24" s="17">
        <v>0</v>
      </c>
      <c r="H24" s="17">
        <v>6520.8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</row>
    <row r="25" spans="1:17" s="16" customFormat="1" x14ac:dyDescent="0.2">
      <c r="A25" s="16" t="s">
        <v>11</v>
      </c>
      <c r="B25" s="16" t="s">
        <v>44</v>
      </c>
      <c r="C25" s="16" t="s">
        <v>19</v>
      </c>
      <c r="D25" s="19">
        <v>605391424</v>
      </c>
      <c r="E25" s="19">
        <v>523299424</v>
      </c>
      <c r="F25" s="19">
        <v>530302240</v>
      </c>
      <c r="G25" s="19">
        <v>658916928</v>
      </c>
      <c r="H25" s="19">
        <v>366281216</v>
      </c>
      <c r="I25" s="19">
        <v>325909760</v>
      </c>
      <c r="J25" s="19">
        <v>467527936</v>
      </c>
      <c r="K25" s="19">
        <v>371312608</v>
      </c>
      <c r="L25" s="19">
        <v>573755200</v>
      </c>
      <c r="M25" s="19">
        <v>921648640</v>
      </c>
      <c r="N25" s="19">
        <v>1133644800</v>
      </c>
      <c r="O25" s="19">
        <v>606159616</v>
      </c>
      <c r="P25" s="19">
        <v>632063680</v>
      </c>
      <c r="Q25" s="19">
        <v>1</v>
      </c>
    </row>
    <row r="26" spans="1:17" x14ac:dyDescent="0.2">
      <c r="A26" s="1" t="s">
        <v>13</v>
      </c>
      <c r="B26" s="1" t="s">
        <v>44</v>
      </c>
      <c r="C26" s="1" t="s">
        <v>19</v>
      </c>
      <c r="D26" s="17">
        <v>30970192</v>
      </c>
      <c r="E26" s="17">
        <v>31477798</v>
      </c>
      <c r="F26" s="17">
        <v>26284358</v>
      </c>
      <c r="G26" s="17">
        <v>33387534</v>
      </c>
      <c r="H26" s="17">
        <v>18023296</v>
      </c>
      <c r="I26" s="17">
        <v>11402977</v>
      </c>
      <c r="J26" s="17">
        <v>19799352</v>
      </c>
      <c r="K26" s="17">
        <v>15696736</v>
      </c>
      <c r="L26" s="17">
        <v>30981384</v>
      </c>
      <c r="M26" s="17">
        <v>45581456</v>
      </c>
      <c r="N26" s="17">
        <v>48366692</v>
      </c>
      <c r="O26" s="17">
        <v>24556672</v>
      </c>
      <c r="P26" s="17">
        <v>28008902</v>
      </c>
      <c r="Q26" s="17">
        <v>0</v>
      </c>
    </row>
    <row r="27" spans="1:17" x14ac:dyDescent="0.2">
      <c r="A27" s="1" t="s">
        <v>14</v>
      </c>
      <c r="B27" s="1" t="s">
        <v>44</v>
      </c>
      <c r="C27" s="1" t="s">
        <v>19</v>
      </c>
      <c r="D27" s="17">
        <v>2931749.75</v>
      </c>
      <c r="E27" s="17">
        <v>3844524.25</v>
      </c>
      <c r="F27" s="17">
        <v>2287943.25</v>
      </c>
      <c r="G27" s="17">
        <v>3091617.25</v>
      </c>
      <c r="H27" s="17">
        <v>1579278.5</v>
      </c>
      <c r="I27" s="17">
        <v>149718.14000000001</v>
      </c>
      <c r="J27" s="17">
        <v>1142344.5</v>
      </c>
      <c r="K27" s="17">
        <v>931402</v>
      </c>
      <c r="L27" s="17">
        <v>2964316.25</v>
      </c>
      <c r="M27" s="17">
        <v>4015424.75</v>
      </c>
      <c r="N27" s="17">
        <v>2952954.75</v>
      </c>
      <c r="O27" s="17">
        <v>1045485</v>
      </c>
      <c r="P27" s="17">
        <v>1625110.38</v>
      </c>
      <c r="Q27" s="17">
        <v>0</v>
      </c>
    </row>
    <row r="28" spans="1:17" x14ac:dyDescent="0.2">
      <c r="A28" s="1" t="s">
        <v>15</v>
      </c>
      <c r="B28" s="1" t="s">
        <v>44</v>
      </c>
      <c r="C28" s="1" t="s">
        <v>19</v>
      </c>
      <c r="D28" s="17">
        <v>113054.99</v>
      </c>
      <c r="E28" s="17">
        <v>133423.39000000001</v>
      </c>
      <c r="F28" s="17">
        <v>109581.75999999999</v>
      </c>
      <c r="G28" s="17">
        <v>49468.82</v>
      </c>
      <c r="H28" s="17">
        <v>31175.62</v>
      </c>
      <c r="I28" s="17">
        <v>0</v>
      </c>
      <c r="J28" s="17">
        <v>24114.37</v>
      </c>
      <c r="K28" s="17">
        <v>19022.240000000002</v>
      </c>
      <c r="L28" s="17">
        <v>77418.350000000006</v>
      </c>
      <c r="M28" s="17">
        <v>98664.7</v>
      </c>
      <c r="N28" s="17">
        <v>91879.01</v>
      </c>
      <c r="O28" s="17">
        <v>23271.55</v>
      </c>
      <c r="P28" s="17">
        <v>0</v>
      </c>
      <c r="Q28" s="17">
        <v>0</v>
      </c>
    </row>
    <row r="29" spans="1:17" s="16" customFormat="1" x14ac:dyDescent="0.2">
      <c r="A29" s="16" t="s">
        <v>11</v>
      </c>
      <c r="B29" s="16" t="s">
        <v>78</v>
      </c>
      <c r="C29" s="16" t="s">
        <v>79</v>
      </c>
      <c r="D29" s="19">
        <v>5499119.5</v>
      </c>
      <c r="E29" s="19">
        <v>6067628</v>
      </c>
      <c r="F29" s="19">
        <v>5582440</v>
      </c>
      <c r="G29" s="19">
        <v>6147698.5</v>
      </c>
      <c r="H29" s="19">
        <v>4256136</v>
      </c>
      <c r="I29" s="19">
        <v>3997264</v>
      </c>
      <c r="J29" s="19">
        <v>4344392.5</v>
      </c>
      <c r="K29" s="19">
        <v>4029988</v>
      </c>
      <c r="L29" s="19">
        <v>4547634</v>
      </c>
      <c r="M29" s="19">
        <v>6528228</v>
      </c>
      <c r="N29" s="19">
        <v>8208910</v>
      </c>
      <c r="O29" s="19">
        <v>6836687.5</v>
      </c>
      <c r="P29" s="19">
        <v>6358466.5</v>
      </c>
      <c r="Q29" s="19">
        <v>1</v>
      </c>
    </row>
    <row r="30" spans="1:17" x14ac:dyDescent="0.2">
      <c r="A30" s="1" t="s">
        <v>13</v>
      </c>
      <c r="B30" s="1" t="s">
        <v>78</v>
      </c>
      <c r="C30" s="1" t="s">
        <v>79</v>
      </c>
      <c r="D30" s="17">
        <v>206642.02</v>
      </c>
      <c r="E30" s="17">
        <v>228364.67</v>
      </c>
      <c r="F30" s="17">
        <v>229436.14</v>
      </c>
      <c r="G30" s="17">
        <v>281643.75</v>
      </c>
      <c r="H30" s="17">
        <v>168833.73</v>
      </c>
      <c r="I30" s="17">
        <v>148229.67000000001</v>
      </c>
      <c r="J30" s="17">
        <v>136334.81</v>
      </c>
      <c r="K30" s="17">
        <v>177069.92</v>
      </c>
      <c r="L30" s="17">
        <v>269474.88</v>
      </c>
      <c r="M30" s="17">
        <v>316060</v>
      </c>
      <c r="N30" s="17">
        <v>297005.81</v>
      </c>
      <c r="O30" s="17">
        <v>205886.89</v>
      </c>
      <c r="P30" s="17">
        <v>251118.31</v>
      </c>
      <c r="Q30" s="17">
        <v>0</v>
      </c>
    </row>
    <row r="31" spans="1:17" s="16" customFormat="1" x14ac:dyDescent="0.2">
      <c r="A31" s="16" t="s">
        <v>11</v>
      </c>
      <c r="B31" s="16" t="s">
        <v>80</v>
      </c>
      <c r="C31" s="16" t="s">
        <v>81</v>
      </c>
      <c r="D31" s="19">
        <v>20247594</v>
      </c>
      <c r="E31" s="19">
        <v>13513033</v>
      </c>
      <c r="F31" s="19">
        <v>14087864</v>
      </c>
      <c r="G31" s="19">
        <v>15540084</v>
      </c>
      <c r="H31" s="19">
        <v>13700329</v>
      </c>
      <c r="I31" s="19">
        <v>25815110</v>
      </c>
      <c r="J31" s="19">
        <v>8227312</v>
      </c>
      <c r="K31" s="19">
        <v>14625100</v>
      </c>
      <c r="L31" s="19">
        <v>27444664</v>
      </c>
      <c r="M31" s="19">
        <v>30902170</v>
      </c>
      <c r="N31" s="19">
        <v>15306977</v>
      </c>
      <c r="O31" s="19">
        <v>5124192.5</v>
      </c>
      <c r="P31" s="19">
        <v>9239298</v>
      </c>
      <c r="Q31" s="19">
        <v>1</v>
      </c>
    </row>
    <row r="32" spans="1:17" x14ac:dyDescent="0.2">
      <c r="A32" s="1" t="s">
        <v>13</v>
      </c>
      <c r="B32" s="1" t="s">
        <v>80</v>
      </c>
      <c r="C32" s="1" t="s">
        <v>81</v>
      </c>
      <c r="D32" s="17">
        <v>885886.19</v>
      </c>
      <c r="E32" s="17">
        <v>608803.62</v>
      </c>
      <c r="F32" s="17">
        <v>612254</v>
      </c>
      <c r="G32" s="17">
        <v>696118.12</v>
      </c>
      <c r="H32" s="17">
        <v>554014.43999999994</v>
      </c>
      <c r="I32" s="17">
        <v>1083386.1200000001</v>
      </c>
      <c r="J32" s="17">
        <v>357483.53</v>
      </c>
      <c r="K32" s="17">
        <v>599857.88</v>
      </c>
      <c r="L32" s="17">
        <v>1199013.6200000001</v>
      </c>
      <c r="M32" s="17">
        <v>1358280.62</v>
      </c>
      <c r="N32" s="17">
        <v>585557.68999999994</v>
      </c>
      <c r="O32" s="17">
        <v>203547.25</v>
      </c>
      <c r="P32" s="17">
        <v>403894.75</v>
      </c>
      <c r="Q32" s="17">
        <v>0</v>
      </c>
    </row>
    <row r="33" spans="1:17" x14ac:dyDescent="0.2">
      <c r="A33" s="1" t="s">
        <v>14</v>
      </c>
      <c r="B33" s="1" t="s">
        <v>80</v>
      </c>
      <c r="C33" s="1" t="s">
        <v>81</v>
      </c>
      <c r="D33" s="17">
        <v>1424242</v>
      </c>
      <c r="E33" s="17">
        <v>1020910.81</v>
      </c>
      <c r="F33" s="17">
        <v>1075744.5</v>
      </c>
      <c r="G33" s="17">
        <v>1186891.1200000001</v>
      </c>
      <c r="H33" s="17">
        <v>1358870.62</v>
      </c>
      <c r="I33" s="17">
        <v>31501.84</v>
      </c>
      <c r="J33" s="17">
        <v>352900.53</v>
      </c>
      <c r="K33" s="17">
        <v>832160.75</v>
      </c>
      <c r="L33" s="17">
        <v>1845293.38</v>
      </c>
      <c r="M33" s="17">
        <v>1911034</v>
      </c>
      <c r="N33" s="17">
        <v>577589.43999999994</v>
      </c>
      <c r="O33" s="17">
        <v>248098.33</v>
      </c>
      <c r="P33" s="17">
        <v>558224.56000000006</v>
      </c>
      <c r="Q33" s="17">
        <v>0</v>
      </c>
    </row>
    <row r="34" spans="1:17" x14ac:dyDescent="0.2">
      <c r="A34" s="1" t="s">
        <v>15</v>
      </c>
      <c r="B34" s="1" t="s">
        <v>80</v>
      </c>
      <c r="C34" s="1" t="s">
        <v>81</v>
      </c>
      <c r="D34" s="17">
        <v>14690.09</v>
      </c>
      <c r="E34" s="17">
        <v>0</v>
      </c>
      <c r="F34" s="17">
        <v>0</v>
      </c>
      <c r="G34" s="17">
        <v>16581.09</v>
      </c>
      <c r="H34" s="17">
        <v>36077.31</v>
      </c>
      <c r="I34" s="17">
        <v>0</v>
      </c>
      <c r="J34" s="17">
        <v>0</v>
      </c>
      <c r="K34" s="17">
        <v>0</v>
      </c>
      <c r="L34" s="17">
        <v>16691.41</v>
      </c>
      <c r="M34" s="17">
        <v>42979.44</v>
      </c>
      <c r="N34" s="17">
        <v>0</v>
      </c>
      <c r="O34" s="17">
        <v>0</v>
      </c>
      <c r="P34" s="17">
        <v>0</v>
      </c>
      <c r="Q34" s="17">
        <v>0</v>
      </c>
    </row>
    <row r="35" spans="1:17" x14ac:dyDescent="0.2">
      <c r="A35" s="1" t="s">
        <v>18</v>
      </c>
      <c r="B35" s="1" t="s">
        <v>80</v>
      </c>
      <c r="C35" s="1" t="s">
        <v>81</v>
      </c>
      <c r="D35" s="17">
        <v>108215.21</v>
      </c>
      <c r="E35" s="17">
        <v>34691.519999999997</v>
      </c>
      <c r="F35" s="17">
        <v>38531.589999999997</v>
      </c>
      <c r="G35" s="17">
        <v>49628.68</v>
      </c>
      <c r="H35" s="17">
        <v>59439.89</v>
      </c>
      <c r="I35" s="17">
        <v>0</v>
      </c>
      <c r="J35" s="17">
        <v>14536.81</v>
      </c>
      <c r="K35" s="17">
        <v>12009.28</v>
      </c>
      <c r="L35" s="17">
        <v>25941.53</v>
      </c>
      <c r="M35" s="17">
        <v>110011.79</v>
      </c>
      <c r="N35" s="17">
        <v>0</v>
      </c>
      <c r="O35" s="17">
        <v>0</v>
      </c>
      <c r="P35" s="17">
        <v>24810.3</v>
      </c>
      <c r="Q35" s="17">
        <v>0</v>
      </c>
    </row>
    <row r="36" spans="1:17" s="16" customFormat="1" x14ac:dyDescent="0.2">
      <c r="A36" s="16" t="s">
        <v>11</v>
      </c>
      <c r="B36" s="16" t="s">
        <v>86</v>
      </c>
      <c r="C36" s="16" t="s">
        <v>92</v>
      </c>
      <c r="D36" s="16">
        <v>98700256</v>
      </c>
      <c r="E36" s="16">
        <v>84537280</v>
      </c>
      <c r="F36" s="16">
        <v>87682968</v>
      </c>
      <c r="G36" s="16">
        <v>113280488</v>
      </c>
      <c r="H36" s="16">
        <v>102000800</v>
      </c>
      <c r="I36" s="16">
        <v>112535272</v>
      </c>
      <c r="J36" s="16">
        <v>114953024</v>
      </c>
      <c r="K36" s="16">
        <v>92519040</v>
      </c>
      <c r="L36" s="16">
        <v>92889600</v>
      </c>
      <c r="M36" s="16">
        <v>182800432</v>
      </c>
      <c r="N36" s="16">
        <v>195717888</v>
      </c>
      <c r="O36" s="16">
        <v>96048288</v>
      </c>
      <c r="P36" s="16">
        <v>110360792</v>
      </c>
      <c r="Q36" s="16">
        <v>1</v>
      </c>
    </row>
    <row r="37" spans="1:17" x14ac:dyDescent="0.2">
      <c r="A37" s="1" t="s">
        <v>13</v>
      </c>
      <c r="B37" s="1" t="s">
        <v>86</v>
      </c>
      <c r="C37" s="1" t="s">
        <v>92</v>
      </c>
      <c r="D37" s="1">
        <v>10148779</v>
      </c>
      <c r="E37" s="1">
        <v>9053757</v>
      </c>
      <c r="F37" s="1">
        <v>8691885</v>
      </c>
      <c r="G37" s="1">
        <v>11758903</v>
      </c>
      <c r="H37" s="1">
        <v>9980741</v>
      </c>
      <c r="I37" s="1">
        <v>6304294.5</v>
      </c>
      <c r="J37" s="1">
        <v>9327627</v>
      </c>
      <c r="K37" s="1">
        <v>7526842</v>
      </c>
      <c r="L37" s="1">
        <v>8512293</v>
      </c>
      <c r="M37" s="1">
        <v>17375766</v>
      </c>
      <c r="N37" s="1">
        <v>15707141</v>
      </c>
      <c r="O37" s="1">
        <v>7661621.5</v>
      </c>
      <c r="P37" s="1">
        <v>9830229</v>
      </c>
      <c r="Q37" s="1">
        <v>0</v>
      </c>
    </row>
    <row r="38" spans="1:17" x14ac:dyDescent="0.2">
      <c r="A38" s="1" t="s">
        <v>14</v>
      </c>
      <c r="B38" s="1" t="s">
        <v>86</v>
      </c>
      <c r="C38" s="1" t="s">
        <v>92</v>
      </c>
      <c r="D38" s="1">
        <v>4692800</v>
      </c>
      <c r="E38" s="1">
        <v>4156640</v>
      </c>
      <c r="F38" s="1">
        <v>3829293.25</v>
      </c>
      <c r="G38" s="1">
        <v>5286236</v>
      </c>
      <c r="H38" s="1">
        <v>4563006</v>
      </c>
      <c r="I38" s="1">
        <v>160850.81</v>
      </c>
      <c r="J38" s="1">
        <v>3145890</v>
      </c>
      <c r="K38" s="1">
        <v>2495349.25</v>
      </c>
      <c r="L38" s="1">
        <v>3667852</v>
      </c>
      <c r="M38" s="1">
        <v>7071037.5</v>
      </c>
      <c r="N38" s="1">
        <v>4430728</v>
      </c>
      <c r="O38" s="1">
        <v>2474150.25</v>
      </c>
      <c r="P38" s="1">
        <v>3978633</v>
      </c>
      <c r="Q38" s="1">
        <v>0</v>
      </c>
    </row>
    <row r="39" spans="1:17" x14ac:dyDescent="0.2">
      <c r="A39" s="1" t="s">
        <v>15</v>
      </c>
      <c r="B39" s="1" t="s">
        <v>86</v>
      </c>
      <c r="C39" s="1" t="s">
        <v>92</v>
      </c>
      <c r="D39" s="1">
        <v>343474.19</v>
      </c>
      <c r="E39" s="1">
        <v>330692.44</v>
      </c>
      <c r="F39" s="1">
        <v>284866.28000000003</v>
      </c>
      <c r="G39" s="1">
        <v>386707.59</v>
      </c>
      <c r="H39" s="1">
        <v>345560.59</v>
      </c>
      <c r="I39" s="1">
        <v>0</v>
      </c>
      <c r="J39" s="1">
        <v>199042.89</v>
      </c>
      <c r="K39" s="1">
        <v>138928.69</v>
      </c>
      <c r="L39" s="1">
        <v>238595.48</v>
      </c>
      <c r="M39" s="1">
        <v>467019.91</v>
      </c>
      <c r="N39" s="1">
        <v>203371.69</v>
      </c>
      <c r="O39" s="1">
        <v>141886.66</v>
      </c>
      <c r="P39" s="1">
        <v>235319.39</v>
      </c>
      <c r="Q39" s="1">
        <v>0</v>
      </c>
    </row>
    <row r="40" spans="1:17" x14ac:dyDescent="0.2">
      <c r="A40" s="1" t="s">
        <v>18</v>
      </c>
      <c r="B40" s="1" t="s">
        <v>86</v>
      </c>
      <c r="C40" s="1" t="s">
        <v>92</v>
      </c>
      <c r="D40" s="1">
        <v>45426.54</v>
      </c>
      <c r="E40" s="1">
        <v>42044.62</v>
      </c>
      <c r="F40" s="1">
        <v>31212.639999999999</v>
      </c>
      <c r="G40" s="1">
        <v>47694.18</v>
      </c>
      <c r="H40" s="1">
        <v>54497.89</v>
      </c>
      <c r="I40" s="1">
        <v>0</v>
      </c>
      <c r="J40" s="1">
        <v>18965.62</v>
      </c>
      <c r="K40" s="1">
        <v>6545.77</v>
      </c>
      <c r="L40" s="1">
        <v>20775.009999999998</v>
      </c>
      <c r="M40" s="1">
        <v>65953.45</v>
      </c>
      <c r="N40" s="1">
        <v>23132.97</v>
      </c>
      <c r="O40" s="1">
        <v>21113.46</v>
      </c>
      <c r="P40" s="1">
        <v>38332.5</v>
      </c>
      <c r="Q40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A519-EC18-F941-9D57-25D9E3D559F4}">
  <dimension ref="A1:G32"/>
  <sheetViews>
    <sheetView topLeftCell="A8" zoomScale="172" workbookViewId="0">
      <selection activeCell="C29" sqref="C29"/>
    </sheetView>
  </sheetViews>
  <sheetFormatPr baseColWidth="10" defaultColWidth="11" defaultRowHeight="16" x14ac:dyDescent="0.2"/>
  <cols>
    <col min="1" max="2" width="12" customWidth="1"/>
    <col min="3" max="3" width="19" bestFit="1" customWidth="1"/>
    <col min="4" max="7" width="12.83203125" bestFit="1" customWidth="1"/>
  </cols>
  <sheetData>
    <row r="1" spans="1:7" x14ac:dyDescent="0.2">
      <c r="A1" s="1" t="s">
        <v>0</v>
      </c>
      <c r="B1" s="1" t="s">
        <v>2</v>
      </c>
      <c r="C1" s="1" t="s">
        <v>1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 x14ac:dyDescent="0.2">
      <c r="A2" s="1" t="s">
        <v>11</v>
      </c>
      <c r="B2" s="1" t="s">
        <v>21</v>
      </c>
      <c r="C2" s="1" t="s">
        <v>20</v>
      </c>
      <c r="D2" s="1">
        <v>201502000</v>
      </c>
      <c r="E2" s="1">
        <v>264267920</v>
      </c>
      <c r="F2" s="1">
        <v>150644432</v>
      </c>
      <c r="G2" s="1">
        <v>335582720</v>
      </c>
    </row>
    <row r="3" spans="1:7" x14ac:dyDescent="0.2">
      <c r="A3" s="1" t="s">
        <v>13</v>
      </c>
      <c r="B3" s="1" t="s">
        <v>21</v>
      </c>
      <c r="C3" s="1" t="s">
        <v>20</v>
      </c>
      <c r="D3" s="1">
        <v>38952336</v>
      </c>
      <c r="E3" s="1">
        <v>50559588</v>
      </c>
      <c r="F3" s="1">
        <v>29144720</v>
      </c>
      <c r="G3" s="1">
        <v>63564592</v>
      </c>
    </row>
    <row r="4" spans="1:7" x14ac:dyDescent="0.2">
      <c r="A4" s="1" t="s">
        <v>22</v>
      </c>
      <c r="B4" s="1" t="s">
        <v>21</v>
      </c>
      <c r="C4" s="1" t="s">
        <v>20</v>
      </c>
      <c r="D4" s="1">
        <v>168334.36</v>
      </c>
      <c r="E4" s="1">
        <v>149734</v>
      </c>
      <c r="F4" s="1">
        <v>132388.34</v>
      </c>
      <c r="G4" s="1">
        <v>208042.25</v>
      </c>
    </row>
    <row r="5" spans="1:7" x14ac:dyDescent="0.2">
      <c r="A5" s="1" t="s">
        <v>23</v>
      </c>
      <c r="B5" s="1" t="s">
        <v>21</v>
      </c>
      <c r="C5" s="1" t="s">
        <v>20</v>
      </c>
      <c r="D5" s="1">
        <v>1198785.1200000001</v>
      </c>
      <c r="E5" s="1">
        <v>1894629.12</v>
      </c>
      <c r="F5" s="1">
        <v>1069787.5</v>
      </c>
      <c r="G5" s="1">
        <v>1951120.62</v>
      </c>
    </row>
    <row r="6" spans="1:7" x14ac:dyDescent="0.2">
      <c r="A6" s="1" t="s">
        <v>24</v>
      </c>
      <c r="B6" s="1" t="s">
        <v>21</v>
      </c>
      <c r="C6" s="1" t="s">
        <v>20</v>
      </c>
      <c r="D6" s="1">
        <v>22542448</v>
      </c>
      <c r="E6" s="1">
        <v>31425802</v>
      </c>
      <c r="F6" s="1">
        <v>17289466</v>
      </c>
      <c r="G6" s="1">
        <v>35050716</v>
      </c>
    </row>
    <row r="7" spans="1:7" x14ac:dyDescent="0.2">
      <c r="A7" s="1" t="s">
        <v>11</v>
      </c>
      <c r="B7" s="1" t="s">
        <v>17</v>
      </c>
      <c r="C7" s="1" t="s">
        <v>45</v>
      </c>
      <c r="D7" s="1">
        <v>101919992</v>
      </c>
      <c r="E7" s="1">
        <v>164160016</v>
      </c>
      <c r="F7" s="1">
        <v>79526504</v>
      </c>
      <c r="G7" s="1">
        <v>150929088</v>
      </c>
    </row>
    <row r="8" spans="1:7" x14ac:dyDescent="0.2">
      <c r="A8" s="1" t="s">
        <v>13</v>
      </c>
      <c r="B8" s="1" t="s">
        <v>17</v>
      </c>
      <c r="C8" s="1" t="s">
        <v>45</v>
      </c>
      <c r="D8" s="1">
        <v>7704760</v>
      </c>
      <c r="E8" s="1">
        <v>11594308</v>
      </c>
      <c r="F8" s="1">
        <v>5642469.5</v>
      </c>
      <c r="G8" s="1">
        <v>10896271</v>
      </c>
    </row>
    <row r="9" spans="1:7" x14ac:dyDescent="0.2">
      <c r="A9" s="1" t="s">
        <v>14</v>
      </c>
      <c r="B9" s="1" t="s">
        <v>17</v>
      </c>
      <c r="C9" s="1" t="s">
        <v>45</v>
      </c>
      <c r="D9" s="1">
        <v>404278.38</v>
      </c>
      <c r="E9" s="1">
        <v>652537.31000000006</v>
      </c>
      <c r="F9" s="1">
        <v>331989.65999999997</v>
      </c>
      <c r="G9" s="1">
        <v>669201.88</v>
      </c>
    </row>
    <row r="10" spans="1:7" x14ac:dyDescent="0.2">
      <c r="A10" s="1" t="s">
        <v>15</v>
      </c>
      <c r="B10" s="1" t="s">
        <v>17</v>
      </c>
      <c r="C10" s="1" t="s">
        <v>45</v>
      </c>
      <c r="D10" s="1">
        <v>24790.78</v>
      </c>
      <c r="E10" s="1">
        <v>29721.78</v>
      </c>
      <c r="F10" s="1">
        <v>0</v>
      </c>
      <c r="G10" s="1">
        <v>19254.990000000002</v>
      </c>
    </row>
    <row r="11" spans="1:7" x14ac:dyDescent="0.2">
      <c r="A11" s="1" t="s">
        <v>18</v>
      </c>
      <c r="B11" s="1" t="s">
        <v>17</v>
      </c>
      <c r="C11" s="1" t="s">
        <v>45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2">
      <c r="A12" s="1" t="s">
        <v>11</v>
      </c>
      <c r="B12" s="1" t="s">
        <v>19</v>
      </c>
      <c r="C12" s="1" t="s">
        <v>44</v>
      </c>
      <c r="D12" s="1">
        <v>243482368</v>
      </c>
      <c r="E12" s="1">
        <v>428201984</v>
      </c>
      <c r="F12" s="1">
        <v>272949568</v>
      </c>
      <c r="G12" s="1">
        <v>380539520</v>
      </c>
    </row>
    <row r="13" spans="1:7" x14ac:dyDescent="0.2">
      <c r="A13" s="1" t="s">
        <v>13</v>
      </c>
      <c r="B13" s="1" t="s">
        <v>19</v>
      </c>
      <c r="C13" s="1" t="s">
        <v>44</v>
      </c>
      <c r="D13" s="1">
        <v>8622634</v>
      </c>
      <c r="E13" s="1">
        <v>15367527</v>
      </c>
      <c r="F13" s="1">
        <v>10001336</v>
      </c>
      <c r="G13" s="1">
        <v>14099820</v>
      </c>
    </row>
    <row r="14" spans="1:7" x14ac:dyDescent="0.2">
      <c r="A14" s="1" t="s">
        <v>14</v>
      </c>
      <c r="B14" s="1" t="s">
        <v>19</v>
      </c>
      <c r="C14" s="1" t="s">
        <v>44</v>
      </c>
      <c r="D14" s="1">
        <v>202638.92</v>
      </c>
      <c r="E14" s="1">
        <v>301396.12</v>
      </c>
      <c r="F14" s="1">
        <v>241611.3</v>
      </c>
      <c r="G14" s="1">
        <v>436322.34</v>
      </c>
    </row>
    <row r="15" spans="1:7" x14ac:dyDescent="0.2">
      <c r="A15" s="1" t="s">
        <v>15</v>
      </c>
      <c r="B15" s="1" t="s">
        <v>19</v>
      </c>
      <c r="C15" s="1" t="s">
        <v>44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">
      <c r="A16" s="1" t="s">
        <v>11</v>
      </c>
      <c r="B16" s="1" t="s">
        <v>81</v>
      </c>
      <c r="C16" s="1" t="s">
        <v>80</v>
      </c>
      <c r="D16" s="1">
        <v>11226380</v>
      </c>
      <c r="E16" s="1">
        <v>23039286</v>
      </c>
      <c r="F16" s="1">
        <v>11412333</v>
      </c>
      <c r="G16" s="1">
        <v>17314806</v>
      </c>
    </row>
    <row r="17" spans="1:7" x14ac:dyDescent="0.2">
      <c r="A17" s="1" t="s">
        <v>13</v>
      </c>
      <c r="B17" s="1" t="s">
        <v>81</v>
      </c>
      <c r="C17" s="1" t="s">
        <v>80</v>
      </c>
      <c r="D17" s="1">
        <v>456444.53</v>
      </c>
      <c r="E17" s="1">
        <v>1034030.56</v>
      </c>
      <c r="F17" s="1">
        <v>507775.75</v>
      </c>
      <c r="G17" s="1">
        <v>724589.5</v>
      </c>
    </row>
    <row r="18" spans="1:7" x14ac:dyDescent="0.2">
      <c r="A18" s="1" t="s">
        <v>14</v>
      </c>
      <c r="B18" s="1" t="s">
        <v>81</v>
      </c>
      <c r="C18" s="1" t="s">
        <v>80</v>
      </c>
      <c r="D18" s="1">
        <v>393576.53</v>
      </c>
      <c r="E18" s="1">
        <v>694122.06</v>
      </c>
      <c r="F18" s="1">
        <v>356020.09</v>
      </c>
      <c r="G18" s="1">
        <v>511072.16</v>
      </c>
    </row>
    <row r="19" spans="1:7" x14ac:dyDescent="0.2">
      <c r="A19" s="1" t="s">
        <v>15</v>
      </c>
      <c r="B19" s="1" t="s">
        <v>81</v>
      </c>
      <c r="C19" s="1" t="s">
        <v>80</v>
      </c>
      <c r="D19" s="1">
        <v>0</v>
      </c>
      <c r="E19" s="1">
        <v>0</v>
      </c>
      <c r="F19" s="1">
        <v>0</v>
      </c>
      <c r="G19" s="1">
        <v>8040.61</v>
      </c>
    </row>
    <row r="20" spans="1:7" x14ac:dyDescent="0.2">
      <c r="A20" s="1" t="s">
        <v>18</v>
      </c>
      <c r="B20" s="1" t="s">
        <v>81</v>
      </c>
      <c r="C20" s="1" t="s">
        <v>80</v>
      </c>
      <c r="D20" s="1">
        <v>11712.54</v>
      </c>
      <c r="E20" s="1">
        <v>17468.599999999999</v>
      </c>
      <c r="F20" s="1">
        <v>13870.45</v>
      </c>
      <c r="G20" s="1">
        <v>10535.12</v>
      </c>
    </row>
    <row r="21" spans="1:7" x14ac:dyDescent="0.2">
      <c r="A21" s="1" t="s">
        <v>11</v>
      </c>
      <c r="B21" s="1" t="s">
        <v>93</v>
      </c>
      <c r="C21" s="1" t="s">
        <v>82</v>
      </c>
      <c r="D21" s="1">
        <v>896171</v>
      </c>
      <c r="E21" s="1">
        <v>1979344.38</v>
      </c>
      <c r="F21" s="1">
        <v>725295.19</v>
      </c>
      <c r="G21" s="1">
        <v>1466475</v>
      </c>
    </row>
    <row r="22" spans="1:7" x14ac:dyDescent="0.2">
      <c r="A22" s="1" t="s">
        <v>13</v>
      </c>
      <c r="B22" s="1" t="s">
        <v>93</v>
      </c>
      <c r="C22" s="1" t="s">
        <v>82</v>
      </c>
      <c r="D22" s="1">
        <v>43753.51</v>
      </c>
      <c r="E22" s="1">
        <v>108297.54</v>
      </c>
      <c r="F22" s="1">
        <v>32469.65</v>
      </c>
      <c r="G22" s="1">
        <v>77318.17</v>
      </c>
    </row>
    <row r="23" spans="1:7" x14ac:dyDescent="0.2">
      <c r="A23" s="1" t="s">
        <v>14</v>
      </c>
      <c r="B23" s="1" t="s">
        <v>93</v>
      </c>
      <c r="C23" s="1" t="s">
        <v>82</v>
      </c>
      <c r="D23" s="1">
        <v>7342.2</v>
      </c>
      <c r="E23" s="1">
        <v>19474.560000000001</v>
      </c>
      <c r="F23" s="1">
        <v>2227.94</v>
      </c>
      <c r="G23" s="1">
        <v>13179.04</v>
      </c>
    </row>
    <row r="24" spans="1:7" x14ac:dyDescent="0.2">
      <c r="A24" s="1" t="s">
        <v>15</v>
      </c>
      <c r="B24" s="1" t="s">
        <v>93</v>
      </c>
      <c r="C24" s="1" t="s">
        <v>82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">
      <c r="A25" s="1" t="s">
        <v>11</v>
      </c>
      <c r="B25" s="1" t="s">
        <v>79</v>
      </c>
      <c r="C25" s="1" t="s">
        <v>78</v>
      </c>
      <c r="D25" s="1">
        <v>4431943.5</v>
      </c>
      <c r="E25" s="1">
        <v>6599853.5</v>
      </c>
      <c r="F25" s="1">
        <v>3046298.75</v>
      </c>
      <c r="G25" s="1">
        <v>7798978.5</v>
      </c>
    </row>
    <row r="26" spans="1:7" x14ac:dyDescent="0.2">
      <c r="A26" s="1" t="s">
        <v>13</v>
      </c>
      <c r="B26" s="1" t="s">
        <v>79</v>
      </c>
      <c r="C26" s="1" t="s">
        <v>78</v>
      </c>
      <c r="D26" s="1">
        <v>140590.04999999999</v>
      </c>
      <c r="E26" s="1">
        <v>264370.84000000003</v>
      </c>
      <c r="F26" s="1">
        <v>105150.1</v>
      </c>
      <c r="G26" s="1">
        <v>240225.95</v>
      </c>
    </row>
    <row r="27" spans="1:7" x14ac:dyDescent="0.2">
      <c r="A27" s="1" t="s">
        <v>14</v>
      </c>
      <c r="B27" s="1" t="s">
        <v>79</v>
      </c>
      <c r="C27" s="1" t="s">
        <v>78</v>
      </c>
      <c r="D27" s="1">
        <v>0</v>
      </c>
      <c r="E27" s="1">
        <v>3672.95</v>
      </c>
      <c r="F27" s="1">
        <v>2029.94</v>
      </c>
      <c r="G27" s="1">
        <v>2153.04</v>
      </c>
    </row>
    <row r="28" spans="1:7" x14ac:dyDescent="0.2">
      <c r="A28" s="1" t="s">
        <v>11</v>
      </c>
      <c r="B28" s="1" t="s">
        <v>92</v>
      </c>
      <c r="C28" s="1" t="s">
        <v>86</v>
      </c>
      <c r="D28" s="1">
        <v>34406852</v>
      </c>
      <c r="E28" s="1">
        <v>52813908</v>
      </c>
      <c r="F28" s="1">
        <v>20318478</v>
      </c>
      <c r="G28" s="1">
        <v>58365780</v>
      </c>
    </row>
    <row r="29" spans="1:7" x14ac:dyDescent="0.2">
      <c r="A29" s="1" t="s">
        <v>13</v>
      </c>
      <c r="B29" s="1" t="s">
        <v>92</v>
      </c>
      <c r="C29" s="1" t="s">
        <v>86</v>
      </c>
      <c r="D29" s="1">
        <v>2117536.5</v>
      </c>
      <c r="E29" s="1">
        <v>3184263.25</v>
      </c>
      <c r="F29" s="1">
        <v>1218804.8799999999</v>
      </c>
      <c r="G29" s="1">
        <v>3610972.75</v>
      </c>
    </row>
    <row r="30" spans="1:7" x14ac:dyDescent="0.2">
      <c r="A30" s="1" t="s">
        <v>14</v>
      </c>
      <c r="B30" s="1" t="s">
        <v>92</v>
      </c>
      <c r="C30" s="1" t="s">
        <v>86</v>
      </c>
      <c r="D30" s="1">
        <v>321743.90999999997</v>
      </c>
      <c r="E30" s="1">
        <v>431996.12</v>
      </c>
      <c r="F30" s="1">
        <v>155630.07999999999</v>
      </c>
      <c r="G30" s="1">
        <v>511005.22</v>
      </c>
    </row>
    <row r="31" spans="1:7" x14ac:dyDescent="0.2">
      <c r="A31" s="1" t="s">
        <v>15</v>
      </c>
      <c r="B31" s="1" t="s">
        <v>92</v>
      </c>
      <c r="C31" s="1" t="s">
        <v>86</v>
      </c>
      <c r="D31" s="1">
        <v>9107.5499999999993</v>
      </c>
      <c r="E31" s="1">
        <v>19541.349999999999</v>
      </c>
      <c r="F31" s="1">
        <v>6606.35</v>
      </c>
      <c r="G31" s="1">
        <v>15802.77</v>
      </c>
    </row>
    <row r="32" spans="1:7" x14ac:dyDescent="0.2">
      <c r="A32" s="1" t="s">
        <v>18</v>
      </c>
      <c r="B32" s="1" t="s">
        <v>92</v>
      </c>
      <c r="C32" s="1" t="s">
        <v>86</v>
      </c>
      <c r="D32" s="1">
        <v>0</v>
      </c>
      <c r="E32" s="1">
        <v>0</v>
      </c>
      <c r="F32" s="1">
        <v>0</v>
      </c>
      <c r="G32" s="1">
        <v>0</v>
      </c>
    </row>
  </sheetData>
  <phoneticPr fontId="1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BA88-8022-5B49-B93E-4002F33C5BDC}">
  <dimension ref="A1:Q6"/>
  <sheetViews>
    <sheetView topLeftCell="D1" zoomScale="160" workbookViewId="0">
      <selection activeCell="Q4" sqref="Q4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94</v>
      </c>
    </row>
    <row r="2" spans="1:17" x14ac:dyDescent="0.2">
      <c r="A2" s="1" t="s">
        <v>11</v>
      </c>
      <c r="B2" s="1" t="s">
        <v>73</v>
      </c>
      <c r="C2" s="1" t="s">
        <v>21</v>
      </c>
      <c r="D2" s="9">
        <v>437905408</v>
      </c>
      <c r="E2" s="1">
        <v>938330432</v>
      </c>
      <c r="F2" s="1">
        <v>655563968</v>
      </c>
      <c r="G2" s="1">
        <v>507942816</v>
      </c>
      <c r="H2" s="1">
        <v>1004153792</v>
      </c>
      <c r="I2" s="1">
        <v>494916960</v>
      </c>
      <c r="J2" s="1">
        <v>508158816</v>
      </c>
      <c r="K2" s="1">
        <v>500309088</v>
      </c>
      <c r="L2" s="1">
        <v>518096896</v>
      </c>
      <c r="M2" s="1">
        <v>615240192</v>
      </c>
      <c r="N2" s="1">
        <v>430690080</v>
      </c>
      <c r="O2" s="1">
        <v>490665056</v>
      </c>
      <c r="P2" s="1">
        <v>645252928</v>
      </c>
      <c r="Q2" s="1">
        <v>1</v>
      </c>
    </row>
    <row r="3" spans="1:17" x14ac:dyDescent="0.2">
      <c r="A3" s="1" t="s">
        <v>13</v>
      </c>
      <c r="B3" s="1" t="s">
        <v>73</v>
      </c>
      <c r="C3" s="1" t="s">
        <v>21</v>
      </c>
      <c r="D3" s="1">
        <v>83074840</v>
      </c>
      <c r="E3" s="1">
        <v>180289936</v>
      </c>
      <c r="F3" s="1">
        <v>123773880</v>
      </c>
      <c r="G3" s="1">
        <v>97589992</v>
      </c>
      <c r="H3" s="1">
        <v>189983920</v>
      </c>
      <c r="I3" s="1">
        <v>97173544</v>
      </c>
      <c r="J3" s="1">
        <v>97079592</v>
      </c>
      <c r="K3" s="1">
        <v>95040584</v>
      </c>
      <c r="L3" s="1">
        <v>99136360</v>
      </c>
      <c r="M3" s="1">
        <v>116793960</v>
      </c>
      <c r="N3" s="1">
        <v>82100936</v>
      </c>
      <c r="O3" s="1">
        <v>94203320</v>
      </c>
      <c r="P3" s="1">
        <v>88959488</v>
      </c>
      <c r="Q3" s="1">
        <v>0</v>
      </c>
    </row>
    <row r="4" spans="1:17" x14ac:dyDescent="0.2">
      <c r="A4" s="1" t="s">
        <v>22</v>
      </c>
      <c r="B4" s="1" t="s">
        <v>73</v>
      </c>
      <c r="C4" s="1" t="s">
        <v>21</v>
      </c>
      <c r="D4" s="1">
        <v>1193631.8799999999</v>
      </c>
      <c r="E4" s="1">
        <v>2340056</v>
      </c>
      <c r="F4" s="1">
        <v>1728138.5</v>
      </c>
      <c r="G4" s="1">
        <v>1325358.6200000001</v>
      </c>
      <c r="H4" s="1">
        <v>2330404.75</v>
      </c>
      <c r="I4" s="1">
        <v>0</v>
      </c>
      <c r="J4" s="1">
        <v>891435.25</v>
      </c>
      <c r="K4" s="1">
        <v>401088.16</v>
      </c>
      <c r="L4" s="1">
        <v>684272.31</v>
      </c>
      <c r="M4" s="1">
        <v>1064595.1200000001</v>
      </c>
      <c r="N4" s="1">
        <v>489514.38</v>
      </c>
      <c r="O4" s="1">
        <v>450143.97</v>
      </c>
      <c r="P4" s="1">
        <v>796892.19</v>
      </c>
      <c r="Q4" s="1">
        <v>0</v>
      </c>
    </row>
    <row r="5" spans="1:17" x14ac:dyDescent="0.2">
      <c r="A5" s="1" t="s">
        <v>23</v>
      </c>
      <c r="B5" s="1" t="s">
        <v>73</v>
      </c>
      <c r="C5" s="1" t="s">
        <v>21</v>
      </c>
      <c r="D5" s="1">
        <v>4583122</v>
      </c>
      <c r="E5" s="1">
        <v>8490480</v>
      </c>
      <c r="F5" s="1">
        <v>5441261.5</v>
      </c>
      <c r="G5" s="1">
        <v>4046673</v>
      </c>
      <c r="H5" s="1">
        <v>4471554</v>
      </c>
      <c r="I5" s="1">
        <v>0</v>
      </c>
      <c r="J5" s="1">
        <v>1414330.62</v>
      </c>
      <c r="K5" s="1">
        <v>1720840.5</v>
      </c>
      <c r="L5" s="1">
        <v>2962926</v>
      </c>
      <c r="M5" s="1">
        <v>4752102.5</v>
      </c>
      <c r="N5" s="1">
        <v>1238872</v>
      </c>
      <c r="O5" s="1">
        <v>1506106.12</v>
      </c>
      <c r="P5" s="1">
        <v>2052093</v>
      </c>
      <c r="Q5" s="1">
        <v>0</v>
      </c>
    </row>
    <row r="6" spans="1:17" x14ac:dyDescent="0.2">
      <c r="A6" s="1" t="s">
        <v>24</v>
      </c>
      <c r="B6" s="1" t="s">
        <v>73</v>
      </c>
      <c r="C6" s="1" t="s">
        <v>21</v>
      </c>
      <c r="D6" s="1">
        <v>64708268</v>
      </c>
      <c r="E6" s="1">
        <v>150492992</v>
      </c>
      <c r="F6" s="1">
        <v>90397016</v>
      </c>
      <c r="G6" s="1">
        <v>74131424</v>
      </c>
      <c r="H6" s="1">
        <v>83992632</v>
      </c>
      <c r="I6" s="1">
        <v>844670.81</v>
      </c>
      <c r="J6" s="1">
        <v>31222776</v>
      </c>
      <c r="K6" s="1">
        <v>25716570</v>
      </c>
      <c r="L6" s="1">
        <v>53669760</v>
      </c>
      <c r="M6" s="1">
        <v>80747784</v>
      </c>
      <c r="N6" s="1">
        <v>23618088</v>
      </c>
      <c r="O6" s="1">
        <v>27973456</v>
      </c>
      <c r="P6" s="1">
        <v>35529428</v>
      </c>
      <c r="Q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2828-B771-D642-AEF2-FB7AFFA8B19C}">
  <dimension ref="A1:R12"/>
  <sheetViews>
    <sheetView zoomScale="125" workbookViewId="0">
      <selection activeCell="H4" sqref="H4"/>
    </sheetView>
  </sheetViews>
  <sheetFormatPr baseColWidth="10" defaultColWidth="11.6640625" defaultRowHeight="16" x14ac:dyDescent="0.2"/>
  <cols>
    <col min="1" max="1" width="11.5" bestFit="1" customWidth="1"/>
    <col min="2" max="2" width="17.5" bestFit="1" customWidth="1"/>
    <col min="3" max="3" width="8.1640625" bestFit="1" customWidth="1"/>
    <col min="10" max="10" width="10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94</v>
      </c>
    </row>
    <row r="2" spans="1:18" s="18" customFormat="1" x14ac:dyDescent="0.2">
      <c r="A2" s="18" t="s">
        <v>11</v>
      </c>
      <c r="B2" s="18" t="s">
        <v>42</v>
      </c>
      <c r="C2" s="18" t="s">
        <v>12</v>
      </c>
      <c r="D2" s="18">
        <v>88583808</v>
      </c>
      <c r="E2" s="18">
        <v>121171880</v>
      </c>
      <c r="F2" s="18">
        <v>83503576</v>
      </c>
      <c r="G2" s="18">
        <v>103862688</v>
      </c>
      <c r="H2" s="18">
        <v>114720680</v>
      </c>
      <c r="I2" s="18">
        <v>114739176</v>
      </c>
      <c r="J2" s="18">
        <v>147317200</v>
      </c>
      <c r="K2" s="18">
        <v>54516108</v>
      </c>
      <c r="L2" s="18">
        <v>112068928</v>
      </c>
      <c r="M2" s="18">
        <v>114398264</v>
      </c>
      <c r="N2" s="18">
        <v>114940744</v>
      </c>
      <c r="O2" s="18">
        <v>75669176</v>
      </c>
      <c r="P2" s="18">
        <v>91135960</v>
      </c>
      <c r="Q2" s="18">
        <v>89357768</v>
      </c>
      <c r="R2" s="18">
        <v>1</v>
      </c>
    </row>
    <row r="3" spans="1:18" x14ac:dyDescent="0.2">
      <c r="A3" t="s">
        <v>13</v>
      </c>
      <c r="B3" t="s">
        <v>42</v>
      </c>
      <c r="C3" t="s">
        <v>12</v>
      </c>
      <c r="D3">
        <v>8419640</v>
      </c>
      <c r="E3">
        <v>12446721</v>
      </c>
      <c r="F3">
        <v>8442494</v>
      </c>
      <c r="G3">
        <v>10079116</v>
      </c>
      <c r="H3">
        <v>11228680</v>
      </c>
      <c r="I3">
        <v>9547831</v>
      </c>
      <c r="J3">
        <v>6691716</v>
      </c>
      <c r="K3">
        <v>4176620.75</v>
      </c>
      <c r="L3">
        <v>8692745</v>
      </c>
      <c r="M3">
        <v>9976035</v>
      </c>
      <c r="N3">
        <v>10599137</v>
      </c>
      <c r="O3">
        <v>5480439.5</v>
      </c>
      <c r="P3">
        <v>6762239.5</v>
      </c>
      <c r="Q3">
        <v>7696000.5</v>
      </c>
      <c r="R3">
        <v>0</v>
      </c>
    </row>
    <row r="4" spans="1:18" x14ac:dyDescent="0.2">
      <c r="A4" t="s">
        <v>14</v>
      </c>
      <c r="B4" t="s">
        <v>42</v>
      </c>
      <c r="C4" t="s">
        <v>12</v>
      </c>
      <c r="D4">
        <v>1873802.38</v>
      </c>
      <c r="E4">
        <v>3175844</v>
      </c>
      <c r="F4">
        <v>2017662.38</v>
      </c>
      <c r="G4">
        <v>2244549.25</v>
      </c>
      <c r="H4">
        <v>2204107.75</v>
      </c>
      <c r="I4">
        <v>1726977.38</v>
      </c>
      <c r="J4">
        <v>104307.59</v>
      </c>
      <c r="K4">
        <v>658434.93999999994</v>
      </c>
      <c r="L4">
        <v>1453351</v>
      </c>
      <c r="M4">
        <v>2282836.25</v>
      </c>
      <c r="N4">
        <v>2212688.75</v>
      </c>
      <c r="O4">
        <v>1084389.6200000001</v>
      </c>
      <c r="P4">
        <v>1334877.3799999999</v>
      </c>
      <c r="Q4">
        <v>1488397.38</v>
      </c>
      <c r="R4">
        <v>0</v>
      </c>
    </row>
    <row r="5" spans="1:18" x14ac:dyDescent="0.2">
      <c r="A5" t="s">
        <v>15</v>
      </c>
      <c r="B5" t="s">
        <v>42</v>
      </c>
      <c r="C5" t="s">
        <v>12</v>
      </c>
      <c r="D5">
        <v>93787.5</v>
      </c>
      <c r="E5">
        <v>174467.11</v>
      </c>
      <c r="F5">
        <v>94778.45</v>
      </c>
      <c r="G5">
        <v>124198.94</v>
      </c>
      <c r="H5">
        <v>105419.4</v>
      </c>
      <c r="I5">
        <v>64108.5</v>
      </c>
      <c r="J5">
        <v>0</v>
      </c>
      <c r="K5">
        <v>28508.09</v>
      </c>
      <c r="L5">
        <v>61546.18</v>
      </c>
      <c r="M5">
        <v>119952.25</v>
      </c>
      <c r="N5">
        <v>103723.07</v>
      </c>
      <c r="O5">
        <v>46093.440000000002</v>
      </c>
      <c r="P5">
        <v>54704.12</v>
      </c>
      <c r="Q5">
        <v>67060.34</v>
      </c>
      <c r="R5">
        <v>0</v>
      </c>
    </row>
    <row r="6" spans="1:18" x14ac:dyDescent="0.2">
      <c r="A6" t="s">
        <v>18</v>
      </c>
      <c r="B6" t="s">
        <v>42</v>
      </c>
      <c r="C6" t="s">
        <v>12</v>
      </c>
      <c r="D6">
        <v>6303.35</v>
      </c>
      <c r="E6">
        <v>12329.26</v>
      </c>
      <c r="F6">
        <v>14716.34</v>
      </c>
      <c r="G6">
        <v>9665.7099999999991</v>
      </c>
      <c r="H6">
        <v>10673.22</v>
      </c>
      <c r="I6">
        <v>10299.83</v>
      </c>
      <c r="J6">
        <v>3097.85</v>
      </c>
      <c r="K6">
        <v>8144.41</v>
      </c>
      <c r="L6">
        <v>6349.93</v>
      </c>
      <c r="M6">
        <v>9410.27</v>
      </c>
      <c r="N6">
        <v>7716.42</v>
      </c>
      <c r="O6">
        <v>6469.91</v>
      </c>
      <c r="P6">
        <v>8778.1</v>
      </c>
      <c r="Q6">
        <v>11636.86</v>
      </c>
      <c r="R6">
        <v>0</v>
      </c>
    </row>
    <row r="7" spans="1:18" s="18" customFormat="1" x14ac:dyDescent="0.2">
      <c r="A7" s="18" t="s">
        <v>11</v>
      </c>
      <c r="B7" s="18" t="s">
        <v>43</v>
      </c>
      <c r="C7" s="18" t="s">
        <v>16</v>
      </c>
      <c r="D7" s="18">
        <v>49568564</v>
      </c>
      <c r="E7" s="18">
        <v>56004432</v>
      </c>
      <c r="F7" s="18">
        <v>66791444</v>
      </c>
      <c r="G7" s="18">
        <v>62368960</v>
      </c>
      <c r="H7" s="18">
        <v>44775244</v>
      </c>
      <c r="I7" s="18">
        <v>28489056</v>
      </c>
      <c r="J7" s="18">
        <v>66113644</v>
      </c>
      <c r="K7" s="18">
        <v>59814064</v>
      </c>
      <c r="L7" s="18">
        <v>57447756</v>
      </c>
      <c r="M7" s="18">
        <v>71736600</v>
      </c>
      <c r="N7" s="18">
        <v>75867200</v>
      </c>
      <c r="O7" s="18">
        <v>69463680</v>
      </c>
      <c r="P7" s="18">
        <v>85317672</v>
      </c>
      <c r="Q7" s="18">
        <v>87943152</v>
      </c>
      <c r="R7" s="18">
        <v>1</v>
      </c>
    </row>
    <row r="8" spans="1:18" x14ac:dyDescent="0.2">
      <c r="A8" t="s">
        <v>13</v>
      </c>
      <c r="B8" t="s">
        <v>43</v>
      </c>
      <c r="C8" t="s">
        <v>16</v>
      </c>
      <c r="D8">
        <v>4586856</v>
      </c>
      <c r="E8">
        <v>5619168</v>
      </c>
      <c r="F8">
        <v>5972050.5</v>
      </c>
      <c r="G8">
        <v>5469025.5</v>
      </c>
      <c r="H8">
        <v>4128735</v>
      </c>
      <c r="I8">
        <v>2224716.25</v>
      </c>
      <c r="J8">
        <v>2926519</v>
      </c>
      <c r="K8">
        <v>4508885.5</v>
      </c>
      <c r="L8">
        <v>4263890</v>
      </c>
      <c r="M8">
        <v>6166788</v>
      </c>
      <c r="N8">
        <v>6772020.5</v>
      </c>
      <c r="O8">
        <v>5228279.5</v>
      </c>
      <c r="P8">
        <v>6361889.5</v>
      </c>
      <c r="Q8">
        <v>7256796</v>
      </c>
      <c r="R8">
        <v>0</v>
      </c>
    </row>
    <row r="9" spans="1:18" x14ac:dyDescent="0.2">
      <c r="A9" t="s">
        <v>14</v>
      </c>
      <c r="B9" t="s">
        <v>43</v>
      </c>
      <c r="C9" t="s">
        <v>16</v>
      </c>
      <c r="D9">
        <v>1435989.88</v>
      </c>
      <c r="E9">
        <v>1807710.88</v>
      </c>
      <c r="F9">
        <v>1928854.38</v>
      </c>
      <c r="G9">
        <v>1612453.88</v>
      </c>
      <c r="H9">
        <v>1555813.62</v>
      </c>
      <c r="I9">
        <v>684445.69</v>
      </c>
      <c r="J9">
        <v>48159.519999999997</v>
      </c>
      <c r="K9">
        <v>1351490.5</v>
      </c>
      <c r="L9">
        <v>1194950.6200000001</v>
      </c>
      <c r="M9">
        <v>1576190</v>
      </c>
      <c r="N9">
        <v>2021215.88</v>
      </c>
      <c r="O9">
        <v>1273117.8799999999</v>
      </c>
      <c r="P9">
        <v>1791180.12</v>
      </c>
      <c r="Q9">
        <v>2247250</v>
      </c>
      <c r="R9">
        <v>0</v>
      </c>
    </row>
    <row r="10" spans="1:18" x14ac:dyDescent="0.2">
      <c r="A10" t="s">
        <v>15</v>
      </c>
      <c r="B10" t="s">
        <v>43</v>
      </c>
      <c r="C10" t="s">
        <v>16</v>
      </c>
      <c r="D10">
        <v>68819.38</v>
      </c>
      <c r="E10">
        <v>105829.1</v>
      </c>
      <c r="F10">
        <v>89815.57</v>
      </c>
      <c r="G10">
        <v>94527.57</v>
      </c>
      <c r="H10">
        <v>73909.38</v>
      </c>
      <c r="I10">
        <v>38920.370000000003</v>
      </c>
      <c r="J10">
        <v>0</v>
      </c>
      <c r="K10">
        <v>59970.93</v>
      </c>
      <c r="L10">
        <v>44903</v>
      </c>
      <c r="M10">
        <v>81391.710000000006</v>
      </c>
      <c r="N10">
        <v>94228.12</v>
      </c>
      <c r="O10">
        <v>51301</v>
      </c>
      <c r="P10">
        <v>74814.95</v>
      </c>
      <c r="Q10">
        <v>121387.13</v>
      </c>
      <c r="R10">
        <v>0</v>
      </c>
    </row>
    <row r="11" spans="1:18" s="18" customFormat="1" x14ac:dyDescent="0.2">
      <c r="A11" s="18" t="s">
        <v>11</v>
      </c>
      <c r="B11" s="18" t="s">
        <v>71</v>
      </c>
      <c r="C11" s="18" t="s">
        <v>72</v>
      </c>
      <c r="D11" s="18">
        <v>643758.75</v>
      </c>
      <c r="E11" s="18">
        <v>625701.43999999994</v>
      </c>
      <c r="F11" s="18">
        <v>283413.71999999997</v>
      </c>
      <c r="G11" s="18">
        <v>362566.34</v>
      </c>
      <c r="H11" s="18">
        <v>1286665.5</v>
      </c>
      <c r="I11" s="18">
        <v>682670.06</v>
      </c>
      <c r="J11" s="18">
        <v>834924.81</v>
      </c>
      <c r="K11" s="18">
        <v>1996530.38</v>
      </c>
      <c r="L11" s="18">
        <v>873933.19</v>
      </c>
      <c r="M11" s="18">
        <v>358818.59</v>
      </c>
      <c r="N11" s="18">
        <v>780038.5</v>
      </c>
      <c r="O11" s="18">
        <v>1036354.75</v>
      </c>
      <c r="P11" s="18">
        <v>1506847.38</v>
      </c>
      <c r="Q11" s="18">
        <v>1332782.8799999999</v>
      </c>
      <c r="R11">
        <v>1</v>
      </c>
    </row>
    <row r="12" spans="1:18" x14ac:dyDescent="0.2">
      <c r="A12" t="s">
        <v>13</v>
      </c>
      <c r="B12" t="s">
        <v>71</v>
      </c>
      <c r="C12" t="s">
        <v>72</v>
      </c>
      <c r="D12">
        <v>61722.22</v>
      </c>
      <c r="E12">
        <v>55668.22</v>
      </c>
      <c r="F12">
        <v>26900.53</v>
      </c>
      <c r="G12">
        <v>33032.589999999997</v>
      </c>
      <c r="H12">
        <v>106658.16</v>
      </c>
      <c r="I12">
        <v>54655.32</v>
      </c>
      <c r="J12">
        <v>36526.379999999997</v>
      </c>
      <c r="K12">
        <v>149715.01999999999</v>
      </c>
      <c r="L12">
        <v>66594.77</v>
      </c>
      <c r="M12">
        <v>31419.13</v>
      </c>
      <c r="N12">
        <v>62683.33</v>
      </c>
      <c r="O12">
        <v>74223.72</v>
      </c>
      <c r="P12">
        <v>98123.54</v>
      </c>
      <c r="Q12">
        <v>100143</v>
      </c>
      <c r="R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B296-5A6E-7D41-80EB-2CC3A7EB3EED}">
  <dimension ref="A1:J20"/>
  <sheetViews>
    <sheetView tabSelected="1" zoomScale="274" workbookViewId="0">
      <selection activeCell="D6" sqref="D6"/>
    </sheetView>
  </sheetViews>
  <sheetFormatPr baseColWidth="10" defaultColWidth="6.5" defaultRowHeight="16" x14ac:dyDescent="0.2"/>
  <cols>
    <col min="1" max="1" width="8.5" style="1" bestFit="1" customWidth="1"/>
    <col min="2" max="2" width="8.5" style="7" customWidth="1"/>
    <col min="3" max="3" width="6.5" style="1"/>
    <col min="4" max="4" width="9" style="1" bestFit="1" customWidth="1"/>
    <col min="5" max="5" width="8.5" style="1" bestFit="1" customWidth="1"/>
    <col min="6" max="6" width="7.5" style="1" bestFit="1" customWidth="1"/>
    <col min="7" max="7" width="13.1640625" style="1" bestFit="1" customWidth="1"/>
    <col min="8" max="8" width="12.1640625" style="1" bestFit="1" customWidth="1"/>
    <col min="9" max="9" width="14.5" style="1" bestFit="1" customWidth="1"/>
    <col min="10" max="10" width="8.6640625" style="1" bestFit="1" customWidth="1"/>
    <col min="11" max="16384" width="6.5" style="1"/>
  </cols>
  <sheetData>
    <row r="1" spans="1:10" x14ac:dyDescent="0.2">
      <c r="A1" s="1" t="s">
        <v>84</v>
      </c>
      <c r="B1" s="7" t="s">
        <v>91</v>
      </c>
      <c r="C1" s="1" t="s">
        <v>26</v>
      </c>
      <c r="D1" s="1" t="s">
        <v>27</v>
      </c>
      <c r="E1" s="1" t="s">
        <v>28</v>
      </c>
      <c r="F1" s="1" t="s">
        <v>39</v>
      </c>
      <c r="G1" s="1" t="s">
        <v>29</v>
      </c>
      <c r="H1" s="1" t="s">
        <v>40</v>
      </c>
      <c r="I1" s="1" t="s">
        <v>41</v>
      </c>
      <c r="J1" s="1" t="s">
        <v>83</v>
      </c>
    </row>
    <row r="2" spans="1:10" x14ac:dyDescent="0.2">
      <c r="A2" s="10">
        <v>45804</v>
      </c>
      <c r="B2" s="17">
        <v>1</v>
      </c>
      <c r="C2" s="1" t="s">
        <v>30</v>
      </c>
      <c r="D2" s="2">
        <v>0.40069444444444446</v>
      </c>
      <c r="E2" s="3">
        <v>0.81388888888888888</v>
      </c>
      <c r="F2" s="7">
        <f t="shared" ref="F2:F19" si="0">(E2-D2)*24</f>
        <v>9.9166666666666661</v>
      </c>
      <c r="G2" s="1">
        <v>1766</v>
      </c>
      <c r="I2" s="1">
        <v>3</v>
      </c>
      <c r="J2" s="1">
        <v>36</v>
      </c>
    </row>
    <row r="3" spans="1:10" x14ac:dyDescent="0.2">
      <c r="A3" s="10">
        <v>45804</v>
      </c>
      <c r="B3" s="17">
        <v>1</v>
      </c>
      <c r="C3" s="1" t="s">
        <v>31</v>
      </c>
      <c r="D3" s="2">
        <v>0.40972222222222221</v>
      </c>
      <c r="E3" s="3">
        <v>0.89583333333333337</v>
      </c>
      <c r="F3" s="7">
        <f t="shared" si="0"/>
        <v>11.666666666666668</v>
      </c>
      <c r="G3" s="1">
        <v>2102</v>
      </c>
      <c r="H3" s="1">
        <v>25.6</v>
      </c>
      <c r="I3" s="1">
        <v>3</v>
      </c>
      <c r="J3" s="1">
        <v>36</v>
      </c>
    </row>
    <row r="4" spans="1:10" x14ac:dyDescent="0.2">
      <c r="A4" s="10">
        <v>45804</v>
      </c>
      <c r="B4" s="17">
        <v>1</v>
      </c>
      <c r="C4" s="1" t="s">
        <v>32</v>
      </c>
      <c r="D4" s="2">
        <v>0.4236111111111111</v>
      </c>
      <c r="E4" s="3">
        <v>0.81944444444444442</v>
      </c>
      <c r="F4" s="7">
        <f t="shared" si="0"/>
        <v>9.5</v>
      </c>
      <c r="G4" s="1">
        <v>1739</v>
      </c>
      <c r="H4" s="1">
        <v>28.5</v>
      </c>
      <c r="I4" s="1">
        <v>3</v>
      </c>
      <c r="J4" s="1">
        <v>36</v>
      </c>
    </row>
    <row r="5" spans="1:10" x14ac:dyDescent="0.2">
      <c r="A5" s="10">
        <v>45804</v>
      </c>
      <c r="B5" s="17">
        <v>1</v>
      </c>
      <c r="C5" s="1" t="s">
        <v>33</v>
      </c>
      <c r="D5" s="2">
        <v>0.41458333333333336</v>
      </c>
      <c r="E5" s="3">
        <v>0.90416666666666667</v>
      </c>
      <c r="F5" s="7">
        <f t="shared" si="0"/>
        <v>11.75</v>
      </c>
      <c r="G5" s="1">
        <v>2118</v>
      </c>
      <c r="I5" s="1">
        <v>3</v>
      </c>
      <c r="J5" s="1">
        <v>36</v>
      </c>
    </row>
    <row r="6" spans="1:10" x14ac:dyDescent="0.2">
      <c r="A6" s="10">
        <v>45804</v>
      </c>
      <c r="B6" s="17">
        <v>1</v>
      </c>
      <c r="C6" s="1" t="s">
        <v>34</v>
      </c>
      <c r="D6" s="2">
        <v>0.41805555555555557</v>
      </c>
      <c r="E6" s="3">
        <v>0.62847222222222221</v>
      </c>
      <c r="F6" s="7">
        <f t="shared" si="0"/>
        <v>5.0499999999999989</v>
      </c>
      <c r="G6" s="1">
        <v>911</v>
      </c>
      <c r="H6" s="1">
        <v>25.3</v>
      </c>
      <c r="I6" s="1">
        <v>3</v>
      </c>
      <c r="J6" s="1">
        <v>36</v>
      </c>
    </row>
    <row r="7" spans="1:10" x14ac:dyDescent="0.2">
      <c r="A7" s="10">
        <v>45804</v>
      </c>
      <c r="B7" s="17">
        <v>1</v>
      </c>
      <c r="C7" s="1" t="s">
        <v>35</v>
      </c>
      <c r="D7" s="2">
        <v>0.42083333333333334</v>
      </c>
      <c r="E7" s="3">
        <v>0.63124999999999998</v>
      </c>
      <c r="F7" s="7">
        <f t="shared" si="0"/>
        <v>5.0499999999999989</v>
      </c>
      <c r="G7" s="1">
        <v>915</v>
      </c>
      <c r="H7" s="1">
        <v>30.5</v>
      </c>
      <c r="I7" s="1">
        <v>3</v>
      </c>
      <c r="J7" s="1">
        <v>36</v>
      </c>
    </row>
    <row r="8" spans="1:10" x14ac:dyDescent="0.2">
      <c r="A8" s="10">
        <v>45804</v>
      </c>
      <c r="B8" s="17">
        <v>1</v>
      </c>
      <c r="C8" s="4" t="s">
        <v>36</v>
      </c>
      <c r="D8" s="5">
        <v>0.42430555555555555</v>
      </c>
      <c r="E8" s="6">
        <v>0.53819444444444442</v>
      </c>
      <c r="F8" s="8">
        <f t="shared" si="0"/>
        <v>2.7333333333333329</v>
      </c>
      <c r="G8" s="4">
        <v>482</v>
      </c>
      <c r="H8" s="4">
        <v>28.5</v>
      </c>
      <c r="I8" s="4">
        <v>3</v>
      </c>
      <c r="J8" s="1">
        <v>36</v>
      </c>
    </row>
    <row r="9" spans="1:10" x14ac:dyDescent="0.2">
      <c r="A9" s="10">
        <v>45804</v>
      </c>
      <c r="B9" s="17">
        <v>1</v>
      </c>
      <c r="C9" s="1" t="s">
        <v>37</v>
      </c>
      <c r="D9" s="2">
        <v>0.42777777777777776</v>
      </c>
      <c r="E9" s="3">
        <v>0.53472222222222221</v>
      </c>
      <c r="F9" s="7">
        <f t="shared" si="0"/>
        <v>2.5666666666666669</v>
      </c>
      <c r="H9" s="1">
        <v>28.6</v>
      </c>
      <c r="I9" s="1">
        <v>3</v>
      </c>
      <c r="J9" s="1">
        <v>36</v>
      </c>
    </row>
    <row r="10" spans="1:10" ht="17" thickBot="1" x14ac:dyDescent="0.25">
      <c r="A10" s="15">
        <v>45804</v>
      </c>
      <c r="B10" s="17">
        <v>1</v>
      </c>
      <c r="C10" s="11" t="s">
        <v>38</v>
      </c>
      <c r="D10" s="13">
        <v>0.54722222222222228</v>
      </c>
      <c r="E10" s="13">
        <v>0.65902777777777777</v>
      </c>
      <c r="F10" s="14">
        <f t="shared" si="0"/>
        <v>2.6833333333333318</v>
      </c>
      <c r="G10" s="11">
        <v>498</v>
      </c>
      <c r="H10" s="11">
        <v>26.4</v>
      </c>
      <c r="I10" s="11">
        <v>3</v>
      </c>
      <c r="J10" s="11">
        <v>36</v>
      </c>
    </row>
    <row r="11" spans="1:10" x14ac:dyDescent="0.2">
      <c r="A11" s="10" t="s">
        <v>85</v>
      </c>
      <c r="B11" s="17">
        <v>2</v>
      </c>
      <c r="C11" s="1" t="s">
        <v>46</v>
      </c>
      <c r="D11" s="2">
        <v>0.44236111111111109</v>
      </c>
      <c r="E11" s="3">
        <v>0.73541666666666672</v>
      </c>
      <c r="F11" s="7">
        <f t="shared" si="0"/>
        <v>7.033333333333335</v>
      </c>
      <c r="G11" s="1">
        <v>1274</v>
      </c>
      <c r="H11" s="1">
        <v>27.9</v>
      </c>
      <c r="I11" s="1">
        <v>3</v>
      </c>
      <c r="J11" s="1">
        <v>36</v>
      </c>
    </row>
    <row r="12" spans="1:10" x14ac:dyDescent="0.2">
      <c r="A12" s="10" t="s">
        <v>85</v>
      </c>
      <c r="B12" s="17">
        <v>2</v>
      </c>
      <c r="C12" s="1" t="s">
        <v>47</v>
      </c>
      <c r="D12" s="2">
        <v>0.44583333333333336</v>
      </c>
      <c r="E12" s="3">
        <v>0.76458333333333328</v>
      </c>
      <c r="F12" s="7">
        <f t="shared" si="0"/>
        <v>7.6499999999999986</v>
      </c>
      <c r="G12" s="1">
        <v>1386</v>
      </c>
      <c r="H12" s="1">
        <v>28</v>
      </c>
      <c r="I12" s="1">
        <v>3</v>
      </c>
      <c r="J12" s="1">
        <v>36</v>
      </c>
    </row>
    <row r="13" spans="1:10" x14ac:dyDescent="0.2">
      <c r="A13" s="10" t="s">
        <v>85</v>
      </c>
      <c r="B13" s="17">
        <v>2</v>
      </c>
      <c r="C13" s="1" t="s">
        <v>48</v>
      </c>
      <c r="D13" s="2">
        <v>0.44861111111111113</v>
      </c>
      <c r="E13" s="3">
        <v>0.55555555555555558</v>
      </c>
      <c r="F13" s="7">
        <f t="shared" si="0"/>
        <v>2.5666666666666669</v>
      </c>
      <c r="G13" s="1">
        <v>464</v>
      </c>
      <c r="H13" s="1">
        <v>30.4</v>
      </c>
      <c r="I13" s="1">
        <v>3</v>
      </c>
      <c r="J13" s="1">
        <v>36</v>
      </c>
    </row>
    <row r="14" spans="1:10" x14ac:dyDescent="0.2">
      <c r="A14" s="10" t="s">
        <v>85</v>
      </c>
      <c r="B14" s="17">
        <v>2</v>
      </c>
      <c r="C14" s="1" t="s">
        <v>49</v>
      </c>
      <c r="D14" s="2">
        <v>0.45347222222222222</v>
      </c>
      <c r="E14" s="3">
        <v>0.55902777777777779</v>
      </c>
      <c r="F14" s="7">
        <f t="shared" si="0"/>
        <v>2.5333333333333337</v>
      </c>
      <c r="G14" s="1">
        <v>480</v>
      </c>
      <c r="H14" s="1">
        <v>27.7</v>
      </c>
      <c r="I14" s="1">
        <v>3</v>
      </c>
      <c r="J14" s="1">
        <v>36</v>
      </c>
    </row>
    <row r="15" spans="1:10" ht="17" thickBot="1" x14ac:dyDescent="0.25">
      <c r="A15" s="15" t="s">
        <v>85</v>
      </c>
      <c r="B15" s="17">
        <v>2</v>
      </c>
      <c r="C15" s="11" t="s">
        <v>50</v>
      </c>
      <c r="D15" s="12">
        <v>0.45694444444444443</v>
      </c>
      <c r="E15" s="13">
        <v>0.56736111111111109</v>
      </c>
      <c r="F15" s="14">
        <f t="shared" si="0"/>
        <v>2.65</v>
      </c>
      <c r="G15" s="11">
        <v>448</v>
      </c>
      <c r="H15" s="11">
        <v>26.2</v>
      </c>
      <c r="I15" s="11">
        <v>3</v>
      </c>
      <c r="J15" s="11">
        <v>36</v>
      </c>
    </row>
    <row r="16" spans="1:10" x14ac:dyDescent="0.2">
      <c r="A16" s="10">
        <v>45908</v>
      </c>
      <c r="B16" s="17">
        <v>3</v>
      </c>
      <c r="C16" s="1">
        <v>1</v>
      </c>
      <c r="D16" s="2">
        <v>0.3611111111111111</v>
      </c>
      <c r="E16" s="2">
        <v>0.38958333333333334</v>
      </c>
      <c r="F16" s="1">
        <f t="shared" si="0"/>
        <v>0.68333333333333357</v>
      </c>
      <c r="H16" s="1">
        <v>25.3</v>
      </c>
      <c r="I16" s="1">
        <v>3</v>
      </c>
      <c r="J16" s="1">
        <v>36</v>
      </c>
    </row>
    <row r="17" spans="1:10" x14ac:dyDescent="0.2">
      <c r="A17" s="10">
        <v>45908</v>
      </c>
      <c r="B17" s="17">
        <v>3</v>
      </c>
      <c r="C17" s="1">
        <v>2</v>
      </c>
      <c r="D17" s="2">
        <v>0.36249999999999999</v>
      </c>
      <c r="E17" s="2">
        <v>0.3923611111111111</v>
      </c>
      <c r="F17" s="1">
        <f t="shared" si="0"/>
        <v>0.71666666666666679</v>
      </c>
      <c r="I17" s="1">
        <v>3</v>
      </c>
      <c r="J17" s="1">
        <v>36</v>
      </c>
    </row>
    <row r="18" spans="1:10" x14ac:dyDescent="0.2">
      <c r="A18" s="10">
        <v>45908</v>
      </c>
      <c r="B18" s="17">
        <v>3</v>
      </c>
      <c r="C18" s="1">
        <v>3</v>
      </c>
      <c r="D18" s="2">
        <v>0.36458333333333331</v>
      </c>
      <c r="E18" s="2">
        <v>0.39305555555555555</v>
      </c>
      <c r="F18" s="1">
        <f t="shared" si="0"/>
        <v>0.68333333333333357</v>
      </c>
      <c r="H18" s="1">
        <v>27.6</v>
      </c>
      <c r="I18" s="1">
        <v>3</v>
      </c>
      <c r="J18" s="1">
        <v>36</v>
      </c>
    </row>
    <row r="19" spans="1:10" ht="17" thickBot="1" x14ac:dyDescent="0.25">
      <c r="A19" s="15">
        <v>45908</v>
      </c>
      <c r="B19" s="17">
        <v>3</v>
      </c>
      <c r="C19" s="11">
        <v>4</v>
      </c>
      <c r="D19" s="12">
        <v>0.36666666666666664</v>
      </c>
      <c r="E19" s="12">
        <v>0.39444444444444443</v>
      </c>
      <c r="F19" s="11">
        <f t="shared" si="0"/>
        <v>0.66666666666666696</v>
      </c>
      <c r="G19" s="11"/>
      <c r="H19" s="11"/>
      <c r="I19" s="11">
        <v>3</v>
      </c>
      <c r="J19" s="11">
        <v>36</v>
      </c>
    </row>
    <row r="20" spans="1:10" x14ac:dyDescent="0.2">
      <c r="A20" s="20"/>
      <c r="B20" s="21"/>
      <c r="C20" s="20" t="s">
        <v>96</v>
      </c>
      <c r="D20" s="20"/>
      <c r="E20" s="20"/>
      <c r="F20" s="20">
        <v>0</v>
      </c>
      <c r="G20" s="20"/>
      <c r="H20" s="20"/>
      <c r="I20" s="20"/>
      <c r="J20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serum</vt:lpstr>
      <vt:lpstr>serum_2</vt:lpstr>
      <vt:lpstr>liver TAG saponified</vt:lpstr>
      <vt:lpstr>liver TCA</vt:lpstr>
      <vt:lpstr>sampleID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2025-05-25T14:40:46Z</dcterms:created>
  <dcterms:modified xsi:type="dcterms:W3CDTF">2026-07-04T19:28:37Z</dcterms:modified>
</cp:coreProperties>
</file>