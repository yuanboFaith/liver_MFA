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yuan/Desktop/Harvard/Research/Energy Metabolism Atlas/liver TAG tracing kinetics/pulse-chase Refed/"/>
    </mc:Choice>
  </mc:AlternateContent>
  <xr:revisionPtr revIDLastSave="0" documentId="13_ncr:1_{6CDF2352-982C-D945-AF6E-C745A1F4B898}" xr6:coauthVersionLast="47" xr6:coauthVersionMax="47" xr10:uidLastSave="{00000000-0000-0000-0000-000000000000}"/>
  <bookViews>
    <workbookView xWindow="0" yWindow="740" windowWidth="30240" windowHeight="18900" activeTab="5" xr2:uid="{DF0290B9-D322-A743-B1A2-9A8E93FBFCF3}"/>
  </bookViews>
  <sheets>
    <sheet name="all data" sheetId="1" r:id="rId1"/>
    <sheet name="serum" sheetId="4" r:id="rId2"/>
    <sheet name="liver" sheetId="3" r:id="rId3"/>
    <sheet name="saponification" sheetId="2" r:id="rId4"/>
    <sheet name="sampleID_chase" sheetId="6" r:id="rId5"/>
    <sheet name="sampleID_pulse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6" l="1"/>
  <c r="I4" i="6"/>
  <c r="I5" i="6"/>
  <c r="I2" i="6"/>
  <c r="G3" i="6"/>
  <c r="G4" i="6"/>
  <c r="G5" i="6"/>
  <c r="G2" i="6"/>
  <c r="F6" i="5"/>
  <c r="F7" i="5"/>
  <c r="F5" i="5"/>
  <c r="F3" i="5"/>
  <c r="F4" i="5"/>
  <c r="F2" i="5"/>
  <c r="AG62" i="1"/>
  <c r="Z42" i="1"/>
  <c r="R52" i="1"/>
  <c r="R46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O42" i="1"/>
  <c r="P42" i="1"/>
  <c r="Q42" i="1"/>
  <c r="R42" i="1"/>
  <c r="S42" i="1"/>
  <c r="T42" i="1"/>
  <c r="U42" i="1"/>
  <c r="V42" i="1"/>
  <c r="W42" i="1"/>
  <c r="X42" i="1"/>
  <c r="O43" i="1"/>
  <c r="P43" i="1"/>
  <c r="Q43" i="1"/>
  <c r="R43" i="1"/>
  <c r="S43" i="1"/>
  <c r="T43" i="1"/>
  <c r="U43" i="1"/>
  <c r="V43" i="1"/>
  <c r="W43" i="1"/>
  <c r="X43" i="1"/>
  <c r="O44" i="1"/>
  <c r="P44" i="1"/>
  <c r="Q44" i="1"/>
  <c r="R44" i="1"/>
  <c r="S44" i="1"/>
  <c r="T44" i="1"/>
  <c r="U44" i="1"/>
  <c r="V44" i="1"/>
  <c r="W44" i="1"/>
  <c r="X44" i="1"/>
  <c r="O45" i="1"/>
  <c r="P45" i="1"/>
  <c r="Q45" i="1"/>
  <c r="R45" i="1"/>
  <c r="S45" i="1"/>
  <c r="T45" i="1"/>
  <c r="U45" i="1"/>
  <c r="V45" i="1"/>
  <c r="W45" i="1"/>
  <c r="X45" i="1"/>
  <c r="O46" i="1"/>
  <c r="P46" i="1"/>
  <c r="Q46" i="1"/>
  <c r="S46" i="1"/>
  <c r="T46" i="1"/>
  <c r="U46" i="1"/>
  <c r="V46" i="1"/>
  <c r="W46" i="1"/>
  <c r="X46" i="1"/>
  <c r="O47" i="1"/>
  <c r="P47" i="1"/>
  <c r="Q47" i="1"/>
  <c r="R47" i="1"/>
  <c r="S47" i="1"/>
  <c r="T47" i="1"/>
  <c r="U47" i="1"/>
  <c r="V47" i="1"/>
  <c r="W47" i="1"/>
  <c r="X47" i="1"/>
  <c r="O48" i="1"/>
  <c r="P48" i="1"/>
  <c r="Q48" i="1"/>
  <c r="R48" i="1"/>
  <c r="S48" i="1"/>
  <c r="T48" i="1"/>
  <c r="U48" i="1"/>
  <c r="V48" i="1"/>
  <c r="W48" i="1"/>
  <c r="X48" i="1"/>
  <c r="O49" i="1"/>
  <c r="P49" i="1"/>
  <c r="Q49" i="1"/>
  <c r="R49" i="1"/>
  <c r="S49" i="1"/>
  <c r="T49" i="1"/>
  <c r="U49" i="1"/>
  <c r="V49" i="1"/>
  <c r="W49" i="1"/>
  <c r="X49" i="1"/>
  <c r="O50" i="1"/>
  <c r="P50" i="1"/>
  <c r="Q50" i="1"/>
  <c r="R50" i="1"/>
  <c r="S50" i="1"/>
  <c r="T50" i="1"/>
  <c r="U50" i="1"/>
  <c r="V50" i="1"/>
  <c r="W50" i="1"/>
  <c r="X50" i="1"/>
  <c r="O51" i="1"/>
  <c r="P51" i="1"/>
  <c r="Q51" i="1"/>
  <c r="R51" i="1"/>
  <c r="S51" i="1"/>
  <c r="T51" i="1"/>
  <c r="U51" i="1"/>
  <c r="V51" i="1"/>
  <c r="W51" i="1"/>
  <c r="X51" i="1"/>
  <c r="O52" i="1"/>
  <c r="P52" i="1"/>
  <c r="Q52" i="1"/>
  <c r="S52" i="1"/>
  <c r="T52" i="1"/>
  <c r="U52" i="1"/>
  <c r="V52" i="1"/>
  <c r="W52" i="1"/>
  <c r="X52" i="1"/>
  <c r="O53" i="1"/>
  <c r="P53" i="1"/>
  <c r="Q53" i="1"/>
  <c r="R53" i="1"/>
  <c r="S53" i="1"/>
  <c r="T53" i="1"/>
  <c r="U53" i="1"/>
  <c r="V53" i="1"/>
  <c r="W53" i="1"/>
  <c r="X53" i="1"/>
  <c r="O54" i="1"/>
  <c r="P54" i="1"/>
  <c r="Q54" i="1"/>
  <c r="R54" i="1"/>
  <c r="S54" i="1"/>
  <c r="T54" i="1"/>
  <c r="U54" i="1"/>
  <c r="V54" i="1"/>
  <c r="W54" i="1"/>
  <c r="X54" i="1"/>
  <c r="O55" i="1"/>
  <c r="P55" i="1"/>
  <c r="Q55" i="1"/>
  <c r="R55" i="1"/>
  <c r="S55" i="1"/>
  <c r="T55" i="1"/>
  <c r="U55" i="1"/>
  <c r="V55" i="1"/>
  <c r="W55" i="1"/>
  <c r="X55" i="1"/>
  <c r="O56" i="1"/>
  <c r="P56" i="1"/>
  <c r="Q56" i="1"/>
  <c r="R56" i="1"/>
  <c r="S56" i="1"/>
  <c r="T56" i="1"/>
  <c r="U56" i="1"/>
  <c r="V56" i="1"/>
  <c r="W56" i="1"/>
  <c r="X56" i="1"/>
  <c r="O57" i="1"/>
  <c r="P57" i="1"/>
  <c r="Q57" i="1"/>
  <c r="R57" i="1"/>
  <c r="S57" i="1"/>
  <c r="T57" i="1"/>
  <c r="U57" i="1"/>
  <c r="V57" i="1"/>
  <c r="W57" i="1"/>
  <c r="X57" i="1"/>
  <c r="O58" i="1"/>
  <c r="P58" i="1"/>
  <c r="Q58" i="1"/>
  <c r="R58" i="1"/>
  <c r="S58" i="1"/>
  <c r="T58" i="1"/>
  <c r="U58" i="1"/>
  <c r="V58" i="1"/>
  <c r="W58" i="1"/>
  <c r="X58" i="1"/>
  <c r="O59" i="1"/>
  <c r="P59" i="1"/>
  <c r="Q59" i="1"/>
  <c r="R59" i="1"/>
  <c r="S59" i="1"/>
  <c r="T59" i="1"/>
  <c r="U59" i="1"/>
  <c r="V59" i="1"/>
  <c r="W59" i="1"/>
  <c r="X59" i="1"/>
  <c r="O60" i="1"/>
  <c r="P60" i="1"/>
  <c r="Q60" i="1"/>
  <c r="R60" i="1"/>
  <c r="S60" i="1"/>
  <c r="T60" i="1"/>
  <c r="U60" i="1"/>
  <c r="V60" i="1"/>
  <c r="W60" i="1"/>
  <c r="X60" i="1"/>
  <c r="O61" i="1"/>
  <c r="P61" i="1"/>
  <c r="Q61" i="1"/>
  <c r="R61" i="1"/>
  <c r="S61" i="1"/>
  <c r="T61" i="1"/>
  <c r="U61" i="1"/>
  <c r="V61" i="1"/>
  <c r="W61" i="1"/>
  <c r="X61" i="1"/>
  <c r="O62" i="1"/>
  <c r="P62" i="1"/>
  <c r="Q62" i="1"/>
  <c r="R62" i="1"/>
  <c r="S62" i="1"/>
  <c r="T62" i="1"/>
  <c r="U62" i="1"/>
  <c r="V62" i="1"/>
  <c r="W62" i="1"/>
  <c r="X62" i="1"/>
  <c r="O63" i="1"/>
  <c r="P63" i="1"/>
  <c r="Q63" i="1"/>
  <c r="R63" i="1"/>
  <c r="S63" i="1"/>
  <c r="T63" i="1"/>
  <c r="U63" i="1"/>
  <c r="V63" i="1"/>
  <c r="W63" i="1"/>
  <c r="X63" i="1"/>
  <c r="O64" i="1"/>
  <c r="P64" i="1"/>
  <c r="Q64" i="1"/>
  <c r="R64" i="1"/>
  <c r="S64" i="1"/>
  <c r="T64" i="1"/>
  <c r="U64" i="1"/>
  <c r="V64" i="1"/>
  <c r="W64" i="1"/>
  <c r="X64" i="1"/>
  <c r="O65" i="1"/>
  <c r="P65" i="1"/>
  <c r="Q65" i="1"/>
  <c r="R65" i="1"/>
  <c r="S65" i="1"/>
  <c r="T65" i="1"/>
  <c r="U65" i="1"/>
  <c r="V65" i="1"/>
  <c r="W65" i="1"/>
  <c r="X65" i="1"/>
  <c r="O66" i="1"/>
  <c r="P66" i="1"/>
  <c r="Q66" i="1"/>
  <c r="R66" i="1"/>
  <c r="S66" i="1"/>
  <c r="T66" i="1"/>
  <c r="U66" i="1"/>
  <c r="V66" i="1"/>
  <c r="W66" i="1"/>
  <c r="X66" i="1"/>
  <c r="O67" i="1"/>
  <c r="P67" i="1"/>
  <c r="Q67" i="1"/>
  <c r="R67" i="1"/>
  <c r="S67" i="1"/>
  <c r="T67" i="1"/>
  <c r="U67" i="1"/>
  <c r="V67" i="1"/>
  <c r="W67" i="1"/>
  <c r="X67" i="1"/>
  <c r="O68" i="1"/>
  <c r="P68" i="1"/>
  <c r="Q68" i="1"/>
  <c r="R68" i="1"/>
  <c r="S68" i="1"/>
  <c r="T68" i="1"/>
  <c r="U68" i="1"/>
  <c r="V68" i="1"/>
  <c r="W68" i="1"/>
  <c r="X68" i="1"/>
  <c r="O69" i="1"/>
  <c r="P69" i="1"/>
  <c r="Q69" i="1"/>
  <c r="R69" i="1"/>
  <c r="S69" i="1"/>
  <c r="T69" i="1"/>
  <c r="U69" i="1"/>
  <c r="V69" i="1"/>
  <c r="W69" i="1"/>
  <c r="X69" i="1"/>
  <c r="O70" i="1"/>
  <c r="P70" i="1"/>
  <c r="Q70" i="1"/>
  <c r="R70" i="1"/>
  <c r="S70" i="1"/>
  <c r="T70" i="1"/>
  <c r="U70" i="1"/>
  <c r="V70" i="1"/>
  <c r="W70" i="1"/>
  <c r="X70" i="1"/>
  <c r="O71" i="1"/>
  <c r="P71" i="1"/>
  <c r="Q71" i="1"/>
  <c r="R71" i="1"/>
  <c r="S71" i="1"/>
  <c r="T71" i="1"/>
  <c r="U71" i="1"/>
  <c r="V71" i="1"/>
  <c r="W71" i="1"/>
  <c r="X71" i="1"/>
  <c r="O72" i="1"/>
  <c r="P72" i="1"/>
  <c r="Q72" i="1"/>
  <c r="R72" i="1"/>
  <c r="S72" i="1"/>
  <c r="T72" i="1"/>
  <c r="U72" i="1"/>
  <c r="V72" i="1"/>
  <c r="W72" i="1"/>
  <c r="X72" i="1"/>
  <c r="O73" i="1"/>
  <c r="P73" i="1"/>
  <c r="Q73" i="1"/>
  <c r="R73" i="1"/>
  <c r="S73" i="1"/>
  <c r="T73" i="1"/>
  <c r="U73" i="1"/>
  <c r="V73" i="1"/>
  <c r="W73" i="1"/>
  <c r="X73" i="1"/>
  <c r="O74" i="1"/>
  <c r="P74" i="1"/>
  <c r="Q74" i="1"/>
  <c r="R74" i="1"/>
  <c r="S74" i="1"/>
  <c r="T74" i="1"/>
  <c r="U74" i="1"/>
  <c r="V74" i="1"/>
  <c r="W74" i="1"/>
  <c r="X74" i="1"/>
  <c r="O75" i="1"/>
  <c r="P75" i="1"/>
  <c r="Q75" i="1"/>
  <c r="R75" i="1"/>
  <c r="S75" i="1"/>
  <c r="T75" i="1"/>
  <c r="U75" i="1"/>
  <c r="V75" i="1"/>
  <c r="W75" i="1"/>
  <c r="X75" i="1"/>
  <c r="E42" i="1"/>
  <c r="F42" i="1"/>
  <c r="G42" i="1"/>
  <c r="H42" i="1"/>
  <c r="I42" i="1"/>
  <c r="J42" i="1"/>
  <c r="K42" i="1"/>
  <c r="L42" i="1"/>
  <c r="M42" i="1"/>
  <c r="E43" i="1"/>
  <c r="F43" i="1"/>
  <c r="G43" i="1"/>
  <c r="H43" i="1"/>
  <c r="I43" i="1"/>
  <c r="J43" i="1"/>
  <c r="K43" i="1"/>
  <c r="L43" i="1"/>
  <c r="M43" i="1"/>
  <c r="E44" i="1"/>
  <c r="F44" i="1"/>
  <c r="G44" i="1"/>
  <c r="H44" i="1"/>
  <c r="I44" i="1"/>
  <c r="J44" i="1"/>
  <c r="K44" i="1"/>
  <c r="L44" i="1"/>
  <c r="M44" i="1"/>
  <c r="E45" i="1"/>
  <c r="F45" i="1"/>
  <c r="G45" i="1"/>
  <c r="H45" i="1"/>
  <c r="I45" i="1"/>
  <c r="J45" i="1"/>
  <c r="K45" i="1"/>
  <c r="L45" i="1"/>
  <c r="M45" i="1"/>
  <c r="E46" i="1"/>
  <c r="F46" i="1"/>
  <c r="G46" i="1"/>
  <c r="H46" i="1"/>
  <c r="I46" i="1"/>
  <c r="J46" i="1"/>
  <c r="K46" i="1"/>
  <c r="L46" i="1"/>
  <c r="M46" i="1"/>
  <c r="E47" i="1"/>
  <c r="F47" i="1"/>
  <c r="G47" i="1"/>
  <c r="H47" i="1"/>
  <c r="I47" i="1"/>
  <c r="J47" i="1"/>
  <c r="K47" i="1"/>
  <c r="L47" i="1"/>
  <c r="M47" i="1"/>
  <c r="E48" i="1"/>
  <c r="F48" i="1"/>
  <c r="G48" i="1"/>
  <c r="H48" i="1"/>
  <c r="I48" i="1"/>
  <c r="J48" i="1"/>
  <c r="K48" i="1"/>
  <c r="L48" i="1"/>
  <c r="M48" i="1"/>
  <c r="E49" i="1"/>
  <c r="F49" i="1"/>
  <c r="G49" i="1"/>
  <c r="H49" i="1"/>
  <c r="I49" i="1"/>
  <c r="J49" i="1"/>
  <c r="K49" i="1"/>
  <c r="L49" i="1"/>
  <c r="M49" i="1"/>
  <c r="E50" i="1"/>
  <c r="F50" i="1"/>
  <c r="G50" i="1"/>
  <c r="H50" i="1"/>
  <c r="I50" i="1"/>
  <c r="J50" i="1"/>
  <c r="K50" i="1"/>
  <c r="L50" i="1"/>
  <c r="M50" i="1"/>
  <c r="E51" i="1"/>
  <c r="F51" i="1"/>
  <c r="G51" i="1"/>
  <c r="H51" i="1"/>
  <c r="I51" i="1"/>
  <c r="J51" i="1"/>
  <c r="K51" i="1"/>
  <c r="L51" i="1"/>
  <c r="M51" i="1"/>
  <c r="E52" i="1"/>
  <c r="F52" i="1"/>
  <c r="G52" i="1"/>
  <c r="H52" i="1"/>
  <c r="I52" i="1"/>
  <c r="J52" i="1"/>
  <c r="K52" i="1"/>
  <c r="L52" i="1"/>
  <c r="M52" i="1"/>
  <c r="E53" i="1"/>
  <c r="F53" i="1"/>
  <c r="G53" i="1"/>
  <c r="H53" i="1"/>
  <c r="I53" i="1"/>
  <c r="J53" i="1"/>
  <c r="K53" i="1"/>
  <c r="L53" i="1"/>
  <c r="M53" i="1"/>
  <c r="E54" i="1"/>
  <c r="F54" i="1"/>
  <c r="G54" i="1"/>
  <c r="H54" i="1"/>
  <c r="I54" i="1"/>
  <c r="J54" i="1"/>
  <c r="K54" i="1"/>
  <c r="L54" i="1"/>
  <c r="M54" i="1"/>
  <c r="E55" i="1"/>
  <c r="F55" i="1"/>
  <c r="G55" i="1"/>
  <c r="H55" i="1"/>
  <c r="I55" i="1"/>
  <c r="J55" i="1"/>
  <c r="K55" i="1"/>
  <c r="L55" i="1"/>
  <c r="M55" i="1"/>
  <c r="E56" i="1"/>
  <c r="F56" i="1"/>
  <c r="G56" i="1"/>
  <c r="H56" i="1"/>
  <c r="I56" i="1"/>
  <c r="J56" i="1"/>
  <c r="K56" i="1"/>
  <c r="L56" i="1"/>
  <c r="M56" i="1"/>
  <c r="E57" i="1"/>
  <c r="F57" i="1"/>
  <c r="G57" i="1"/>
  <c r="H57" i="1"/>
  <c r="I57" i="1"/>
  <c r="J57" i="1"/>
  <c r="K57" i="1"/>
  <c r="L57" i="1"/>
  <c r="M57" i="1"/>
  <c r="E58" i="1"/>
  <c r="F58" i="1"/>
  <c r="G58" i="1"/>
  <c r="H58" i="1"/>
  <c r="I58" i="1"/>
  <c r="J58" i="1"/>
  <c r="K58" i="1"/>
  <c r="L58" i="1"/>
  <c r="M58" i="1"/>
  <c r="E59" i="1"/>
  <c r="F59" i="1"/>
  <c r="G59" i="1"/>
  <c r="H59" i="1"/>
  <c r="I59" i="1"/>
  <c r="J59" i="1"/>
  <c r="K59" i="1"/>
  <c r="L59" i="1"/>
  <c r="M59" i="1"/>
  <c r="E60" i="1"/>
  <c r="F60" i="1"/>
  <c r="G60" i="1"/>
  <c r="H60" i="1"/>
  <c r="I60" i="1"/>
  <c r="J60" i="1"/>
  <c r="K60" i="1"/>
  <c r="L60" i="1"/>
  <c r="M60" i="1"/>
  <c r="E61" i="1"/>
  <c r="F61" i="1"/>
  <c r="G61" i="1"/>
  <c r="H61" i="1"/>
  <c r="I61" i="1"/>
  <c r="J61" i="1"/>
  <c r="K61" i="1"/>
  <c r="L61" i="1"/>
  <c r="M61" i="1"/>
  <c r="E62" i="1"/>
  <c r="F62" i="1"/>
  <c r="G62" i="1"/>
  <c r="H62" i="1"/>
  <c r="I62" i="1"/>
  <c r="J62" i="1"/>
  <c r="K62" i="1"/>
  <c r="L62" i="1"/>
  <c r="M62" i="1"/>
  <c r="E63" i="1"/>
  <c r="F63" i="1"/>
  <c r="G63" i="1"/>
  <c r="H63" i="1"/>
  <c r="I63" i="1"/>
  <c r="J63" i="1"/>
  <c r="K63" i="1"/>
  <c r="L63" i="1"/>
  <c r="M63" i="1"/>
  <c r="E64" i="1"/>
  <c r="F64" i="1"/>
  <c r="G64" i="1"/>
  <c r="H64" i="1"/>
  <c r="I64" i="1"/>
  <c r="J64" i="1"/>
  <c r="K64" i="1"/>
  <c r="L64" i="1"/>
  <c r="M64" i="1"/>
  <c r="E65" i="1"/>
  <c r="F65" i="1"/>
  <c r="G65" i="1"/>
  <c r="H65" i="1"/>
  <c r="I65" i="1"/>
  <c r="J65" i="1"/>
  <c r="K65" i="1"/>
  <c r="L65" i="1"/>
  <c r="M65" i="1"/>
  <c r="E66" i="1"/>
  <c r="F66" i="1"/>
  <c r="G66" i="1"/>
  <c r="H66" i="1"/>
  <c r="I66" i="1"/>
  <c r="J66" i="1"/>
  <c r="K66" i="1"/>
  <c r="L66" i="1"/>
  <c r="M66" i="1"/>
  <c r="E67" i="1"/>
  <c r="F67" i="1"/>
  <c r="G67" i="1"/>
  <c r="H67" i="1"/>
  <c r="I67" i="1"/>
  <c r="J67" i="1"/>
  <c r="K67" i="1"/>
  <c r="L67" i="1"/>
  <c r="M67" i="1"/>
  <c r="E68" i="1"/>
  <c r="F68" i="1"/>
  <c r="G68" i="1"/>
  <c r="H68" i="1"/>
  <c r="I68" i="1"/>
  <c r="J68" i="1"/>
  <c r="K68" i="1"/>
  <c r="L68" i="1"/>
  <c r="M68" i="1"/>
  <c r="E69" i="1"/>
  <c r="F69" i="1"/>
  <c r="G69" i="1"/>
  <c r="H69" i="1"/>
  <c r="I69" i="1"/>
  <c r="J69" i="1"/>
  <c r="K69" i="1"/>
  <c r="L69" i="1"/>
  <c r="M69" i="1"/>
  <c r="E70" i="1"/>
  <c r="F70" i="1"/>
  <c r="G70" i="1"/>
  <c r="H70" i="1"/>
  <c r="I70" i="1"/>
  <c r="J70" i="1"/>
  <c r="K70" i="1"/>
  <c r="L70" i="1"/>
  <c r="M70" i="1"/>
  <c r="E71" i="1"/>
  <c r="F71" i="1"/>
  <c r="G71" i="1"/>
  <c r="H71" i="1"/>
  <c r="I71" i="1"/>
  <c r="J71" i="1"/>
  <c r="K71" i="1"/>
  <c r="L71" i="1"/>
  <c r="M71" i="1"/>
  <c r="E72" i="1"/>
  <c r="F72" i="1"/>
  <c r="G72" i="1"/>
  <c r="H72" i="1"/>
  <c r="I72" i="1"/>
  <c r="J72" i="1"/>
  <c r="K72" i="1"/>
  <c r="L72" i="1"/>
  <c r="M72" i="1"/>
  <c r="E73" i="1"/>
  <c r="F73" i="1"/>
  <c r="G73" i="1"/>
  <c r="H73" i="1"/>
  <c r="I73" i="1"/>
  <c r="J73" i="1"/>
  <c r="K73" i="1"/>
  <c r="L73" i="1"/>
  <c r="M73" i="1"/>
  <c r="E74" i="1"/>
  <c r="F74" i="1"/>
  <c r="G74" i="1"/>
  <c r="H74" i="1"/>
  <c r="I74" i="1"/>
  <c r="J74" i="1"/>
  <c r="K74" i="1"/>
  <c r="L74" i="1"/>
  <c r="M74" i="1"/>
  <c r="E75" i="1"/>
  <c r="F75" i="1"/>
  <c r="G75" i="1"/>
  <c r="H75" i="1"/>
  <c r="I75" i="1"/>
  <c r="J75" i="1"/>
  <c r="K75" i="1"/>
  <c r="L75" i="1"/>
  <c r="M75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42" i="1"/>
  <c r="Y43" i="1"/>
  <c r="Z43" i="1"/>
  <c r="AA43" i="1"/>
  <c r="AB43" i="1"/>
  <c r="AC43" i="1"/>
  <c r="AD43" i="1"/>
  <c r="AE43" i="1"/>
  <c r="AF43" i="1"/>
  <c r="AG43" i="1"/>
  <c r="AH43" i="1"/>
  <c r="AI43" i="1"/>
  <c r="Y44" i="1"/>
  <c r="Z44" i="1"/>
  <c r="AA44" i="1"/>
  <c r="AB44" i="1"/>
  <c r="AC44" i="1"/>
  <c r="AD44" i="1"/>
  <c r="AE44" i="1"/>
  <c r="AF44" i="1"/>
  <c r="AG44" i="1"/>
  <c r="AH44" i="1"/>
  <c r="AI44" i="1"/>
  <c r="Y45" i="1"/>
  <c r="Z45" i="1"/>
  <c r="AA45" i="1"/>
  <c r="AB45" i="1"/>
  <c r="AC45" i="1"/>
  <c r="AD45" i="1"/>
  <c r="AE45" i="1"/>
  <c r="AF45" i="1"/>
  <c r="AG45" i="1"/>
  <c r="AH45" i="1"/>
  <c r="AI45" i="1"/>
  <c r="Y46" i="1"/>
  <c r="Z46" i="1"/>
  <c r="AA46" i="1"/>
  <c r="AB46" i="1"/>
  <c r="AC46" i="1"/>
  <c r="AD46" i="1"/>
  <c r="AE46" i="1"/>
  <c r="AF46" i="1"/>
  <c r="AG46" i="1"/>
  <c r="AH46" i="1"/>
  <c r="AI46" i="1"/>
  <c r="Y47" i="1"/>
  <c r="Z47" i="1"/>
  <c r="AA47" i="1"/>
  <c r="AB47" i="1"/>
  <c r="AC47" i="1"/>
  <c r="AD47" i="1"/>
  <c r="AE47" i="1"/>
  <c r="AF47" i="1"/>
  <c r="AG47" i="1"/>
  <c r="AH47" i="1"/>
  <c r="AI47" i="1"/>
  <c r="Y48" i="1"/>
  <c r="Z48" i="1"/>
  <c r="AA48" i="1"/>
  <c r="AB48" i="1"/>
  <c r="AC48" i="1"/>
  <c r="AD48" i="1"/>
  <c r="AE48" i="1"/>
  <c r="AF48" i="1"/>
  <c r="AG48" i="1"/>
  <c r="AH48" i="1"/>
  <c r="AI48" i="1"/>
  <c r="Y49" i="1"/>
  <c r="Z49" i="1"/>
  <c r="AA49" i="1"/>
  <c r="AB49" i="1"/>
  <c r="AC49" i="1"/>
  <c r="AD49" i="1"/>
  <c r="AE49" i="1"/>
  <c r="AF49" i="1"/>
  <c r="AG49" i="1"/>
  <c r="AH49" i="1"/>
  <c r="AI49" i="1"/>
  <c r="Y50" i="1"/>
  <c r="Z50" i="1"/>
  <c r="AA50" i="1"/>
  <c r="AB50" i="1"/>
  <c r="AC50" i="1"/>
  <c r="AD50" i="1"/>
  <c r="AE50" i="1"/>
  <c r="AF50" i="1"/>
  <c r="AG50" i="1"/>
  <c r="AH50" i="1"/>
  <c r="AI50" i="1"/>
  <c r="Y51" i="1"/>
  <c r="Z51" i="1"/>
  <c r="AA51" i="1"/>
  <c r="AB51" i="1"/>
  <c r="AC51" i="1"/>
  <c r="AD51" i="1"/>
  <c r="AE51" i="1"/>
  <c r="AF51" i="1"/>
  <c r="AG51" i="1"/>
  <c r="AH51" i="1"/>
  <c r="AI51" i="1"/>
  <c r="Y52" i="1"/>
  <c r="Z52" i="1"/>
  <c r="AA52" i="1"/>
  <c r="AB52" i="1"/>
  <c r="AC52" i="1"/>
  <c r="AD52" i="1"/>
  <c r="AE52" i="1"/>
  <c r="AF52" i="1"/>
  <c r="AG52" i="1"/>
  <c r="AH52" i="1"/>
  <c r="AI52" i="1"/>
  <c r="Y53" i="1"/>
  <c r="Z53" i="1"/>
  <c r="AA53" i="1"/>
  <c r="AB53" i="1"/>
  <c r="AC53" i="1"/>
  <c r="AD53" i="1"/>
  <c r="AE53" i="1"/>
  <c r="AF53" i="1"/>
  <c r="AG53" i="1"/>
  <c r="AH53" i="1"/>
  <c r="AI53" i="1"/>
  <c r="Y54" i="1"/>
  <c r="Z54" i="1"/>
  <c r="AA54" i="1"/>
  <c r="AB54" i="1"/>
  <c r="AC54" i="1"/>
  <c r="AD54" i="1"/>
  <c r="AE54" i="1"/>
  <c r="AF54" i="1"/>
  <c r="AG54" i="1"/>
  <c r="AH54" i="1"/>
  <c r="AI54" i="1"/>
  <c r="Y55" i="1"/>
  <c r="Z55" i="1"/>
  <c r="AA55" i="1"/>
  <c r="AB55" i="1"/>
  <c r="AC55" i="1"/>
  <c r="AD55" i="1"/>
  <c r="AE55" i="1"/>
  <c r="AF55" i="1"/>
  <c r="AG55" i="1"/>
  <c r="AH55" i="1"/>
  <c r="AI55" i="1"/>
  <c r="Y56" i="1"/>
  <c r="Z56" i="1"/>
  <c r="AA56" i="1"/>
  <c r="AB56" i="1"/>
  <c r="AC56" i="1"/>
  <c r="AD56" i="1"/>
  <c r="AE56" i="1"/>
  <c r="AF56" i="1"/>
  <c r="AG56" i="1"/>
  <c r="AH56" i="1"/>
  <c r="AI56" i="1"/>
  <c r="Y57" i="1"/>
  <c r="Z57" i="1"/>
  <c r="AA57" i="1"/>
  <c r="AB57" i="1"/>
  <c r="AC57" i="1"/>
  <c r="AD57" i="1"/>
  <c r="AE57" i="1"/>
  <c r="AF57" i="1"/>
  <c r="AG57" i="1"/>
  <c r="AH57" i="1"/>
  <c r="AI57" i="1"/>
  <c r="Y58" i="1"/>
  <c r="Z58" i="1"/>
  <c r="AA58" i="1"/>
  <c r="AB58" i="1"/>
  <c r="AC58" i="1"/>
  <c r="AD58" i="1"/>
  <c r="AE58" i="1"/>
  <c r="AF58" i="1"/>
  <c r="AG58" i="1"/>
  <c r="AH58" i="1"/>
  <c r="AI58" i="1"/>
  <c r="Y59" i="1"/>
  <c r="Z59" i="1"/>
  <c r="AA59" i="1"/>
  <c r="AB59" i="1"/>
  <c r="AC59" i="1"/>
  <c r="AD59" i="1"/>
  <c r="AE59" i="1"/>
  <c r="AF59" i="1"/>
  <c r="AG59" i="1"/>
  <c r="AH59" i="1"/>
  <c r="AI59" i="1"/>
  <c r="Y60" i="1"/>
  <c r="Z60" i="1"/>
  <c r="AA60" i="1"/>
  <c r="AB60" i="1"/>
  <c r="AC60" i="1"/>
  <c r="AD60" i="1"/>
  <c r="AE60" i="1"/>
  <c r="AF60" i="1"/>
  <c r="AG60" i="1"/>
  <c r="AH60" i="1"/>
  <c r="AI60" i="1"/>
  <c r="Y61" i="1"/>
  <c r="Z61" i="1"/>
  <c r="AA61" i="1"/>
  <c r="AB61" i="1"/>
  <c r="AC61" i="1"/>
  <c r="AD61" i="1"/>
  <c r="AE61" i="1"/>
  <c r="AF61" i="1"/>
  <c r="AG61" i="1"/>
  <c r="AH61" i="1"/>
  <c r="AI61" i="1"/>
  <c r="Y62" i="1"/>
  <c r="Z62" i="1"/>
  <c r="AA62" i="1"/>
  <c r="AB62" i="1"/>
  <c r="AC62" i="1"/>
  <c r="AD62" i="1"/>
  <c r="AE62" i="1"/>
  <c r="AF62" i="1"/>
  <c r="AH62" i="1"/>
  <c r="AI62" i="1"/>
  <c r="Y63" i="1"/>
  <c r="Z63" i="1"/>
  <c r="AA63" i="1"/>
  <c r="AB63" i="1"/>
  <c r="AC63" i="1"/>
  <c r="AD63" i="1"/>
  <c r="AE63" i="1"/>
  <c r="AF63" i="1"/>
  <c r="AG63" i="1"/>
  <c r="AH63" i="1"/>
  <c r="AI63" i="1"/>
  <c r="Y64" i="1"/>
  <c r="Z64" i="1"/>
  <c r="AA64" i="1"/>
  <c r="AB64" i="1"/>
  <c r="AC64" i="1"/>
  <c r="AD64" i="1"/>
  <c r="AE64" i="1"/>
  <c r="AF64" i="1"/>
  <c r="AG64" i="1"/>
  <c r="AH64" i="1"/>
  <c r="AI64" i="1"/>
  <c r="Y65" i="1"/>
  <c r="Z65" i="1"/>
  <c r="AA65" i="1"/>
  <c r="AB65" i="1"/>
  <c r="AC65" i="1"/>
  <c r="AD65" i="1"/>
  <c r="AE65" i="1"/>
  <c r="AF65" i="1"/>
  <c r="AG65" i="1"/>
  <c r="AH65" i="1"/>
  <c r="AI65" i="1"/>
  <c r="Y66" i="1"/>
  <c r="Z66" i="1"/>
  <c r="AA66" i="1"/>
  <c r="AB66" i="1"/>
  <c r="AC66" i="1"/>
  <c r="AD66" i="1"/>
  <c r="AE66" i="1"/>
  <c r="AF66" i="1"/>
  <c r="AG66" i="1"/>
  <c r="AH66" i="1"/>
  <c r="AI66" i="1"/>
  <c r="Y67" i="1"/>
  <c r="Z67" i="1"/>
  <c r="AA67" i="1"/>
  <c r="AB67" i="1"/>
  <c r="AC67" i="1"/>
  <c r="AD67" i="1"/>
  <c r="AE67" i="1"/>
  <c r="AF67" i="1"/>
  <c r="AG67" i="1"/>
  <c r="AH67" i="1"/>
  <c r="AI67" i="1"/>
  <c r="Y68" i="1"/>
  <c r="Z68" i="1"/>
  <c r="AA68" i="1"/>
  <c r="AB68" i="1"/>
  <c r="AC68" i="1"/>
  <c r="AD68" i="1"/>
  <c r="AE68" i="1"/>
  <c r="AF68" i="1"/>
  <c r="AG68" i="1"/>
  <c r="AH68" i="1"/>
  <c r="AI68" i="1"/>
  <c r="Y69" i="1"/>
  <c r="Z69" i="1"/>
  <c r="AA69" i="1"/>
  <c r="AB69" i="1"/>
  <c r="AC69" i="1"/>
  <c r="AD69" i="1"/>
  <c r="AE69" i="1"/>
  <c r="AF69" i="1"/>
  <c r="AG69" i="1"/>
  <c r="AH69" i="1"/>
  <c r="AI69" i="1"/>
  <c r="Y70" i="1"/>
  <c r="Z70" i="1"/>
  <c r="AA70" i="1"/>
  <c r="AB70" i="1"/>
  <c r="AC70" i="1"/>
  <c r="AD70" i="1"/>
  <c r="AE70" i="1"/>
  <c r="AF70" i="1"/>
  <c r="AG70" i="1"/>
  <c r="AH70" i="1"/>
  <c r="AI70" i="1"/>
  <c r="Y71" i="1"/>
  <c r="Z71" i="1"/>
  <c r="AA71" i="1"/>
  <c r="AB71" i="1"/>
  <c r="AC71" i="1"/>
  <c r="AD71" i="1"/>
  <c r="AE71" i="1"/>
  <c r="AF71" i="1"/>
  <c r="AG71" i="1"/>
  <c r="AH71" i="1"/>
  <c r="AI71" i="1"/>
  <c r="Y72" i="1"/>
  <c r="Z72" i="1"/>
  <c r="AA72" i="1"/>
  <c r="AB72" i="1"/>
  <c r="AC72" i="1"/>
  <c r="AD72" i="1"/>
  <c r="AE72" i="1"/>
  <c r="AF72" i="1"/>
  <c r="AG72" i="1"/>
  <c r="AH72" i="1"/>
  <c r="AI72" i="1"/>
  <c r="Y73" i="1"/>
  <c r="Z73" i="1"/>
  <c r="AA73" i="1"/>
  <c r="AB73" i="1"/>
  <c r="AC73" i="1"/>
  <c r="AD73" i="1"/>
  <c r="AE73" i="1"/>
  <c r="AF73" i="1"/>
  <c r="AG73" i="1"/>
  <c r="AH73" i="1"/>
  <c r="AI73" i="1"/>
  <c r="Y74" i="1"/>
  <c r="Z74" i="1"/>
  <c r="AA74" i="1"/>
  <c r="AB74" i="1"/>
  <c r="AC74" i="1"/>
  <c r="AD74" i="1"/>
  <c r="AE74" i="1"/>
  <c r="AF74" i="1"/>
  <c r="AG74" i="1"/>
  <c r="AH74" i="1"/>
  <c r="AI74" i="1"/>
  <c r="Y75" i="1"/>
  <c r="Z75" i="1"/>
  <c r="AA75" i="1"/>
  <c r="AB75" i="1"/>
  <c r="AC75" i="1"/>
  <c r="AD75" i="1"/>
  <c r="AE75" i="1"/>
  <c r="AF75" i="1"/>
  <c r="AG75" i="1"/>
  <c r="AH75" i="1"/>
  <c r="AI75" i="1"/>
  <c r="AA42" i="1"/>
  <c r="AB42" i="1"/>
  <c r="AC42" i="1"/>
  <c r="AD42" i="1"/>
  <c r="AE42" i="1"/>
  <c r="AF42" i="1"/>
  <c r="AG42" i="1"/>
  <c r="AH42" i="1"/>
  <c r="AI42" i="1"/>
  <c r="Y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tc={541BAD1F-679E-F04F-A90D-6CF27BBB676D}</author>
  </authors>
  <commentList>
    <comment ref="N1" authorId="0" shapeId="0" xr:uid="{541BAD1F-679E-F04F-A90D-6CF27BBB676D}">
      <text>
        <t>[Threaded comment]
Your version of Excel allows you to read this threaded comment; however, any edits to it will get removed if the file is opened in a newer version of Excel. Learn more: https://go.microsoft.com/fwlink/?linkid=870924
Comment:
    To mark time 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tc={5A9FDE0E-7C0E-4546-9EF1-A47A3AD42B5F}</author>
  </authors>
  <commentList>
    <comment ref="N1" authorId="0" shapeId="0" xr:uid="{5A9FDE0E-7C0E-4546-9EF1-A47A3AD42B5F}">
      <text>
        <t>[Threaded comment]
Your version of Excel allows you to read this threaded comment; however, any edits to it will get removed if the file is opened in a newer version of Excel. Learn more: https://go.microsoft.com/fwlink/?linkid=870924
Comment:
    To mark the time zero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tc={A31A5AF3-EE62-724F-8745-54ADDFBBD1B9}</author>
  </authors>
  <commentList>
    <comment ref="N1" authorId="0" shapeId="0" xr:uid="{A31A5AF3-EE62-724F-8745-54ADDFBBD1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Mark time 0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tc={C47A4A1E-20E8-B94B-9959-2067EC5D5F26}</author>
  </authors>
  <commentList>
    <comment ref="I1" authorId="0" shapeId="0" xr:uid="{C47A4A1E-20E8-B94B-9959-2067EC5D5F26}">
      <text>
        <t>[Threaded comment]
Your version of Excel allows you to read this threaded comment; however, any edits to it will get removed if the file is opened in a newer version of Excel. Learn more: https://go.microsoft.com/fwlink/?linkid=870924
Comment:
    chase time (after end of infusion)</t>
      </text>
    </comment>
  </commentList>
</comments>
</file>

<file path=xl/sharedStrings.xml><?xml version="1.0" encoding="utf-8"?>
<sst xmlns="http://schemas.openxmlformats.org/spreadsheetml/2006/main" count="605" uniqueCount="101">
  <si>
    <t>isotopeLabel</t>
  </si>
  <si>
    <t>compound</t>
  </si>
  <si>
    <t>formula</t>
  </si>
  <si>
    <t>Liver_A</t>
  </si>
  <si>
    <t>Liver_B</t>
  </si>
  <si>
    <t>Liver_C</t>
  </si>
  <si>
    <t>Liver_D</t>
  </si>
  <si>
    <t>Liver_E</t>
  </si>
  <si>
    <t>Liver_F</t>
  </si>
  <si>
    <t>Liver_G</t>
  </si>
  <si>
    <t>Liver_H</t>
  </si>
  <si>
    <t>Liver_I</t>
  </si>
  <si>
    <t>Liver_J</t>
  </si>
  <si>
    <t>sap_blank</t>
  </si>
  <si>
    <t>sap_blank_1uL</t>
  </si>
  <si>
    <t>sap_Liver_1uL_A</t>
  </si>
  <si>
    <t>sap_Liver_1uL_B</t>
  </si>
  <si>
    <t>sap_Liver_1uL_C</t>
  </si>
  <si>
    <t>sap_Liver_1uL_D</t>
  </si>
  <si>
    <t>sap_Liver_1uL_E</t>
  </si>
  <si>
    <t>sap_Liver_1uL_F</t>
  </si>
  <si>
    <t>sap_Liver_1uL_G</t>
  </si>
  <si>
    <t>sap_Liver_1uL_H</t>
  </si>
  <si>
    <t>sap_Liver_1uL_I</t>
  </si>
  <si>
    <t>sap_Liver_1uL_J</t>
  </si>
  <si>
    <t>sap_Liver_A</t>
  </si>
  <si>
    <t>sap_Liver_B</t>
  </si>
  <si>
    <t>sap_Liver_C</t>
  </si>
  <si>
    <t>sap_Liver_D</t>
  </si>
  <si>
    <t>sap_Liver_E</t>
  </si>
  <si>
    <t>sap_Liver_F</t>
  </si>
  <si>
    <t>sap_Liver_G</t>
  </si>
  <si>
    <t>sap_Liver_H</t>
  </si>
  <si>
    <t>sap_Liver_I</t>
  </si>
  <si>
    <t>sap_Liver_J</t>
  </si>
  <si>
    <t>Serum_A</t>
  </si>
  <si>
    <t>Serum_B</t>
  </si>
  <si>
    <t>Serum_C</t>
  </si>
  <si>
    <t>Serum_D</t>
  </si>
  <si>
    <t>Serum_E</t>
  </si>
  <si>
    <t>Serum_F</t>
  </si>
  <si>
    <t>Serum_G</t>
  </si>
  <si>
    <t>Serum_H</t>
  </si>
  <si>
    <t>Serum_I</t>
  </si>
  <si>
    <t>Serum_J</t>
  </si>
  <si>
    <t>C12 PARENT</t>
  </si>
  <si>
    <t>C6H12O6</t>
  </si>
  <si>
    <t>C13-label-1</t>
  </si>
  <si>
    <t>C13-label-2</t>
  </si>
  <si>
    <t>C13-label-3</t>
  </si>
  <si>
    <t>C3H4O3</t>
  </si>
  <si>
    <t>C3H7NO2</t>
  </si>
  <si>
    <t>C3H6O3</t>
  </si>
  <si>
    <t>C4H6O5</t>
  </si>
  <si>
    <t>C4H6O4</t>
  </si>
  <si>
    <t>C18:2</t>
  </si>
  <si>
    <t>C18H32O2</t>
  </si>
  <si>
    <t>C13-label-15</t>
  </si>
  <si>
    <t>C13-label-16</t>
  </si>
  <si>
    <t>C13-label-17</t>
  </si>
  <si>
    <t>C13-label-18</t>
  </si>
  <si>
    <t>C5H10N2O3</t>
  </si>
  <si>
    <t>C13-label-4</t>
  </si>
  <si>
    <t>Glucose</t>
  </si>
  <si>
    <t>Pyruvate</t>
  </si>
  <si>
    <t>Alanine</t>
  </si>
  <si>
    <t>Lactate</t>
  </si>
  <si>
    <t>Malate</t>
  </si>
  <si>
    <t>Succinic acid</t>
  </si>
  <si>
    <t>Glutamine</t>
  </si>
  <si>
    <t>Raw data</t>
  </si>
  <si>
    <t>Subtract background (for sap samples)</t>
  </si>
  <si>
    <t>date</t>
  </si>
  <si>
    <t>batch</t>
  </si>
  <si>
    <t>mouse</t>
  </si>
  <si>
    <t>start time</t>
  </si>
  <si>
    <t>end time</t>
  </si>
  <si>
    <t>time (h)</t>
  </si>
  <si>
    <t>body mass (g)</t>
  </si>
  <si>
    <t>inf. rate (uL/min)</t>
  </si>
  <si>
    <t>conc.mM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</si>
  <si>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</si>
  <si>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</si>
  <si>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</si>
  <si>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</si>
  <si>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</si>
  <si>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</si>
  <si>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</si>
  <si>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</si>
  <si>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</si>
  <si>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</si>
  <si>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</si>
  <si>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infusion start = chase start</t>
  </si>
  <si>
    <t>infusion end</t>
  </si>
  <si>
    <t>body weight</t>
  </si>
  <si>
    <t>infusion time (h)</t>
  </si>
  <si>
    <t>SAC = chase end</t>
  </si>
  <si>
    <t>TAG C18:2</t>
  </si>
  <si>
    <t>Liver_K</t>
  </si>
  <si>
    <t>Serum_K</t>
  </si>
  <si>
    <t>sap_Liver_K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</si>
</sst>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Tahoma"/>
      <family val="2"/>
    </font>
    <font>
      <sz val="8"/>
      <name val="Aptos Narrow"/>
      <family val="2"/>
      <scheme val="minor"/>
    </font>
    <font>
      <b/>
      <sz val="12"/>
      <color rgb="FFFF0000"/>
      <name val="Aptos Narrow"/>
      <scheme val="minor"/>
    </font>
    <font>
      <sz val="12"/>
      <color rgb="FFFF0000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7030A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11" fontId="0" fillId="0" borderId="0" xfId="0" applyNumberFormat="1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/>
    <xf numFmtId="0" fontId="18" fillId="0" borderId="10" xfId="0" applyFont="1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0" xfId="0" applyBorder="1"/>
    <xf numFmtId="0" fontId="18" fillId="0" borderId="11" xfId="0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0" fontId="0" fillId="0" borderId="11" xfId="0" applyBorder="1"/>
    <xf numFmtId="0" fontId="20" fillId="0" borderId="0" xfId="0" applyFont="1" applyAlignment="1">
      <alignment horizontal="left"/>
    </xf>
    <xf numFmtId="2" fontId="20" fillId="0" borderId="0" xfId="0" applyNumberFormat="1" applyFont="1" applyAlignment="1">
      <alignment horizontal="left"/>
    </xf>
    <xf numFmtId="16" fontId="20" fillId="0" borderId="0" xfId="0" applyNumberFormat="1" applyFont="1" applyAlignment="1">
      <alignment horizontal="left"/>
    </xf>
    <xf numFmtId="1" fontId="20" fillId="0" borderId="0" xfId="0" applyNumberFormat="1" applyFont="1" applyAlignment="1">
      <alignment horizontal="left"/>
    </xf>
    <xf numFmtId="18" fontId="20" fillId="0" borderId="0" xfId="0" applyNumberFormat="1" applyFont="1" applyAlignment="1">
      <alignment horizontal="left"/>
    </xf>
    <xf numFmtId="0" fontId="20" fillId="0" borderId="13" xfId="0" applyFont="1" applyBorder="1" applyAlignment="1">
      <alignment horizontal="left"/>
    </xf>
    <xf numFmtId="2" fontId="20" fillId="0" borderId="13" xfId="0" applyNumberFormat="1" applyFont="1" applyBorder="1" applyAlignment="1">
      <alignment horizontal="left"/>
    </xf>
    <xf numFmtId="164" fontId="20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  <xf numFmtId="18" fontId="21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18" fontId="0" fillId="0" borderId="0" xfId="0" applyNumberFormat="1" applyAlignment="1">
      <alignment horizontal="left"/>
    </xf>
    <xf numFmtId="0" fontId="19" fillId="33" borderId="0" xfId="0" applyFont="1" applyFill="1" applyAlignment="1">
      <alignment horizontal="center"/>
    </xf>
    <xf numFmtId="0" fontId="24" fillId="0" borderId="0" xfId="0" applyFont="1" applyAlignment="1">
      <alignment horizontal="left"/>
    </xf>
    <xf numFmtId="1" fontId="18" fillId="0" borderId="0" xfId="0" applyNumberFormat="1" applyFont="1" applyAlignment="1">
      <alignment horizontal="left"/>
    </xf>
    <xf numFmtId="11" fontId="18" fillId="0" borderId="0" xfId="0" applyNumberFormat="1" applyFont="1" applyAlignment="1">
      <alignment horizontal="left"/>
    </xf>
    <xf numFmtId="0" fontId="14" fillId="0" borderId="0" xfId="0" applyFont="1"/>
    <xf numFmtId="0" fontId="24" fillId="0" borderId="11" xfId="0" applyFont="1" applyBorder="1" applyAlignment="1">
      <alignment horizontal="left"/>
    </xf>
    <xf numFmtId="1" fontId="25" fillId="0" borderId="0" xfId="0" applyNumberFormat="1" applyFont="1" applyAlignment="1">
      <alignment horizontal="left"/>
    </xf>
    <xf numFmtId="0" fontId="25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uan, Bo" id="{96472DA9-C3BB-2244-B9DE-0EF95F5911D4}" userId="S::bo_yuan@hsph.harvard.edu::41d2fd6e-1db7-4851-8b22-9e19671fc0e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5-12-20T07:12:11.01" personId="{96472DA9-C3BB-2244-B9DE-0EF95F5911D4}" id="{541BAD1F-679E-F04F-A90D-6CF27BBB676D}">
    <text>To mark time 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1" dT="2025-12-20T07:11:15.51" personId="{96472DA9-C3BB-2244-B9DE-0EF95F5911D4}" id="{5A9FDE0E-7C0E-4546-9EF1-A47A3AD42B5F}">
    <text>To mark the time zero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1" dT="2025-12-20T07:13:21.34" personId="{96472DA9-C3BB-2244-B9DE-0EF95F5911D4}" id="{A31A5AF3-EE62-724F-8745-54ADDFBBD1B9}">
    <text xml:space="preserve">Mark time 0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I1" dT="2025-12-19T14:52:45.27" personId="{96472DA9-C3BB-2244-B9DE-0EF95F5911D4}" id="{C47A4A1E-20E8-B94B-9959-2067EC5D5F26}">
    <text>chase time (after end of infusion)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084D-96F1-D74A-8760-5D02AB78347A}">
  <dimension ref="A1:AS75"/>
  <sheetViews>
    <sheetView zoomScale="90" workbookViewId="0">
      <pane ySplit="2" topLeftCell="A32" activePane="bottomLeft" state="frozen"/>
      <selection pane="bottomLeft" activeCell="J40" sqref="J40"/>
    </sheetView>
  </sheetViews>
  <sheetFormatPr baseColWidth="10" defaultRowHeight="16" x14ac:dyDescent="0.2"/>
  <cols>
    <col min="1" max="1" width="11.83203125" bestFit="1" customWidth="1"/>
    <col min="2" max="2" width="12" bestFit="1" customWidth="1"/>
    <col min="3" max="3" width="11.5" bestFit="1" customWidth="1"/>
    <col min="4" max="13" width="11.33203125" bestFit="1" customWidth="1"/>
    <col min="14" max="14" width="10.33203125" style="9" bestFit="1" customWidth="1"/>
    <col min="15" max="15" width="11.33203125" style="9" bestFit="1" customWidth="1"/>
    <col min="16" max="17" width="11.33203125" bestFit="1" customWidth="1"/>
    <col min="18" max="18" width="11.1640625" bestFit="1" customWidth="1"/>
    <col min="19" max="21" width="11.33203125" bestFit="1" customWidth="1"/>
    <col min="22" max="22" width="11" bestFit="1" customWidth="1"/>
    <col min="23" max="24" width="11.33203125" bestFit="1" customWidth="1"/>
    <col min="25" max="25" width="13.1640625" style="9" bestFit="1" customWidth="1"/>
    <col min="26" max="26" width="14.5" style="9" bestFit="1" customWidth="1"/>
    <col min="27" max="27" width="14.5" bestFit="1" customWidth="1"/>
    <col min="28" max="29" width="14.6640625" bestFit="1" customWidth="1"/>
    <col min="30" max="31" width="14.33203125" bestFit="1" customWidth="1"/>
    <col min="32" max="33" width="14.6640625" bestFit="1" customWidth="1"/>
    <col min="34" max="34" width="13.83203125" bestFit="1" customWidth="1"/>
    <col min="35" max="35" width="14" bestFit="1" customWidth="1"/>
    <col min="36" max="41" width="11.33203125" bestFit="1" customWidth="1"/>
    <col min="42" max="42" width="10.33203125" bestFit="1" customWidth="1"/>
    <col min="43" max="45" width="11.33203125" bestFit="1" customWidth="1"/>
    <col min="46" max="46" width="18.83203125" bestFit="1" customWidth="1"/>
    <col min="47" max="47" width="18" bestFit="1" customWidth="1"/>
    <col min="48" max="48" width="18.1640625" bestFit="1" customWidth="1"/>
  </cols>
  <sheetData>
    <row r="1" spans="1:45" ht="24" x14ac:dyDescent="0.3">
      <c r="A1" s="25" t="s">
        <v>70</v>
      </c>
      <c r="B1" s="25"/>
    </row>
    <row r="2" spans="1:45" s="6" customFormat="1" x14ac:dyDescent="0.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7" t="s">
        <v>13</v>
      </c>
      <c r="O2" s="7" t="s">
        <v>25</v>
      </c>
      <c r="P2" s="5" t="s">
        <v>26</v>
      </c>
      <c r="Q2" s="5" t="s">
        <v>27</v>
      </c>
      <c r="R2" s="5" t="s">
        <v>28</v>
      </c>
      <c r="S2" s="5" t="s">
        <v>29</v>
      </c>
      <c r="T2" s="5" t="s">
        <v>30</v>
      </c>
      <c r="U2" s="5" t="s">
        <v>31</v>
      </c>
      <c r="V2" s="5" t="s">
        <v>32</v>
      </c>
      <c r="W2" s="5" t="s">
        <v>33</v>
      </c>
      <c r="X2" s="5" t="s">
        <v>34</v>
      </c>
      <c r="Y2" s="7" t="s">
        <v>14</v>
      </c>
      <c r="Z2" s="7" t="s">
        <v>15</v>
      </c>
      <c r="AA2" s="5" t="s">
        <v>16</v>
      </c>
      <c r="AB2" s="5" t="s">
        <v>17</v>
      </c>
      <c r="AC2" s="5" t="s">
        <v>18</v>
      </c>
      <c r="AD2" s="5" t="s">
        <v>19</v>
      </c>
      <c r="AE2" s="5" t="s">
        <v>20</v>
      </c>
      <c r="AF2" s="5" t="s">
        <v>21</v>
      </c>
      <c r="AG2" s="5" t="s">
        <v>22</v>
      </c>
      <c r="AH2" s="5" t="s">
        <v>23</v>
      </c>
      <c r="AI2" s="5" t="s">
        <v>24</v>
      </c>
      <c r="AJ2" s="5" t="s">
        <v>35</v>
      </c>
      <c r="AK2" s="5" t="s">
        <v>36</v>
      </c>
      <c r="AL2" s="5" t="s">
        <v>37</v>
      </c>
      <c r="AM2" s="5" t="s">
        <v>38</v>
      </c>
      <c r="AN2" s="5" t="s">
        <v>39</v>
      </c>
      <c r="AO2" s="5" t="s">
        <v>40</v>
      </c>
      <c r="AP2" s="5" t="s">
        <v>41</v>
      </c>
      <c r="AQ2" s="5" t="s">
        <v>42</v>
      </c>
      <c r="AR2" s="5" t="s">
        <v>43</v>
      </c>
      <c r="AS2" s="5" t="s">
        <v>44</v>
      </c>
    </row>
    <row r="3" spans="1:45" x14ac:dyDescent="0.2">
      <c r="A3" s="2" t="s">
        <v>45</v>
      </c>
      <c r="B3" s="2" t="s">
        <v>63</v>
      </c>
      <c r="C3" s="2" t="s">
        <v>46</v>
      </c>
      <c r="D3" s="4">
        <v>56449600</v>
      </c>
      <c r="E3" s="4">
        <v>67077292</v>
      </c>
      <c r="F3" s="4">
        <v>48073396</v>
      </c>
      <c r="G3" s="4">
        <v>46922704</v>
      </c>
      <c r="H3" s="4">
        <v>39328228</v>
      </c>
      <c r="I3" s="4">
        <v>44188372</v>
      </c>
      <c r="J3" s="4">
        <v>54571124</v>
      </c>
      <c r="K3" s="4">
        <v>25744694</v>
      </c>
      <c r="L3" s="4">
        <v>47139148</v>
      </c>
      <c r="M3" s="4">
        <v>28214210</v>
      </c>
      <c r="N3" s="8">
        <v>12291.61</v>
      </c>
      <c r="O3" s="8">
        <v>22142.45</v>
      </c>
      <c r="P3" s="4">
        <v>24630.51</v>
      </c>
      <c r="Q3" s="4">
        <v>26265.7</v>
      </c>
      <c r="R3" s="4">
        <v>27276.05</v>
      </c>
      <c r="S3" s="4">
        <v>28954.63</v>
      </c>
      <c r="T3" s="4">
        <v>19026.490000000002</v>
      </c>
      <c r="U3" s="4">
        <v>25157.57</v>
      </c>
      <c r="V3" s="4">
        <v>23804.01</v>
      </c>
      <c r="W3" s="4">
        <v>22834.25</v>
      </c>
      <c r="X3" s="4">
        <v>42837.72</v>
      </c>
      <c r="Y3" s="8">
        <v>16106.74</v>
      </c>
      <c r="Z3" s="8">
        <v>24884.080000000002</v>
      </c>
      <c r="AA3" s="4">
        <v>18058.990000000002</v>
      </c>
      <c r="AB3" s="4">
        <v>10526.79</v>
      </c>
      <c r="AC3" s="4">
        <v>17947.009999999998</v>
      </c>
      <c r="AD3" s="4">
        <v>21091.55</v>
      </c>
      <c r="AE3" s="4">
        <v>20048.07</v>
      </c>
      <c r="AF3" s="4">
        <v>19812</v>
      </c>
      <c r="AG3" s="4">
        <v>23632.98</v>
      </c>
      <c r="AH3" s="4">
        <v>25432.78</v>
      </c>
      <c r="AI3" s="4">
        <v>13077.54</v>
      </c>
      <c r="AJ3" s="4">
        <v>79506712</v>
      </c>
      <c r="AK3" s="4">
        <v>84475528</v>
      </c>
      <c r="AL3" s="4">
        <v>75176600</v>
      </c>
      <c r="AM3" s="4">
        <v>72385096</v>
      </c>
      <c r="AN3" s="4">
        <v>69935080</v>
      </c>
      <c r="AO3" s="4">
        <v>66543372</v>
      </c>
      <c r="AP3" s="4">
        <v>67310600</v>
      </c>
      <c r="AQ3" s="4">
        <v>69869552</v>
      </c>
      <c r="AR3" s="4">
        <v>67869728</v>
      </c>
      <c r="AS3" s="4">
        <v>72922552</v>
      </c>
    </row>
    <row r="4" spans="1:45" x14ac:dyDescent="0.2">
      <c r="A4" s="2" t="s">
        <v>47</v>
      </c>
      <c r="B4" s="2" t="s">
        <v>63</v>
      </c>
      <c r="C4" s="2" t="s">
        <v>46</v>
      </c>
      <c r="D4" s="4">
        <v>4266884.5</v>
      </c>
      <c r="E4" s="4">
        <v>5302333.5</v>
      </c>
      <c r="F4" s="4">
        <v>3707471.25</v>
      </c>
      <c r="G4" s="4">
        <v>4106541</v>
      </c>
      <c r="H4" s="4">
        <v>3303768.25</v>
      </c>
      <c r="I4" s="4">
        <v>3786532.75</v>
      </c>
      <c r="J4" s="4">
        <v>4415878.5</v>
      </c>
      <c r="K4" s="4">
        <v>1858705.38</v>
      </c>
      <c r="L4" s="4">
        <v>3565402</v>
      </c>
      <c r="M4" s="4">
        <v>2033314.88</v>
      </c>
      <c r="N4" s="8">
        <v>0</v>
      </c>
      <c r="O4" s="8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8">
        <v>0</v>
      </c>
      <c r="Z4" s="8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5846736</v>
      </c>
      <c r="AK4" s="4">
        <v>6368306.5</v>
      </c>
      <c r="AL4" s="4">
        <v>5614794</v>
      </c>
      <c r="AM4" s="4">
        <v>6056325.5</v>
      </c>
      <c r="AN4" s="4">
        <v>5781574.5</v>
      </c>
      <c r="AO4" s="4">
        <v>5681800</v>
      </c>
      <c r="AP4" s="4">
        <v>5047335.5</v>
      </c>
      <c r="AQ4" s="4">
        <v>4991238.5</v>
      </c>
      <c r="AR4" s="4">
        <v>4872245.5</v>
      </c>
      <c r="AS4" s="4">
        <v>5216491.5</v>
      </c>
    </row>
    <row r="5" spans="1:45" x14ac:dyDescent="0.2">
      <c r="A5" s="2" t="s">
        <v>48</v>
      </c>
      <c r="B5" s="2" t="s">
        <v>63</v>
      </c>
      <c r="C5" s="2" t="s">
        <v>46</v>
      </c>
      <c r="D5" s="4">
        <v>172456.97</v>
      </c>
      <c r="E5" s="4">
        <v>241895.8</v>
      </c>
      <c r="F5" s="4">
        <v>187352.69</v>
      </c>
      <c r="G5" s="4">
        <v>354228.62</v>
      </c>
      <c r="H5" s="4">
        <v>234590.83</v>
      </c>
      <c r="I5" s="4">
        <v>274472.09000000003</v>
      </c>
      <c r="J5" s="4">
        <v>165157.60999999999</v>
      </c>
      <c r="K5" s="4">
        <v>50009.06</v>
      </c>
      <c r="L5" s="4">
        <v>152598.48000000001</v>
      </c>
      <c r="M5" s="4">
        <v>79334.28</v>
      </c>
      <c r="N5" s="8">
        <v>0</v>
      </c>
      <c r="O5" s="8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8">
        <v>0</v>
      </c>
      <c r="Z5" s="8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209571.61</v>
      </c>
      <c r="AK5" s="4">
        <v>250387.62</v>
      </c>
      <c r="AL5" s="4">
        <v>286856.46999999997</v>
      </c>
      <c r="AM5" s="4">
        <v>457353.34</v>
      </c>
      <c r="AN5" s="4">
        <v>441494.03</v>
      </c>
      <c r="AO5" s="4">
        <v>466690.41</v>
      </c>
      <c r="AP5" s="4">
        <v>202336.62</v>
      </c>
      <c r="AQ5" s="4">
        <v>127440.46</v>
      </c>
      <c r="AR5" s="4">
        <v>171935.97</v>
      </c>
      <c r="AS5" s="4">
        <v>165445.44</v>
      </c>
    </row>
    <row r="6" spans="1:45" x14ac:dyDescent="0.2">
      <c r="A6" s="2" t="s">
        <v>49</v>
      </c>
      <c r="B6" s="2" t="s">
        <v>63</v>
      </c>
      <c r="C6" s="2" t="s">
        <v>46</v>
      </c>
      <c r="D6" s="4">
        <v>7235.03</v>
      </c>
      <c r="E6" s="4">
        <v>8164.04</v>
      </c>
      <c r="F6" s="4">
        <v>11648.19</v>
      </c>
      <c r="G6" s="4">
        <v>9302.57</v>
      </c>
      <c r="H6" s="4">
        <v>13659</v>
      </c>
      <c r="I6" s="4">
        <v>5491.11</v>
      </c>
      <c r="J6" s="4">
        <v>3724.3</v>
      </c>
      <c r="K6" s="4">
        <v>0</v>
      </c>
      <c r="L6" s="4">
        <v>0</v>
      </c>
      <c r="M6" s="4">
        <v>0</v>
      </c>
      <c r="N6" s="8">
        <v>0</v>
      </c>
      <c r="O6" s="8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8">
        <v>0</v>
      </c>
      <c r="Z6" s="8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5768.41</v>
      </c>
      <c r="AM6" s="4">
        <v>23897.27</v>
      </c>
      <c r="AN6" s="4">
        <v>23056.49</v>
      </c>
      <c r="AO6" s="4">
        <v>26179.93</v>
      </c>
      <c r="AP6" s="4">
        <v>0</v>
      </c>
      <c r="AQ6" s="4">
        <v>0</v>
      </c>
      <c r="AR6" s="4">
        <v>0</v>
      </c>
      <c r="AS6" s="4">
        <v>0</v>
      </c>
    </row>
    <row r="7" spans="1:45" x14ac:dyDescent="0.2">
      <c r="A7" s="2" t="s">
        <v>45</v>
      </c>
      <c r="B7" s="2" t="s">
        <v>64</v>
      </c>
      <c r="C7" s="2" t="s">
        <v>50</v>
      </c>
      <c r="D7" s="4">
        <v>1238495.6200000001</v>
      </c>
      <c r="E7" s="4">
        <v>1479172.38</v>
      </c>
      <c r="F7" s="4">
        <v>1668890.12</v>
      </c>
      <c r="G7" s="4">
        <v>1369869.38</v>
      </c>
      <c r="H7" s="4">
        <v>1434542.5</v>
      </c>
      <c r="I7" s="4">
        <v>1186186.8799999999</v>
      </c>
      <c r="J7" s="4">
        <v>3558716.75</v>
      </c>
      <c r="K7" s="4">
        <v>771146.31</v>
      </c>
      <c r="L7" s="4">
        <v>1899398</v>
      </c>
      <c r="M7" s="4">
        <v>991161.25</v>
      </c>
      <c r="N7" s="8">
        <v>8327.4500000000007</v>
      </c>
      <c r="O7" s="8">
        <v>151484.14000000001</v>
      </c>
      <c r="P7" s="4">
        <v>151842.67000000001</v>
      </c>
      <c r="Q7" s="4">
        <v>105232.55</v>
      </c>
      <c r="R7" s="4">
        <v>130743.4</v>
      </c>
      <c r="S7" s="4">
        <v>110650.23</v>
      </c>
      <c r="T7" s="4">
        <v>99395.29</v>
      </c>
      <c r="U7" s="4">
        <v>110762.88</v>
      </c>
      <c r="V7" s="4">
        <v>108137.34</v>
      </c>
      <c r="W7" s="4">
        <v>84862.61</v>
      </c>
      <c r="X7" s="4">
        <v>102553.88</v>
      </c>
      <c r="Y7" s="8">
        <v>7674.6</v>
      </c>
      <c r="Z7" s="8">
        <v>47347.56</v>
      </c>
      <c r="AA7" s="4">
        <v>39822.61</v>
      </c>
      <c r="AB7" s="4">
        <v>31687.32</v>
      </c>
      <c r="AC7" s="4">
        <v>35322.410000000003</v>
      </c>
      <c r="AD7" s="4">
        <v>32760.46</v>
      </c>
      <c r="AE7" s="4">
        <v>31671.83</v>
      </c>
      <c r="AF7" s="4">
        <v>38578.68</v>
      </c>
      <c r="AG7" s="4">
        <v>41011.39</v>
      </c>
      <c r="AH7" s="4">
        <v>23921.24</v>
      </c>
      <c r="AI7" s="4">
        <v>28104.400000000001</v>
      </c>
      <c r="AJ7" s="4">
        <v>22780394</v>
      </c>
      <c r="AK7" s="4">
        <v>15735557</v>
      </c>
      <c r="AL7" s="4">
        <v>20986290</v>
      </c>
      <c r="AM7" s="4">
        <v>7215432</v>
      </c>
      <c r="AN7" s="4">
        <v>8460068</v>
      </c>
      <c r="AO7" s="4">
        <v>12972547</v>
      </c>
      <c r="AP7" s="4">
        <v>8384543.5</v>
      </c>
      <c r="AQ7" s="4">
        <v>10766169</v>
      </c>
      <c r="AR7" s="4">
        <v>16043171</v>
      </c>
      <c r="AS7" s="4">
        <v>14139264</v>
      </c>
    </row>
    <row r="8" spans="1:45" x14ac:dyDescent="0.2">
      <c r="A8" s="2" t="s">
        <v>47</v>
      </c>
      <c r="B8" s="2" t="s">
        <v>64</v>
      </c>
      <c r="C8" s="2" t="s">
        <v>50</v>
      </c>
      <c r="D8" s="4">
        <v>41195.120000000003</v>
      </c>
      <c r="E8" s="4">
        <v>52730.82</v>
      </c>
      <c r="F8" s="4">
        <v>63980.63</v>
      </c>
      <c r="G8" s="4">
        <v>55871.21</v>
      </c>
      <c r="H8" s="4">
        <v>63071.040000000001</v>
      </c>
      <c r="I8" s="4">
        <v>48469.48</v>
      </c>
      <c r="J8" s="4">
        <v>132263.62</v>
      </c>
      <c r="K8" s="4">
        <v>24485.62</v>
      </c>
      <c r="L8" s="4">
        <v>72292.12</v>
      </c>
      <c r="M8" s="4">
        <v>37049.230000000003</v>
      </c>
      <c r="N8" s="8">
        <v>0</v>
      </c>
      <c r="O8" s="8">
        <v>3256.85</v>
      </c>
      <c r="P8" s="4">
        <v>2472.84</v>
      </c>
      <c r="Q8" s="4">
        <v>1957.82</v>
      </c>
      <c r="R8" s="4">
        <v>2329.19</v>
      </c>
      <c r="S8" s="4">
        <v>3177</v>
      </c>
      <c r="T8" s="4">
        <v>2062.4899999999998</v>
      </c>
      <c r="U8" s="4">
        <v>2772.2</v>
      </c>
      <c r="V8" s="4">
        <v>3114.98</v>
      </c>
      <c r="W8" s="4">
        <v>3564.16</v>
      </c>
      <c r="X8" s="4">
        <v>1564.21</v>
      </c>
      <c r="Y8" s="8">
        <v>0</v>
      </c>
      <c r="Z8" s="8">
        <v>1465.72</v>
      </c>
      <c r="AA8" s="4">
        <v>0</v>
      </c>
      <c r="AB8" s="4">
        <v>0</v>
      </c>
      <c r="AC8" s="4">
        <v>1064.77</v>
      </c>
      <c r="AD8" s="4">
        <v>0</v>
      </c>
      <c r="AE8" s="4">
        <v>0</v>
      </c>
      <c r="AF8" s="4">
        <v>1259.48</v>
      </c>
      <c r="AG8" s="4">
        <v>0</v>
      </c>
      <c r="AH8" s="4">
        <v>0</v>
      </c>
      <c r="AI8" s="4">
        <v>1316.57</v>
      </c>
      <c r="AJ8" s="4">
        <v>879901.69</v>
      </c>
      <c r="AK8" s="4">
        <v>610948.75</v>
      </c>
      <c r="AL8" s="4">
        <v>769403</v>
      </c>
      <c r="AM8" s="4">
        <v>287305.96999999997</v>
      </c>
      <c r="AN8" s="4">
        <v>356262.78</v>
      </c>
      <c r="AO8" s="4">
        <v>542922</v>
      </c>
      <c r="AP8" s="4">
        <v>318845.94</v>
      </c>
      <c r="AQ8" s="4">
        <v>394765.12</v>
      </c>
      <c r="AR8" s="4">
        <v>606470.43999999994</v>
      </c>
      <c r="AS8" s="4">
        <v>533159</v>
      </c>
    </row>
    <row r="9" spans="1:45" x14ac:dyDescent="0.2">
      <c r="A9" s="2" t="s">
        <v>48</v>
      </c>
      <c r="B9" s="2" t="s">
        <v>64</v>
      </c>
      <c r="C9" s="2" t="s">
        <v>50</v>
      </c>
      <c r="D9" s="4">
        <v>0</v>
      </c>
      <c r="E9" s="4">
        <v>1362.18</v>
      </c>
      <c r="F9" s="4">
        <v>0</v>
      </c>
      <c r="G9" s="4">
        <v>3808.42</v>
      </c>
      <c r="H9" s="4">
        <v>1602.51</v>
      </c>
      <c r="I9" s="4">
        <v>0</v>
      </c>
      <c r="J9" s="4">
        <v>2847.23</v>
      </c>
      <c r="K9" s="4">
        <v>0</v>
      </c>
      <c r="L9" s="4">
        <v>2096.81</v>
      </c>
      <c r="M9" s="4">
        <v>0</v>
      </c>
      <c r="N9" s="8">
        <v>0</v>
      </c>
      <c r="O9" s="8">
        <v>0</v>
      </c>
      <c r="P9" s="4">
        <v>0</v>
      </c>
      <c r="Q9" s="4">
        <v>0</v>
      </c>
      <c r="R9" s="4">
        <v>0</v>
      </c>
      <c r="S9" s="4">
        <v>1137.4100000000001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8">
        <v>0</v>
      </c>
      <c r="Z9" s="8">
        <v>0</v>
      </c>
      <c r="AA9" s="4">
        <v>0</v>
      </c>
      <c r="AB9" s="4">
        <v>1043.78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19725.080000000002</v>
      </c>
      <c r="AK9" s="4">
        <v>18046.75</v>
      </c>
      <c r="AL9" s="4">
        <v>21681.29</v>
      </c>
      <c r="AM9" s="4">
        <v>11981.64</v>
      </c>
      <c r="AN9" s="4">
        <v>15600.53</v>
      </c>
      <c r="AO9" s="4">
        <v>26248.28</v>
      </c>
      <c r="AP9" s="4">
        <v>9391.93</v>
      </c>
      <c r="AQ9" s="4">
        <v>13126.57</v>
      </c>
      <c r="AR9" s="4">
        <v>16069.48</v>
      </c>
      <c r="AS9" s="4">
        <v>14566.38</v>
      </c>
    </row>
    <row r="10" spans="1:45" x14ac:dyDescent="0.2">
      <c r="A10" s="2" t="s">
        <v>45</v>
      </c>
      <c r="B10" s="2" t="s">
        <v>65</v>
      </c>
      <c r="C10" s="2" t="s">
        <v>51</v>
      </c>
      <c r="D10" s="4">
        <v>34800864</v>
      </c>
      <c r="E10" s="4">
        <v>29731014</v>
      </c>
      <c r="F10" s="4">
        <v>12825315</v>
      </c>
      <c r="G10" s="4">
        <v>13531053</v>
      </c>
      <c r="H10" s="4">
        <v>16301485</v>
      </c>
      <c r="I10" s="4">
        <v>16983512</v>
      </c>
      <c r="J10" s="4">
        <v>21060928</v>
      </c>
      <c r="K10" s="4">
        <v>7044935.5</v>
      </c>
      <c r="L10" s="4">
        <v>16658492</v>
      </c>
      <c r="M10" s="4">
        <v>9709608</v>
      </c>
      <c r="N10" s="8">
        <v>29125.45</v>
      </c>
      <c r="O10" s="8">
        <v>36764.46</v>
      </c>
      <c r="P10" s="4">
        <v>41471.449999999997</v>
      </c>
      <c r="Q10" s="4">
        <v>38842.67</v>
      </c>
      <c r="R10" s="4">
        <v>0</v>
      </c>
      <c r="S10" s="4">
        <v>34483.120000000003</v>
      </c>
      <c r="T10" s="4">
        <v>38325.949999999997</v>
      </c>
      <c r="U10" s="4">
        <v>33581.29</v>
      </c>
      <c r="V10" s="4">
        <v>28260.91</v>
      </c>
      <c r="W10" s="4">
        <v>42796.39</v>
      </c>
      <c r="X10" s="4">
        <v>30782.95</v>
      </c>
      <c r="Y10" s="8">
        <v>478853.38</v>
      </c>
      <c r="Z10" s="8">
        <v>352873</v>
      </c>
      <c r="AA10" s="4">
        <v>323984.71999999997</v>
      </c>
      <c r="AB10" s="4">
        <v>360116.62</v>
      </c>
      <c r="AC10" s="4">
        <v>350788.62</v>
      </c>
      <c r="AD10" s="4">
        <v>323523.5</v>
      </c>
      <c r="AE10" s="4">
        <v>324683.34000000003</v>
      </c>
      <c r="AF10" s="4">
        <v>346040.09</v>
      </c>
      <c r="AG10" s="4">
        <v>344085.53</v>
      </c>
      <c r="AH10" s="4">
        <v>346460.88</v>
      </c>
      <c r="AI10" s="4">
        <v>448065.34</v>
      </c>
      <c r="AJ10" s="4">
        <v>6365564</v>
      </c>
      <c r="AK10" s="4">
        <v>6243784.5</v>
      </c>
      <c r="AL10" s="4">
        <v>5560335</v>
      </c>
      <c r="AM10" s="4">
        <v>5862104.5</v>
      </c>
      <c r="AN10" s="4">
        <v>6006816.5</v>
      </c>
      <c r="AO10" s="4">
        <v>6028713.5</v>
      </c>
      <c r="AP10" s="4">
        <v>5843689.5</v>
      </c>
      <c r="AQ10" s="4">
        <v>5140879.5</v>
      </c>
      <c r="AR10" s="4">
        <v>6047351.5</v>
      </c>
      <c r="AS10" s="4">
        <v>4568710.5</v>
      </c>
    </row>
    <row r="11" spans="1:45" x14ac:dyDescent="0.2">
      <c r="A11" s="2" t="s">
        <v>48</v>
      </c>
      <c r="B11" s="2" t="s">
        <v>65</v>
      </c>
      <c r="C11" s="2" t="s">
        <v>51</v>
      </c>
      <c r="D11" s="4">
        <v>39898.18</v>
      </c>
      <c r="E11" s="4">
        <v>50501.55</v>
      </c>
      <c r="F11" s="4">
        <v>16991.27</v>
      </c>
      <c r="G11" s="4">
        <v>49197.04</v>
      </c>
      <c r="H11" s="4">
        <v>38843.370000000003</v>
      </c>
      <c r="I11" s="4">
        <v>44071.69</v>
      </c>
      <c r="J11" s="4">
        <v>30459.18</v>
      </c>
      <c r="K11" s="4">
        <v>1711.55</v>
      </c>
      <c r="L11" s="4">
        <v>16409.990000000002</v>
      </c>
      <c r="M11" s="4">
        <v>12637.2</v>
      </c>
      <c r="N11" s="8">
        <v>0</v>
      </c>
      <c r="O11" s="8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8">
        <v>0</v>
      </c>
      <c r="Z11" s="8">
        <v>0</v>
      </c>
      <c r="AA11" s="4">
        <v>0</v>
      </c>
      <c r="AB11" s="4">
        <v>0</v>
      </c>
      <c r="AC11" s="4">
        <v>0</v>
      </c>
      <c r="AD11" s="4">
        <v>3919.3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1792.24</v>
      </c>
      <c r="AK11" s="4">
        <v>6662</v>
      </c>
      <c r="AL11" s="4">
        <v>5199.46</v>
      </c>
      <c r="AM11" s="4">
        <v>8407.65</v>
      </c>
      <c r="AN11" s="4">
        <v>12165.43</v>
      </c>
      <c r="AO11" s="4">
        <v>10578.9</v>
      </c>
      <c r="AP11" s="4">
        <v>4741.17</v>
      </c>
      <c r="AQ11" s="4">
        <v>2473.23</v>
      </c>
      <c r="AR11" s="4">
        <v>2578.29</v>
      </c>
      <c r="AS11" s="4">
        <v>3815.5</v>
      </c>
    </row>
    <row r="12" spans="1:45" x14ac:dyDescent="0.2">
      <c r="A12" s="2" t="s">
        <v>49</v>
      </c>
      <c r="B12" s="2" t="s">
        <v>65</v>
      </c>
      <c r="C12" s="2" t="s">
        <v>51</v>
      </c>
      <c r="D12" s="4">
        <v>0</v>
      </c>
      <c r="E12" s="4">
        <v>2419.66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8">
        <v>0</v>
      </c>
      <c r="O12" s="8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8">
        <v>0</v>
      </c>
      <c r="Z12" s="8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</row>
    <row r="13" spans="1:45" x14ac:dyDescent="0.2">
      <c r="A13" s="2" t="s">
        <v>45</v>
      </c>
      <c r="B13" s="2" t="s">
        <v>66</v>
      </c>
      <c r="C13" s="2" t="s">
        <v>52</v>
      </c>
      <c r="D13" s="4">
        <v>371264800</v>
      </c>
      <c r="E13" s="4">
        <v>385627776</v>
      </c>
      <c r="F13" s="4">
        <v>268144432</v>
      </c>
      <c r="G13" s="4">
        <v>216855024</v>
      </c>
      <c r="H13" s="4">
        <v>193292464</v>
      </c>
      <c r="I13" s="4">
        <v>247263184</v>
      </c>
      <c r="J13" s="4">
        <v>267261456</v>
      </c>
      <c r="K13" s="4">
        <v>132019752</v>
      </c>
      <c r="L13" s="4">
        <v>268146640</v>
      </c>
      <c r="M13" s="4">
        <v>129117184</v>
      </c>
      <c r="N13" s="8">
        <v>4977307.5</v>
      </c>
      <c r="O13" s="8">
        <v>4563676.5</v>
      </c>
      <c r="P13" s="4">
        <v>5358010.5</v>
      </c>
      <c r="Q13" s="4">
        <v>5168831</v>
      </c>
      <c r="R13" s="4">
        <v>4722337.5</v>
      </c>
      <c r="S13" s="4">
        <v>5125006.5</v>
      </c>
      <c r="T13" s="4">
        <v>4289439</v>
      </c>
      <c r="U13" s="4">
        <v>5111960</v>
      </c>
      <c r="V13" s="4">
        <v>4674027</v>
      </c>
      <c r="W13" s="4">
        <v>5204613.5</v>
      </c>
      <c r="X13" s="4">
        <v>5004321.5</v>
      </c>
      <c r="Y13" s="8">
        <v>1508882.38</v>
      </c>
      <c r="Z13" s="8">
        <v>1689195</v>
      </c>
      <c r="AA13" s="4">
        <v>1820596</v>
      </c>
      <c r="AB13" s="4">
        <v>1463922.5</v>
      </c>
      <c r="AC13" s="4">
        <v>1315546.8799999999</v>
      </c>
      <c r="AD13" s="4">
        <v>1352485.38</v>
      </c>
      <c r="AE13" s="4">
        <v>1463441.38</v>
      </c>
      <c r="AF13" s="4">
        <v>1441244.88</v>
      </c>
      <c r="AG13" s="4">
        <v>1593005</v>
      </c>
      <c r="AH13" s="4">
        <v>1381951.12</v>
      </c>
      <c r="AI13" s="4">
        <v>1631223.38</v>
      </c>
      <c r="AJ13" s="4">
        <v>621007808</v>
      </c>
      <c r="AK13" s="4">
        <v>461457920</v>
      </c>
      <c r="AL13" s="4">
        <v>442642688</v>
      </c>
      <c r="AM13" s="4">
        <v>467215456</v>
      </c>
      <c r="AN13" s="4">
        <v>435059552</v>
      </c>
      <c r="AO13" s="4">
        <v>442564576</v>
      </c>
      <c r="AP13" s="4">
        <v>336173664</v>
      </c>
      <c r="AQ13" s="4">
        <v>390046496</v>
      </c>
      <c r="AR13" s="4">
        <v>478988448</v>
      </c>
      <c r="AS13" s="4">
        <v>419000928</v>
      </c>
    </row>
    <row r="14" spans="1:45" x14ac:dyDescent="0.2">
      <c r="A14" s="2" t="s">
        <v>47</v>
      </c>
      <c r="B14" s="2" t="s">
        <v>66</v>
      </c>
      <c r="C14" s="2" t="s">
        <v>52</v>
      </c>
      <c r="D14" s="4">
        <v>14482085</v>
      </c>
      <c r="E14" s="4">
        <v>15864647</v>
      </c>
      <c r="F14" s="4">
        <v>11582991</v>
      </c>
      <c r="G14" s="4">
        <v>10272575</v>
      </c>
      <c r="H14" s="4">
        <v>8504648</v>
      </c>
      <c r="I14" s="4">
        <v>11483979</v>
      </c>
      <c r="J14" s="4">
        <v>10971337</v>
      </c>
      <c r="K14" s="4">
        <v>5068974.5</v>
      </c>
      <c r="L14" s="4">
        <v>10490839</v>
      </c>
      <c r="M14" s="4">
        <v>5018886.5</v>
      </c>
      <c r="N14" s="8">
        <v>160339.39000000001</v>
      </c>
      <c r="O14" s="8">
        <v>146414.54999999999</v>
      </c>
      <c r="P14" s="4">
        <v>173745.92000000001</v>
      </c>
      <c r="Q14" s="4">
        <v>166002.07999999999</v>
      </c>
      <c r="R14" s="4">
        <v>163353.64000000001</v>
      </c>
      <c r="S14" s="4">
        <v>170803.81</v>
      </c>
      <c r="T14" s="4">
        <v>139766.82999999999</v>
      </c>
      <c r="U14" s="4">
        <v>163957.85999999999</v>
      </c>
      <c r="V14" s="4">
        <v>152003.17000000001</v>
      </c>
      <c r="W14" s="4">
        <v>162215.85999999999</v>
      </c>
      <c r="X14" s="4">
        <v>161928.20000000001</v>
      </c>
      <c r="Y14" s="8">
        <v>44575.45</v>
      </c>
      <c r="Z14" s="8">
        <v>53156.45</v>
      </c>
      <c r="AA14" s="4">
        <v>53688.05</v>
      </c>
      <c r="AB14" s="4">
        <v>54937.89</v>
      </c>
      <c r="AC14" s="4">
        <v>45173.96</v>
      </c>
      <c r="AD14" s="4">
        <v>43326.62</v>
      </c>
      <c r="AE14" s="4">
        <v>47083.23</v>
      </c>
      <c r="AF14" s="4">
        <v>44595.71</v>
      </c>
      <c r="AG14" s="4">
        <v>50339.92</v>
      </c>
      <c r="AH14" s="4">
        <v>43263.7</v>
      </c>
      <c r="AI14" s="4">
        <v>49118.71</v>
      </c>
      <c r="AJ14" s="4">
        <v>23724318</v>
      </c>
      <c r="AK14" s="4">
        <v>17299230</v>
      </c>
      <c r="AL14" s="4">
        <v>17300686</v>
      </c>
      <c r="AM14" s="4">
        <v>19080106</v>
      </c>
      <c r="AN14" s="4">
        <v>18490120</v>
      </c>
      <c r="AO14" s="4">
        <v>18665694</v>
      </c>
      <c r="AP14" s="4">
        <v>13350461</v>
      </c>
      <c r="AQ14" s="4">
        <v>14612189</v>
      </c>
      <c r="AR14" s="4">
        <v>18670554</v>
      </c>
      <c r="AS14" s="4">
        <v>16148013</v>
      </c>
    </row>
    <row r="15" spans="1:45" x14ac:dyDescent="0.2">
      <c r="A15" s="2" t="s">
        <v>48</v>
      </c>
      <c r="B15" s="2" t="s">
        <v>66</v>
      </c>
      <c r="C15" s="2" t="s">
        <v>52</v>
      </c>
      <c r="D15" s="4">
        <v>525580.56000000006</v>
      </c>
      <c r="E15" s="4">
        <v>771916.81</v>
      </c>
      <c r="F15" s="4">
        <v>639675.43999999994</v>
      </c>
      <c r="G15" s="4">
        <v>796636.06</v>
      </c>
      <c r="H15" s="4">
        <v>609909.81000000006</v>
      </c>
      <c r="I15" s="4">
        <v>828614.06</v>
      </c>
      <c r="J15" s="4">
        <v>460597.16</v>
      </c>
      <c r="K15" s="4">
        <v>149591.25</v>
      </c>
      <c r="L15" s="4">
        <v>375523.22</v>
      </c>
      <c r="M15" s="4">
        <v>136645.17000000001</v>
      </c>
      <c r="N15" s="8">
        <v>816.71</v>
      </c>
      <c r="O15" s="8">
        <v>2684.61</v>
      </c>
      <c r="P15" s="4">
        <v>0</v>
      </c>
      <c r="Q15" s="4">
        <v>0</v>
      </c>
      <c r="R15" s="4">
        <v>1150.1600000000001</v>
      </c>
      <c r="S15" s="4">
        <v>921.62</v>
      </c>
      <c r="T15" s="4">
        <v>655.52</v>
      </c>
      <c r="U15" s="4">
        <v>1547.35</v>
      </c>
      <c r="V15" s="4">
        <v>818.63</v>
      </c>
      <c r="W15" s="4">
        <v>0</v>
      </c>
      <c r="X15" s="4">
        <v>0</v>
      </c>
      <c r="Y15" s="8">
        <v>0</v>
      </c>
      <c r="Z15" s="8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985.47</v>
      </c>
      <c r="AI15" s="4">
        <v>0</v>
      </c>
      <c r="AJ15" s="4">
        <v>704865.5</v>
      </c>
      <c r="AK15" s="4">
        <v>488752.25</v>
      </c>
      <c r="AL15" s="4">
        <v>613289.68999999994</v>
      </c>
      <c r="AM15" s="4">
        <v>1053149.1200000001</v>
      </c>
      <c r="AN15" s="4">
        <v>998907</v>
      </c>
      <c r="AO15" s="4">
        <v>1199085</v>
      </c>
      <c r="AP15" s="4">
        <v>415149.28</v>
      </c>
      <c r="AQ15" s="4">
        <v>402354.34</v>
      </c>
      <c r="AR15" s="4">
        <v>568723.93999999994</v>
      </c>
      <c r="AS15" s="4">
        <v>475204.09</v>
      </c>
    </row>
    <row r="16" spans="1:45" x14ac:dyDescent="0.2">
      <c r="A16" s="2" t="s">
        <v>45</v>
      </c>
      <c r="B16" s="2" t="s">
        <v>67</v>
      </c>
      <c r="C16" s="2" t="s">
        <v>53</v>
      </c>
      <c r="D16" s="4">
        <v>94271048</v>
      </c>
      <c r="E16" s="4">
        <v>53392492</v>
      </c>
      <c r="F16" s="4">
        <v>64797824</v>
      </c>
      <c r="G16" s="4">
        <v>55640740</v>
      </c>
      <c r="H16" s="4">
        <v>81038760</v>
      </c>
      <c r="I16" s="4">
        <v>48929132</v>
      </c>
      <c r="J16" s="4">
        <v>86510208</v>
      </c>
      <c r="K16" s="4">
        <v>28246800</v>
      </c>
      <c r="L16" s="4">
        <v>98868992</v>
      </c>
      <c r="M16" s="4">
        <v>95752488</v>
      </c>
      <c r="N16" s="8">
        <v>136284.67000000001</v>
      </c>
      <c r="O16" s="8">
        <v>194358.39</v>
      </c>
      <c r="P16" s="4">
        <v>173049.98</v>
      </c>
      <c r="Q16" s="4">
        <v>153476.45000000001</v>
      </c>
      <c r="R16" s="4">
        <v>144592.82999999999</v>
      </c>
      <c r="S16" s="4">
        <v>139993.85999999999</v>
      </c>
      <c r="T16" s="4">
        <v>161193.75</v>
      </c>
      <c r="U16" s="4">
        <v>146764.81</v>
      </c>
      <c r="V16" s="4">
        <v>145199.98000000001</v>
      </c>
      <c r="W16" s="4">
        <v>136914.07999999999</v>
      </c>
      <c r="X16" s="4">
        <v>151124.10999999999</v>
      </c>
      <c r="Y16" s="8">
        <v>28206.55</v>
      </c>
      <c r="Z16" s="8">
        <v>32089.58</v>
      </c>
      <c r="AA16" s="4">
        <v>31994.49</v>
      </c>
      <c r="AB16" s="4">
        <v>25565.26</v>
      </c>
      <c r="AC16" s="4">
        <v>27029.79</v>
      </c>
      <c r="AD16" s="4">
        <v>27114.73</v>
      </c>
      <c r="AE16" s="4">
        <v>24211.66</v>
      </c>
      <c r="AF16" s="4">
        <v>26724.81</v>
      </c>
      <c r="AG16" s="4">
        <v>27327.93</v>
      </c>
      <c r="AH16" s="4">
        <v>27756.93</v>
      </c>
      <c r="AI16" s="4">
        <v>30561.8</v>
      </c>
      <c r="AJ16" s="4">
        <v>5261842</v>
      </c>
      <c r="AK16" s="4">
        <v>4939529.5</v>
      </c>
      <c r="AL16" s="4">
        <v>4671320</v>
      </c>
      <c r="AM16" s="4">
        <v>4849848</v>
      </c>
      <c r="AN16" s="4">
        <v>4415084</v>
      </c>
      <c r="AO16" s="4">
        <v>5384214</v>
      </c>
      <c r="AP16" s="4">
        <v>2969164</v>
      </c>
      <c r="AQ16" s="4">
        <v>3224228.25</v>
      </c>
      <c r="AR16" s="4">
        <v>4730502.5</v>
      </c>
      <c r="AS16" s="4">
        <v>4055490.25</v>
      </c>
    </row>
    <row r="17" spans="1:45" x14ac:dyDescent="0.2">
      <c r="A17" s="2" t="s">
        <v>47</v>
      </c>
      <c r="B17" s="2" t="s">
        <v>67</v>
      </c>
      <c r="C17" s="2" t="s">
        <v>53</v>
      </c>
      <c r="D17" s="4">
        <v>5441887.5</v>
      </c>
      <c r="E17" s="4">
        <v>3322562</v>
      </c>
      <c r="F17" s="4">
        <v>4003513</v>
      </c>
      <c r="G17" s="4">
        <v>3989711.25</v>
      </c>
      <c r="H17" s="4">
        <v>5619813.5</v>
      </c>
      <c r="I17" s="4">
        <v>3474072.25</v>
      </c>
      <c r="J17" s="4">
        <v>5168360.5</v>
      </c>
      <c r="K17" s="4">
        <v>1453096.12</v>
      </c>
      <c r="L17" s="4">
        <v>5428506</v>
      </c>
      <c r="M17" s="4">
        <v>5074604</v>
      </c>
      <c r="N17" s="8">
        <v>1928.66</v>
      </c>
      <c r="O17" s="8">
        <v>4025.54</v>
      </c>
      <c r="P17" s="4">
        <v>5120.21</v>
      </c>
      <c r="Q17" s="4">
        <v>4588.46</v>
      </c>
      <c r="R17" s="4">
        <v>6613.66</v>
      </c>
      <c r="S17" s="4">
        <v>2870.13</v>
      </c>
      <c r="T17" s="4">
        <v>3046.79</v>
      </c>
      <c r="U17" s="4">
        <v>2953.08</v>
      </c>
      <c r="V17" s="4">
        <v>1946.11</v>
      </c>
      <c r="W17" s="4">
        <v>0</v>
      </c>
      <c r="X17" s="4">
        <v>4189.1499999999996</v>
      </c>
      <c r="Y17" s="8">
        <v>0</v>
      </c>
      <c r="Z17" s="8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1119.5</v>
      </c>
      <c r="AG17" s="4">
        <v>0</v>
      </c>
      <c r="AH17" s="4">
        <v>0</v>
      </c>
      <c r="AI17" s="4">
        <v>0</v>
      </c>
      <c r="AJ17" s="4">
        <v>263512.84000000003</v>
      </c>
      <c r="AK17" s="4">
        <v>260193.48</v>
      </c>
      <c r="AL17" s="4">
        <v>243583.67</v>
      </c>
      <c r="AM17" s="4">
        <v>311403.78000000003</v>
      </c>
      <c r="AN17" s="4">
        <v>285973.15999999997</v>
      </c>
      <c r="AO17" s="4">
        <v>341177.22</v>
      </c>
      <c r="AP17" s="4">
        <v>152342.92000000001</v>
      </c>
      <c r="AQ17" s="4">
        <v>145027.45000000001</v>
      </c>
      <c r="AR17" s="4">
        <v>208932.08</v>
      </c>
      <c r="AS17" s="4">
        <v>186386.08</v>
      </c>
    </row>
    <row r="18" spans="1:45" x14ac:dyDescent="0.2">
      <c r="A18" s="2" t="s">
        <v>48</v>
      </c>
      <c r="B18" s="2" t="s">
        <v>67</v>
      </c>
      <c r="C18" s="2" t="s">
        <v>53</v>
      </c>
      <c r="D18" s="4">
        <v>409938.75</v>
      </c>
      <c r="E18" s="4">
        <v>306580.96999999997</v>
      </c>
      <c r="F18" s="4">
        <v>389540.5</v>
      </c>
      <c r="G18" s="4">
        <v>523628.47</v>
      </c>
      <c r="H18" s="4">
        <v>754075.5</v>
      </c>
      <c r="I18" s="4">
        <v>447604.84</v>
      </c>
      <c r="J18" s="4">
        <v>317129.28000000003</v>
      </c>
      <c r="K18" s="4">
        <v>46520.01</v>
      </c>
      <c r="L18" s="4">
        <v>187070.94</v>
      </c>
      <c r="M18" s="4">
        <v>216594.23</v>
      </c>
      <c r="N18" s="8">
        <v>0</v>
      </c>
      <c r="O18" s="8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8">
        <v>0</v>
      </c>
      <c r="Z18" s="8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9937.94</v>
      </c>
      <c r="AK18" s="4">
        <v>11175.48</v>
      </c>
      <c r="AL18" s="4">
        <v>8925.82</v>
      </c>
      <c r="AM18" s="4">
        <v>31023.42</v>
      </c>
      <c r="AN18" s="4">
        <v>20162.310000000001</v>
      </c>
      <c r="AO18" s="4">
        <v>41096.160000000003</v>
      </c>
      <c r="AP18" s="4">
        <v>0</v>
      </c>
      <c r="AQ18" s="4">
        <v>0</v>
      </c>
      <c r="AR18" s="4">
        <v>0</v>
      </c>
      <c r="AS18" s="4">
        <v>0</v>
      </c>
    </row>
    <row r="19" spans="1:45" x14ac:dyDescent="0.2">
      <c r="A19" s="2" t="s">
        <v>49</v>
      </c>
      <c r="B19" s="2" t="s">
        <v>67</v>
      </c>
      <c r="C19" s="2" t="s">
        <v>53</v>
      </c>
      <c r="D19" s="4">
        <v>15567.42</v>
      </c>
      <c r="E19" s="4">
        <v>10807.16</v>
      </c>
      <c r="F19" s="4">
        <v>14767.24</v>
      </c>
      <c r="G19" s="4">
        <v>22968.69</v>
      </c>
      <c r="H19" s="4">
        <v>36033.910000000003</v>
      </c>
      <c r="I19" s="4">
        <v>13023.86</v>
      </c>
      <c r="J19" s="4">
        <v>4700.45</v>
      </c>
      <c r="K19" s="4">
        <v>0</v>
      </c>
      <c r="L19" s="4">
        <v>0</v>
      </c>
      <c r="M19" s="4">
        <v>3168.85</v>
      </c>
      <c r="N19" s="8">
        <v>0</v>
      </c>
      <c r="O19" s="8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8">
        <v>0</v>
      </c>
      <c r="Z19" s="8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1800.09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</row>
    <row r="20" spans="1:45" x14ac:dyDescent="0.2">
      <c r="A20" s="2" t="s">
        <v>45</v>
      </c>
      <c r="B20" s="2" t="s">
        <v>68</v>
      </c>
      <c r="C20" s="2" t="s">
        <v>54</v>
      </c>
      <c r="D20" s="4">
        <v>116911528</v>
      </c>
      <c r="E20" s="4">
        <v>124100352</v>
      </c>
      <c r="F20" s="4">
        <v>94839168</v>
      </c>
      <c r="G20" s="4">
        <v>83215440</v>
      </c>
      <c r="H20" s="4">
        <v>75538264</v>
      </c>
      <c r="I20" s="4">
        <v>77876648</v>
      </c>
      <c r="J20" s="4">
        <v>95777320</v>
      </c>
      <c r="K20" s="4">
        <v>41861040</v>
      </c>
      <c r="L20" s="4">
        <v>80238184</v>
      </c>
      <c r="M20" s="4">
        <v>29177382</v>
      </c>
      <c r="N20" s="8">
        <v>4843382</v>
      </c>
      <c r="O20" s="8">
        <v>7913691.5</v>
      </c>
      <c r="P20" s="4">
        <v>8441750</v>
      </c>
      <c r="Q20" s="4">
        <v>7045869.5</v>
      </c>
      <c r="R20" s="4">
        <v>7603770.5</v>
      </c>
      <c r="S20" s="4">
        <v>6858108.5</v>
      </c>
      <c r="T20" s="4">
        <v>6898901.5</v>
      </c>
      <c r="U20" s="4">
        <v>6917038.5</v>
      </c>
      <c r="V20" s="4">
        <v>6607853.5</v>
      </c>
      <c r="W20" s="4">
        <v>6507761.5</v>
      </c>
      <c r="X20" s="4">
        <v>7352778</v>
      </c>
      <c r="Y20" s="8">
        <v>1464013.12</v>
      </c>
      <c r="Z20" s="8">
        <v>1542442.62</v>
      </c>
      <c r="AA20" s="4">
        <v>1548853.88</v>
      </c>
      <c r="AB20" s="4">
        <v>1564205.38</v>
      </c>
      <c r="AC20" s="4">
        <v>1527808</v>
      </c>
      <c r="AD20" s="4">
        <v>1482531</v>
      </c>
      <c r="AE20" s="4">
        <v>1523190.12</v>
      </c>
      <c r="AF20" s="4">
        <v>1526945</v>
      </c>
      <c r="AG20" s="4">
        <v>1470958.38</v>
      </c>
      <c r="AH20" s="4">
        <v>1548875</v>
      </c>
      <c r="AI20" s="4">
        <v>1664952.62</v>
      </c>
      <c r="AJ20" s="4">
        <v>5871855.5</v>
      </c>
      <c r="AK20" s="4">
        <v>3674603.25</v>
      </c>
      <c r="AL20" s="4">
        <v>3745659.25</v>
      </c>
      <c r="AM20" s="4">
        <v>4241352</v>
      </c>
      <c r="AN20" s="4">
        <v>3934979.25</v>
      </c>
      <c r="AO20" s="4">
        <v>5044231.5</v>
      </c>
      <c r="AP20" s="4">
        <v>3083224</v>
      </c>
      <c r="AQ20" s="4">
        <v>2844653.25</v>
      </c>
      <c r="AR20" s="4">
        <v>3796492.25</v>
      </c>
      <c r="AS20" s="4">
        <v>2893014</v>
      </c>
    </row>
    <row r="21" spans="1:45" x14ac:dyDescent="0.2">
      <c r="A21" s="2" t="s">
        <v>47</v>
      </c>
      <c r="B21" s="2" t="s">
        <v>68</v>
      </c>
      <c r="C21" s="2" t="s">
        <v>54</v>
      </c>
      <c r="D21" s="4">
        <v>6694458</v>
      </c>
      <c r="E21" s="4">
        <v>7605287.5</v>
      </c>
      <c r="F21" s="4">
        <v>5552591.5</v>
      </c>
      <c r="G21" s="4">
        <v>5863411.5</v>
      </c>
      <c r="H21" s="4">
        <v>5040908</v>
      </c>
      <c r="I21" s="4">
        <v>5479120.5</v>
      </c>
      <c r="J21" s="4">
        <v>5337387</v>
      </c>
      <c r="K21" s="4">
        <v>2218635.25</v>
      </c>
      <c r="L21" s="4">
        <v>4492550</v>
      </c>
      <c r="M21" s="4">
        <v>1501663.38</v>
      </c>
      <c r="N21" s="8">
        <v>199560.3</v>
      </c>
      <c r="O21" s="8">
        <v>303398.28000000003</v>
      </c>
      <c r="P21" s="4">
        <v>353344.25</v>
      </c>
      <c r="Q21" s="4">
        <v>268741.78000000003</v>
      </c>
      <c r="R21" s="4">
        <v>307971.53000000003</v>
      </c>
      <c r="S21" s="4">
        <v>279231.46999999997</v>
      </c>
      <c r="T21" s="4">
        <v>290091</v>
      </c>
      <c r="U21" s="4">
        <v>294310.75</v>
      </c>
      <c r="V21" s="4">
        <v>280854.84000000003</v>
      </c>
      <c r="W21" s="4">
        <v>255802.55</v>
      </c>
      <c r="X21" s="4">
        <v>296495.15999999997</v>
      </c>
      <c r="Y21" s="8">
        <v>57853.2</v>
      </c>
      <c r="Z21" s="8">
        <v>56836.49</v>
      </c>
      <c r="AA21" s="4">
        <v>58534.89</v>
      </c>
      <c r="AB21" s="4">
        <v>59367.53</v>
      </c>
      <c r="AC21" s="4">
        <v>58381.24</v>
      </c>
      <c r="AD21" s="4">
        <v>54871.09</v>
      </c>
      <c r="AE21" s="4">
        <v>58517.65</v>
      </c>
      <c r="AF21" s="4">
        <v>61078.46</v>
      </c>
      <c r="AG21" s="4">
        <v>50858.57</v>
      </c>
      <c r="AH21" s="4">
        <v>57610.42</v>
      </c>
      <c r="AI21" s="4">
        <v>73226.7</v>
      </c>
      <c r="AJ21" s="4">
        <v>343167.38</v>
      </c>
      <c r="AK21" s="4">
        <v>214319.06</v>
      </c>
      <c r="AL21" s="4">
        <v>219031.31</v>
      </c>
      <c r="AM21" s="4">
        <v>283310.06</v>
      </c>
      <c r="AN21" s="4">
        <v>250906.92</v>
      </c>
      <c r="AO21" s="4">
        <v>348822.22</v>
      </c>
      <c r="AP21" s="4">
        <v>168084</v>
      </c>
      <c r="AQ21" s="4">
        <v>153477.95000000001</v>
      </c>
      <c r="AR21" s="4">
        <v>185727.02</v>
      </c>
      <c r="AS21" s="4">
        <v>133183.75</v>
      </c>
    </row>
    <row r="22" spans="1:45" x14ac:dyDescent="0.2">
      <c r="A22" s="2" t="s">
        <v>48</v>
      </c>
      <c r="B22" s="2" t="s">
        <v>68</v>
      </c>
      <c r="C22" s="2" t="s">
        <v>54</v>
      </c>
      <c r="D22" s="4">
        <v>857195.31</v>
      </c>
      <c r="E22" s="4">
        <v>1049959.8799999999</v>
      </c>
      <c r="F22" s="4">
        <v>958657.25</v>
      </c>
      <c r="G22" s="4">
        <v>1273821</v>
      </c>
      <c r="H22" s="4">
        <v>1135315.1200000001</v>
      </c>
      <c r="I22" s="4">
        <v>1188600.3799999999</v>
      </c>
      <c r="J22" s="4">
        <v>648041.56000000006</v>
      </c>
      <c r="K22" s="4">
        <v>102771.16</v>
      </c>
      <c r="L22" s="4">
        <v>229328.5</v>
      </c>
      <c r="M22" s="4">
        <v>93293.52</v>
      </c>
      <c r="N22" s="8">
        <v>0</v>
      </c>
      <c r="O22" s="8">
        <v>2602.4699999999998</v>
      </c>
      <c r="P22" s="4">
        <v>0</v>
      </c>
      <c r="Q22" s="4">
        <v>0</v>
      </c>
      <c r="R22" s="4">
        <v>3108.39</v>
      </c>
      <c r="S22" s="4">
        <v>2144.38</v>
      </c>
      <c r="T22" s="4">
        <v>1776.91</v>
      </c>
      <c r="U22" s="4">
        <v>3910.04</v>
      </c>
      <c r="V22" s="4">
        <v>0</v>
      </c>
      <c r="W22" s="4">
        <v>1940.52</v>
      </c>
      <c r="X22" s="4">
        <v>1935.42</v>
      </c>
      <c r="Y22" s="8">
        <v>0</v>
      </c>
      <c r="Z22" s="8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50892.51</v>
      </c>
      <c r="AK22" s="4">
        <v>29253.8</v>
      </c>
      <c r="AL22" s="4">
        <v>30258.31</v>
      </c>
      <c r="AM22" s="4">
        <v>59963.839999999997</v>
      </c>
      <c r="AN22" s="4">
        <v>43688.73</v>
      </c>
      <c r="AO22" s="4">
        <v>66193.95</v>
      </c>
      <c r="AP22" s="4">
        <v>14865.29</v>
      </c>
      <c r="AQ22" s="4">
        <v>7214.85</v>
      </c>
      <c r="AR22" s="4">
        <v>14343.62</v>
      </c>
      <c r="AS22" s="4">
        <v>6352.44</v>
      </c>
    </row>
    <row r="23" spans="1:45" x14ac:dyDescent="0.2">
      <c r="A23" s="2" t="s">
        <v>49</v>
      </c>
      <c r="B23" s="2" t="s">
        <v>68</v>
      </c>
      <c r="C23" s="2" t="s">
        <v>54</v>
      </c>
      <c r="D23" s="4">
        <v>30038.33</v>
      </c>
      <c r="E23" s="4">
        <v>40638.660000000003</v>
      </c>
      <c r="F23" s="4">
        <v>22060.83</v>
      </c>
      <c r="G23" s="4">
        <v>51402.41</v>
      </c>
      <c r="H23" s="4">
        <v>38847.82</v>
      </c>
      <c r="I23" s="4">
        <v>41504.97</v>
      </c>
      <c r="J23" s="4">
        <v>16337.24</v>
      </c>
      <c r="K23" s="4">
        <v>1924.23</v>
      </c>
      <c r="L23" s="4">
        <v>5130.62</v>
      </c>
      <c r="M23" s="4">
        <v>0</v>
      </c>
      <c r="N23" s="8">
        <v>0</v>
      </c>
      <c r="O23" s="8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8">
        <v>0</v>
      </c>
      <c r="Z23" s="8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1174.71</v>
      </c>
      <c r="AN23" s="4">
        <v>1243.57</v>
      </c>
      <c r="AO23" s="4">
        <v>1584.95</v>
      </c>
      <c r="AP23" s="4">
        <v>0</v>
      </c>
      <c r="AQ23" s="4">
        <v>0</v>
      </c>
      <c r="AR23" s="4">
        <v>0</v>
      </c>
      <c r="AS23" s="4">
        <v>0</v>
      </c>
    </row>
    <row r="24" spans="1:45" s="1" customFormat="1" x14ac:dyDescent="0.2">
      <c r="A24" s="3" t="s">
        <v>45</v>
      </c>
      <c r="B24" s="3" t="s">
        <v>55</v>
      </c>
      <c r="C24" s="3" t="s">
        <v>56</v>
      </c>
      <c r="D24" s="4">
        <v>34250248</v>
      </c>
      <c r="E24" s="4">
        <v>28824368</v>
      </c>
      <c r="F24" s="4">
        <v>54012820</v>
      </c>
      <c r="G24" s="4">
        <v>32203856</v>
      </c>
      <c r="H24" s="4">
        <v>32708672</v>
      </c>
      <c r="I24" s="4">
        <v>21222246</v>
      </c>
      <c r="J24" s="4">
        <v>50022636</v>
      </c>
      <c r="K24" s="4">
        <v>15197051</v>
      </c>
      <c r="L24" s="4">
        <v>39257164</v>
      </c>
      <c r="M24" s="4">
        <v>15443347</v>
      </c>
      <c r="N24" s="8">
        <v>5440897.5</v>
      </c>
      <c r="O24" s="8">
        <v>671882176</v>
      </c>
      <c r="P24" s="4">
        <v>1173623168</v>
      </c>
      <c r="Q24" s="4">
        <v>1137591424</v>
      </c>
      <c r="R24" s="4">
        <v>1517457408</v>
      </c>
      <c r="S24" s="4">
        <v>934562496</v>
      </c>
      <c r="T24" s="4">
        <v>842402112</v>
      </c>
      <c r="U24" s="4">
        <v>939571392</v>
      </c>
      <c r="V24" s="4">
        <v>840049152</v>
      </c>
      <c r="W24" s="4">
        <v>811696896</v>
      </c>
      <c r="X24" s="4">
        <v>985899840</v>
      </c>
      <c r="Y24" s="8">
        <v>1764255.5</v>
      </c>
      <c r="Z24" s="8">
        <v>281526432</v>
      </c>
      <c r="AA24" s="4">
        <v>439842464</v>
      </c>
      <c r="AB24" s="4">
        <v>531242112</v>
      </c>
      <c r="AC24" s="4">
        <v>651139776</v>
      </c>
      <c r="AD24" s="4">
        <v>354957888</v>
      </c>
      <c r="AE24" s="4">
        <v>311899360</v>
      </c>
      <c r="AF24" s="4">
        <v>401731328</v>
      </c>
      <c r="AG24" s="4">
        <v>366759072</v>
      </c>
      <c r="AH24" s="4">
        <v>392723968</v>
      </c>
      <c r="AI24" s="4">
        <v>433213824</v>
      </c>
      <c r="AJ24" s="4">
        <v>117034080</v>
      </c>
      <c r="AK24" s="4">
        <v>110541120</v>
      </c>
      <c r="AL24" s="4">
        <v>165520144</v>
      </c>
      <c r="AM24" s="4">
        <v>251049936</v>
      </c>
      <c r="AN24" s="4">
        <v>158978336</v>
      </c>
      <c r="AO24" s="4">
        <v>179265904</v>
      </c>
      <c r="AP24" s="4">
        <v>348057504</v>
      </c>
      <c r="AQ24" s="4">
        <v>227370192</v>
      </c>
      <c r="AR24" s="4">
        <v>214501904</v>
      </c>
      <c r="AS24" s="4">
        <v>141162368</v>
      </c>
    </row>
    <row r="25" spans="1:45" x14ac:dyDescent="0.2">
      <c r="A25" s="2" t="s">
        <v>47</v>
      </c>
      <c r="B25" s="2" t="s">
        <v>55</v>
      </c>
      <c r="C25" s="2" t="s">
        <v>56</v>
      </c>
      <c r="D25" s="4">
        <v>6457825.5</v>
      </c>
      <c r="E25" s="4">
        <v>5390260</v>
      </c>
      <c r="F25" s="4">
        <v>10315671</v>
      </c>
      <c r="G25" s="4">
        <v>6106373.5</v>
      </c>
      <c r="H25" s="4">
        <v>6250474.5</v>
      </c>
      <c r="I25" s="4">
        <v>3990345.75</v>
      </c>
      <c r="J25" s="4">
        <v>9408299</v>
      </c>
      <c r="K25" s="4">
        <v>2912750.25</v>
      </c>
      <c r="L25" s="4">
        <v>7389694.5</v>
      </c>
      <c r="M25" s="4">
        <v>2868995.25</v>
      </c>
      <c r="N25" s="8">
        <v>941429</v>
      </c>
      <c r="O25" s="8">
        <v>127367296</v>
      </c>
      <c r="P25" s="4">
        <v>229933200</v>
      </c>
      <c r="Q25" s="4">
        <v>219795504</v>
      </c>
      <c r="R25" s="4">
        <v>292912736</v>
      </c>
      <c r="S25" s="4">
        <v>180365008</v>
      </c>
      <c r="T25" s="4">
        <v>163209104</v>
      </c>
      <c r="U25" s="4">
        <v>180803648</v>
      </c>
      <c r="V25" s="4">
        <v>160084816</v>
      </c>
      <c r="W25" s="4">
        <v>155584480</v>
      </c>
      <c r="X25" s="4">
        <v>187953264</v>
      </c>
      <c r="Y25" s="8">
        <v>293102.75</v>
      </c>
      <c r="Z25" s="8">
        <v>55226576</v>
      </c>
      <c r="AA25" s="4">
        <v>85907960</v>
      </c>
      <c r="AB25" s="4">
        <v>105431928</v>
      </c>
      <c r="AC25" s="4">
        <v>125521240</v>
      </c>
      <c r="AD25" s="4">
        <v>68757560</v>
      </c>
      <c r="AE25" s="4">
        <v>59401500</v>
      </c>
      <c r="AF25" s="4">
        <v>78644192</v>
      </c>
      <c r="AG25" s="4">
        <v>70394632</v>
      </c>
      <c r="AH25" s="4">
        <v>74767320</v>
      </c>
      <c r="AI25" s="4">
        <v>83716400</v>
      </c>
      <c r="AJ25" s="4">
        <v>22695800</v>
      </c>
      <c r="AK25" s="4">
        <v>21410266</v>
      </c>
      <c r="AL25" s="4">
        <v>32320584</v>
      </c>
      <c r="AM25" s="4">
        <v>48305436</v>
      </c>
      <c r="AN25" s="4">
        <v>30606402</v>
      </c>
      <c r="AO25" s="4">
        <v>34254916</v>
      </c>
      <c r="AP25" s="4">
        <v>67133024</v>
      </c>
      <c r="AQ25" s="4">
        <v>43007620</v>
      </c>
      <c r="AR25" s="4">
        <v>41507144</v>
      </c>
      <c r="AS25" s="4">
        <v>26511878</v>
      </c>
    </row>
    <row r="26" spans="1:45" x14ac:dyDescent="0.2">
      <c r="A26" s="2" t="s">
        <v>48</v>
      </c>
      <c r="B26" s="2" t="s">
        <v>55</v>
      </c>
      <c r="C26" s="2" t="s">
        <v>56</v>
      </c>
      <c r="D26" s="4">
        <v>312636.53000000003</v>
      </c>
      <c r="E26" s="4">
        <v>357084.62</v>
      </c>
      <c r="F26" s="4">
        <v>467779.16</v>
      </c>
      <c r="G26" s="4">
        <v>308440.65999999997</v>
      </c>
      <c r="H26" s="4">
        <v>291755.53000000003</v>
      </c>
      <c r="I26" s="4">
        <v>213798.67</v>
      </c>
      <c r="J26" s="4">
        <v>468473.34</v>
      </c>
      <c r="K26" s="4">
        <v>183324.12</v>
      </c>
      <c r="L26" s="4">
        <v>341104.41</v>
      </c>
      <c r="M26" s="4">
        <v>52798.400000000001</v>
      </c>
      <c r="N26" s="8">
        <v>0</v>
      </c>
      <c r="O26" s="8">
        <v>7331873.5</v>
      </c>
      <c r="P26" s="4">
        <v>11630509</v>
      </c>
      <c r="Q26" s="4">
        <v>6726555.5</v>
      </c>
      <c r="R26" s="4">
        <v>12941840</v>
      </c>
      <c r="S26" s="4">
        <v>0</v>
      </c>
      <c r="T26" s="4">
        <v>0</v>
      </c>
      <c r="U26" s="4">
        <v>5267076</v>
      </c>
      <c r="V26" s="4">
        <v>0</v>
      </c>
      <c r="W26" s="4">
        <v>0</v>
      </c>
      <c r="X26" s="4">
        <v>0</v>
      </c>
      <c r="Y26" s="8">
        <v>0</v>
      </c>
      <c r="Z26" s="8">
        <v>2310665</v>
      </c>
      <c r="AA26" s="4">
        <v>4077184</v>
      </c>
      <c r="AB26" s="4">
        <v>3756641.25</v>
      </c>
      <c r="AC26" s="4">
        <v>5922334</v>
      </c>
      <c r="AD26" s="4">
        <v>0</v>
      </c>
      <c r="AE26" s="4">
        <v>0</v>
      </c>
      <c r="AF26" s="4">
        <v>3623403.25</v>
      </c>
      <c r="AG26" s="4">
        <v>0</v>
      </c>
      <c r="AH26" s="4">
        <v>0</v>
      </c>
      <c r="AI26" s="4">
        <v>0</v>
      </c>
      <c r="AJ26" s="4">
        <v>1144066.6200000001</v>
      </c>
      <c r="AK26" s="4">
        <v>512789.25</v>
      </c>
      <c r="AL26" s="4">
        <v>1567881.62</v>
      </c>
      <c r="AM26" s="4">
        <v>1225227.6200000001</v>
      </c>
      <c r="AN26" s="4">
        <v>1300179.1200000001</v>
      </c>
      <c r="AO26" s="4">
        <v>712530.94</v>
      </c>
      <c r="AP26" s="4">
        <v>3462104</v>
      </c>
      <c r="AQ26" s="4">
        <v>0</v>
      </c>
      <c r="AR26" s="4">
        <v>1937885.12</v>
      </c>
      <c r="AS26" s="4">
        <v>1412485.38</v>
      </c>
    </row>
    <row r="27" spans="1:45" x14ac:dyDescent="0.2">
      <c r="A27" s="2" t="s">
        <v>49</v>
      </c>
      <c r="B27" s="2" t="s">
        <v>55</v>
      </c>
      <c r="C27" s="2" t="s">
        <v>56</v>
      </c>
      <c r="D27" s="4">
        <v>10914.31</v>
      </c>
      <c r="E27" s="4">
        <v>16808.240000000002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8">
        <v>0</v>
      </c>
      <c r="O27" s="8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8">
        <v>0</v>
      </c>
      <c r="Z27" s="8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</row>
    <row r="28" spans="1:45" x14ac:dyDescent="0.2">
      <c r="A28" s="2" t="s">
        <v>57</v>
      </c>
      <c r="B28" s="2" t="s">
        <v>55</v>
      </c>
      <c r="C28" s="2" t="s">
        <v>56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6318.69</v>
      </c>
      <c r="J28" s="4">
        <v>0</v>
      </c>
      <c r="K28" s="4">
        <v>0</v>
      </c>
      <c r="L28" s="4">
        <v>0</v>
      </c>
      <c r="M28" s="4">
        <v>0</v>
      </c>
      <c r="N28" s="8">
        <v>0</v>
      </c>
      <c r="O28" s="8">
        <v>0</v>
      </c>
      <c r="P28" s="4">
        <v>0</v>
      </c>
      <c r="Q28" s="4">
        <v>0</v>
      </c>
      <c r="R28" s="4">
        <v>161807.79999999999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264819.46999999997</v>
      </c>
      <c r="Y28" s="8">
        <v>0</v>
      </c>
      <c r="Z28" s="8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44889.95</v>
      </c>
      <c r="AG28" s="4">
        <v>0</v>
      </c>
      <c r="AH28" s="4">
        <v>0</v>
      </c>
      <c r="AI28" s="4">
        <v>89037.87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</row>
    <row r="29" spans="1:45" x14ac:dyDescent="0.2">
      <c r="A29" s="2" t="s">
        <v>58</v>
      </c>
      <c r="B29" s="2" t="s">
        <v>55</v>
      </c>
      <c r="C29" s="2" t="s">
        <v>56</v>
      </c>
      <c r="D29" s="4">
        <v>95982.31</v>
      </c>
      <c r="E29" s="4">
        <v>38486.42</v>
      </c>
      <c r="F29" s="4">
        <v>62048.99</v>
      </c>
      <c r="G29" s="4">
        <v>64221.89</v>
      </c>
      <c r="H29" s="4">
        <v>102657.43</v>
      </c>
      <c r="I29" s="4">
        <v>71558.13</v>
      </c>
      <c r="J29" s="4">
        <v>142016.10999999999</v>
      </c>
      <c r="K29" s="4">
        <v>51198.34</v>
      </c>
      <c r="L29" s="4">
        <v>124554.56</v>
      </c>
      <c r="M29" s="4">
        <v>45635.67</v>
      </c>
      <c r="N29" s="8">
        <v>0</v>
      </c>
      <c r="O29" s="8">
        <v>1087939.6200000001</v>
      </c>
      <c r="P29" s="4">
        <v>1153488.1200000001</v>
      </c>
      <c r="Q29" s="4">
        <v>1174755.6200000001</v>
      </c>
      <c r="R29" s="4">
        <v>3186232</v>
      </c>
      <c r="S29" s="4">
        <v>2430064.75</v>
      </c>
      <c r="T29" s="4">
        <v>1895808.38</v>
      </c>
      <c r="U29" s="4">
        <v>2772849.75</v>
      </c>
      <c r="V29" s="4">
        <v>1643316</v>
      </c>
      <c r="W29" s="4">
        <v>2048221</v>
      </c>
      <c r="X29" s="4">
        <v>2599845.75</v>
      </c>
      <c r="Y29" s="8">
        <v>0</v>
      </c>
      <c r="Z29" s="8">
        <v>305105</v>
      </c>
      <c r="AA29" s="4">
        <v>510153.41</v>
      </c>
      <c r="AB29" s="4">
        <v>337668.22</v>
      </c>
      <c r="AC29" s="4">
        <v>1302802</v>
      </c>
      <c r="AD29" s="4">
        <v>897020.5</v>
      </c>
      <c r="AE29" s="4">
        <v>865218.69</v>
      </c>
      <c r="AF29" s="4">
        <v>1270593</v>
      </c>
      <c r="AG29" s="4">
        <v>980310.06</v>
      </c>
      <c r="AH29" s="4">
        <v>1001911.44</v>
      </c>
      <c r="AI29" s="4">
        <v>1113174.75</v>
      </c>
      <c r="AJ29" s="4">
        <v>202238.3</v>
      </c>
      <c r="AK29" s="4">
        <v>151297.01999999999</v>
      </c>
      <c r="AL29" s="4">
        <v>168122.39</v>
      </c>
      <c r="AM29" s="4">
        <v>273185.84000000003</v>
      </c>
      <c r="AN29" s="4">
        <v>330889.34000000003</v>
      </c>
      <c r="AO29" s="4">
        <v>299398.40999999997</v>
      </c>
      <c r="AP29" s="4">
        <v>214367.14</v>
      </c>
      <c r="AQ29" s="4">
        <v>129618.85</v>
      </c>
      <c r="AR29" s="4">
        <v>111401.46</v>
      </c>
      <c r="AS29" s="4">
        <v>120405.07</v>
      </c>
    </row>
    <row r="30" spans="1:45" x14ac:dyDescent="0.2">
      <c r="A30" s="2" t="s">
        <v>59</v>
      </c>
      <c r="B30" s="2" t="s">
        <v>55</v>
      </c>
      <c r="C30" s="2" t="s">
        <v>56</v>
      </c>
      <c r="D30" s="4">
        <v>255498.5</v>
      </c>
      <c r="E30" s="4">
        <v>100025.19</v>
      </c>
      <c r="F30" s="4">
        <v>133104.35999999999</v>
      </c>
      <c r="G30" s="4">
        <v>176469.83</v>
      </c>
      <c r="H30" s="4">
        <v>252179.27</v>
      </c>
      <c r="I30" s="4">
        <v>176543.61</v>
      </c>
      <c r="J30" s="4">
        <v>291149.03000000003</v>
      </c>
      <c r="K30" s="4">
        <v>92734.5</v>
      </c>
      <c r="L30" s="4">
        <v>196127.19</v>
      </c>
      <c r="M30" s="4">
        <v>81963.429999999993</v>
      </c>
      <c r="N30" s="8">
        <v>0</v>
      </c>
      <c r="O30" s="8">
        <v>3029960.75</v>
      </c>
      <c r="P30" s="4">
        <v>2897676</v>
      </c>
      <c r="Q30" s="4">
        <v>2016570.38</v>
      </c>
      <c r="R30" s="4">
        <v>7083487.5</v>
      </c>
      <c r="S30" s="4">
        <v>5308013.5</v>
      </c>
      <c r="T30" s="4">
        <v>4978097.5</v>
      </c>
      <c r="U30" s="4">
        <v>5329155.5</v>
      </c>
      <c r="V30" s="4">
        <v>5097258.5</v>
      </c>
      <c r="W30" s="4">
        <v>3931445.25</v>
      </c>
      <c r="X30" s="4">
        <v>5523870.5</v>
      </c>
      <c r="Y30" s="8">
        <v>0</v>
      </c>
      <c r="Z30" s="8">
        <v>1280559.25</v>
      </c>
      <c r="AA30" s="4">
        <v>1252400.5</v>
      </c>
      <c r="AB30" s="4">
        <v>1066118</v>
      </c>
      <c r="AC30" s="4">
        <v>2725326.75</v>
      </c>
      <c r="AD30" s="4">
        <v>2136345</v>
      </c>
      <c r="AE30" s="4">
        <v>2070074</v>
      </c>
      <c r="AF30" s="4">
        <v>2422871</v>
      </c>
      <c r="AG30" s="4">
        <v>2136287.75</v>
      </c>
      <c r="AH30" s="4">
        <v>2314303</v>
      </c>
      <c r="AI30" s="4">
        <v>2345476.75</v>
      </c>
      <c r="AJ30" s="4">
        <v>1932223.62</v>
      </c>
      <c r="AK30" s="4">
        <v>1310558.75</v>
      </c>
      <c r="AL30" s="4">
        <v>1530410.88</v>
      </c>
      <c r="AM30" s="4">
        <v>2043064.88</v>
      </c>
      <c r="AN30" s="4">
        <v>2430819.5</v>
      </c>
      <c r="AO30" s="4">
        <v>2456573.75</v>
      </c>
      <c r="AP30" s="4">
        <v>581091.75</v>
      </c>
      <c r="AQ30" s="4">
        <v>350468.12</v>
      </c>
      <c r="AR30" s="4">
        <v>376795.09</v>
      </c>
      <c r="AS30" s="4">
        <v>256417.14</v>
      </c>
    </row>
    <row r="31" spans="1:45" x14ac:dyDescent="0.2">
      <c r="A31" s="2" t="s">
        <v>60</v>
      </c>
      <c r="B31" s="2" t="s">
        <v>55</v>
      </c>
      <c r="C31" s="2" t="s">
        <v>56</v>
      </c>
      <c r="D31" s="4">
        <v>4438075.5</v>
      </c>
      <c r="E31" s="4">
        <v>1774012</v>
      </c>
      <c r="F31" s="4">
        <v>2500855.75</v>
      </c>
      <c r="G31" s="4">
        <v>2911601.25</v>
      </c>
      <c r="H31" s="4">
        <v>4637922.5</v>
      </c>
      <c r="I31" s="4">
        <v>2924042.25</v>
      </c>
      <c r="J31" s="4">
        <v>4200573.5</v>
      </c>
      <c r="K31" s="4">
        <v>1469676.62</v>
      </c>
      <c r="L31" s="4">
        <v>3756488.25</v>
      </c>
      <c r="M31" s="4">
        <v>1443682.62</v>
      </c>
      <c r="N31" s="8">
        <v>15436.04</v>
      </c>
      <c r="O31" s="8">
        <v>54383588</v>
      </c>
      <c r="P31" s="4">
        <v>53523804</v>
      </c>
      <c r="Q31" s="4">
        <v>37784580</v>
      </c>
      <c r="R31" s="4">
        <v>118499432</v>
      </c>
      <c r="S31" s="4">
        <v>97838376</v>
      </c>
      <c r="T31" s="4">
        <v>91323416</v>
      </c>
      <c r="U31" s="4">
        <v>90430296</v>
      </c>
      <c r="V31" s="4">
        <v>83868272</v>
      </c>
      <c r="W31" s="4">
        <v>70781032</v>
      </c>
      <c r="X31" s="4">
        <v>91481656</v>
      </c>
      <c r="Y31" s="8">
        <v>2346.84</v>
      </c>
      <c r="Z31" s="8">
        <v>23971094</v>
      </c>
      <c r="AA31" s="4">
        <v>19111686</v>
      </c>
      <c r="AB31" s="4">
        <v>18160888</v>
      </c>
      <c r="AC31" s="4">
        <v>51114828</v>
      </c>
      <c r="AD31" s="4">
        <v>37516548</v>
      </c>
      <c r="AE31" s="4">
        <v>34285580</v>
      </c>
      <c r="AF31" s="4">
        <v>37222564</v>
      </c>
      <c r="AG31" s="4">
        <v>36499908</v>
      </c>
      <c r="AH31" s="4">
        <v>35170548</v>
      </c>
      <c r="AI31" s="4">
        <v>40912580</v>
      </c>
      <c r="AJ31" s="4">
        <v>33158598</v>
      </c>
      <c r="AK31" s="4">
        <v>23397942</v>
      </c>
      <c r="AL31" s="4">
        <v>24147736</v>
      </c>
      <c r="AM31" s="4">
        <v>38527436</v>
      </c>
      <c r="AN31" s="4">
        <v>40635752</v>
      </c>
      <c r="AO31" s="4">
        <v>40144220</v>
      </c>
      <c r="AP31" s="4">
        <v>10199889</v>
      </c>
      <c r="AQ31" s="4">
        <v>5972576.5</v>
      </c>
      <c r="AR31" s="4">
        <v>6074510.5</v>
      </c>
      <c r="AS31" s="4">
        <v>4646716</v>
      </c>
    </row>
    <row r="32" spans="1:45" x14ac:dyDescent="0.2">
      <c r="A32" s="2" t="s">
        <v>45</v>
      </c>
      <c r="B32" s="2" t="s">
        <v>69</v>
      </c>
      <c r="C32" s="2" t="s">
        <v>61</v>
      </c>
      <c r="D32" s="4">
        <v>64829408</v>
      </c>
      <c r="E32" s="4">
        <v>86125992</v>
      </c>
      <c r="F32" s="4">
        <v>80409720</v>
      </c>
      <c r="G32" s="4">
        <v>53774844</v>
      </c>
      <c r="H32" s="4">
        <v>51369152</v>
      </c>
      <c r="I32" s="4">
        <v>62067836</v>
      </c>
      <c r="J32" s="4">
        <v>115092888</v>
      </c>
      <c r="K32" s="4">
        <v>38096192</v>
      </c>
      <c r="L32" s="4">
        <v>65512768</v>
      </c>
      <c r="M32" s="4">
        <v>49002268</v>
      </c>
      <c r="N32" s="8">
        <v>0</v>
      </c>
      <c r="O32" s="8">
        <v>0</v>
      </c>
      <c r="P32" s="4">
        <v>1888.14</v>
      </c>
      <c r="Q32" s="4">
        <v>0</v>
      </c>
      <c r="R32" s="4">
        <v>0</v>
      </c>
      <c r="S32" s="4">
        <v>1714.61</v>
      </c>
      <c r="T32" s="4">
        <v>0</v>
      </c>
      <c r="U32" s="4">
        <v>1832.61</v>
      </c>
      <c r="V32" s="4">
        <v>0</v>
      </c>
      <c r="W32" s="4">
        <v>0</v>
      </c>
      <c r="X32" s="4">
        <v>0</v>
      </c>
      <c r="Y32" s="8">
        <v>1548.73</v>
      </c>
      <c r="Z32" s="8">
        <v>1530.05</v>
      </c>
      <c r="AA32" s="4">
        <v>1350.3</v>
      </c>
      <c r="AB32" s="4">
        <v>1157.3800000000001</v>
      </c>
      <c r="AC32" s="4">
        <v>2193.7199999999998</v>
      </c>
      <c r="AD32" s="4">
        <v>1357.09</v>
      </c>
      <c r="AE32" s="4">
        <v>1145.6500000000001</v>
      </c>
      <c r="AF32" s="4">
        <v>3015.68</v>
      </c>
      <c r="AG32" s="4">
        <v>3388.2</v>
      </c>
      <c r="AH32" s="4">
        <v>1338.43</v>
      </c>
      <c r="AI32" s="4">
        <v>1355.57</v>
      </c>
      <c r="AJ32" s="4">
        <v>39001404</v>
      </c>
      <c r="AK32" s="4">
        <v>44581844</v>
      </c>
      <c r="AL32" s="4">
        <v>32825650</v>
      </c>
      <c r="AM32" s="4">
        <v>45898944</v>
      </c>
      <c r="AN32" s="4">
        <v>37858708</v>
      </c>
      <c r="AO32" s="4">
        <v>41286180</v>
      </c>
      <c r="AP32" s="4">
        <v>39993060</v>
      </c>
      <c r="AQ32" s="4">
        <v>38107760</v>
      </c>
      <c r="AR32" s="4">
        <v>32415906</v>
      </c>
      <c r="AS32" s="4">
        <v>32517286</v>
      </c>
    </row>
    <row r="33" spans="1:45" x14ac:dyDescent="0.2">
      <c r="A33" s="2" t="s">
        <v>47</v>
      </c>
      <c r="B33" s="2" t="s">
        <v>69</v>
      </c>
      <c r="C33" s="2" t="s">
        <v>61</v>
      </c>
      <c r="D33" s="4">
        <v>4306532</v>
      </c>
      <c r="E33" s="4">
        <v>5839169.5</v>
      </c>
      <c r="F33" s="4">
        <v>5608881.5</v>
      </c>
      <c r="G33" s="4">
        <v>4259379.5</v>
      </c>
      <c r="H33" s="4">
        <v>4017969.25</v>
      </c>
      <c r="I33" s="4">
        <v>4997995.5</v>
      </c>
      <c r="J33" s="4">
        <v>8012206</v>
      </c>
      <c r="K33" s="4">
        <v>2443530.25</v>
      </c>
      <c r="L33" s="4">
        <v>4096101.25</v>
      </c>
      <c r="M33" s="4">
        <v>3168370.25</v>
      </c>
      <c r="N33" s="8">
        <v>0</v>
      </c>
      <c r="O33" s="8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8">
        <v>0</v>
      </c>
      <c r="Z33" s="8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2631431.75</v>
      </c>
      <c r="AK33" s="4">
        <v>3069223</v>
      </c>
      <c r="AL33" s="4">
        <v>2248599.25</v>
      </c>
      <c r="AM33" s="4">
        <v>3580745</v>
      </c>
      <c r="AN33" s="4">
        <v>2992773.75</v>
      </c>
      <c r="AO33" s="4">
        <v>3330026</v>
      </c>
      <c r="AP33" s="4">
        <v>2914404</v>
      </c>
      <c r="AQ33" s="4">
        <v>2678655</v>
      </c>
      <c r="AR33" s="4">
        <v>2296285</v>
      </c>
      <c r="AS33" s="4">
        <v>2194601</v>
      </c>
    </row>
    <row r="34" spans="1:45" x14ac:dyDescent="0.2">
      <c r="A34" s="2" t="s">
        <v>48</v>
      </c>
      <c r="B34" s="2" t="s">
        <v>69</v>
      </c>
      <c r="C34" s="2" t="s">
        <v>61</v>
      </c>
      <c r="D34" s="4">
        <v>1051416.3799999999</v>
      </c>
      <c r="E34" s="4">
        <v>1423184.5</v>
      </c>
      <c r="F34" s="4">
        <v>1434533.12</v>
      </c>
      <c r="G34" s="4">
        <v>1636451</v>
      </c>
      <c r="H34" s="4">
        <v>1329289.5</v>
      </c>
      <c r="I34" s="4">
        <v>1834748.5</v>
      </c>
      <c r="J34" s="4">
        <v>1424948.38</v>
      </c>
      <c r="K34" s="4">
        <v>269737.15999999997</v>
      </c>
      <c r="L34" s="4">
        <v>504201.75</v>
      </c>
      <c r="M34" s="4">
        <v>406016.5</v>
      </c>
      <c r="N34" s="8">
        <v>0</v>
      </c>
      <c r="O34" s="8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8">
        <v>1385.07</v>
      </c>
      <c r="Z34" s="8">
        <v>0</v>
      </c>
      <c r="AA34" s="4">
        <v>970.68</v>
      </c>
      <c r="AB34" s="4">
        <v>1001.24</v>
      </c>
      <c r="AC34" s="4">
        <v>965.18</v>
      </c>
      <c r="AD34" s="4">
        <v>0</v>
      </c>
      <c r="AE34" s="4">
        <v>0</v>
      </c>
      <c r="AF34" s="4">
        <v>0</v>
      </c>
      <c r="AG34" s="4">
        <v>1162.24</v>
      </c>
      <c r="AH34" s="4">
        <v>1148.54</v>
      </c>
      <c r="AI34" s="4">
        <v>0</v>
      </c>
      <c r="AJ34" s="4">
        <v>571562.56000000006</v>
      </c>
      <c r="AK34" s="4">
        <v>651864.68999999994</v>
      </c>
      <c r="AL34" s="4">
        <v>522576</v>
      </c>
      <c r="AM34" s="4">
        <v>1157385.1200000001</v>
      </c>
      <c r="AN34" s="4">
        <v>961215.19</v>
      </c>
      <c r="AO34" s="4">
        <v>1106276.25</v>
      </c>
      <c r="AP34" s="4">
        <v>599812.93999999994</v>
      </c>
      <c r="AQ34" s="4">
        <v>432208.97</v>
      </c>
      <c r="AR34" s="4">
        <v>410901.53</v>
      </c>
      <c r="AS34" s="4">
        <v>443441.47</v>
      </c>
    </row>
    <row r="35" spans="1:45" x14ac:dyDescent="0.2">
      <c r="A35" s="2" t="s">
        <v>49</v>
      </c>
      <c r="B35" s="2" t="s">
        <v>69</v>
      </c>
      <c r="C35" s="2" t="s">
        <v>61</v>
      </c>
      <c r="D35" s="4">
        <v>52157.71</v>
      </c>
      <c r="E35" s="4">
        <v>61247.040000000001</v>
      </c>
      <c r="F35" s="4">
        <v>57340.7</v>
      </c>
      <c r="G35" s="4">
        <v>106332.34</v>
      </c>
      <c r="H35" s="4">
        <v>62911.16</v>
      </c>
      <c r="I35" s="4">
        <v>97366.84</v>
      </c>
      <c r="J35" s="4">
        <v>66344.83</v>
      </c>
      <c r="K35" s="4">
        <v>8873.4599999999991</v>
      </c>
      <c r="L35" s="4">
        <v>19446.900000000001</v>
      </c>
      <c r="M35" s="4">
        <v>13751.59</v>
      </c>
      <c r="N35" s="8">
        <v>0</v>
      </c>
      <c r="O35" s="8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8">
        <v>0</v>
      </c>
      <c r="Z35" s="8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24182.16</v>
      </c>
      <c r="AK35" s="4">
        <v>30920.16</v>
      </c>
      <c r="AL35" s="4">
        <v>21425.39</v>
      </c>
      <c r="AM35" s="4">
        <v>60734.21</v>
      </c>
      <c r="AN35" s="4">
        <v>59564.27</v>
      </c>
      <c r="AO35" s="4">
        <v>50091.88</v>
      </c>
      <c r="AP35" s="4">
        <v>27164.51</v>
      </c>
      <c r="AQ35" s="4">
        <v>19449.95</v>
      </c>
      <c r="AR35" s="4">
        <v>19144.29</v>
      </c>
      <c r="AS35" s="4">
        <v>20379.009999999998</v>
      </c>
    </row>
    <row r="36" spans="1:45" x14ac:dyDescent="0.2">
      <c r="A36" s="2" t="s">
        <v>62</v>
      </c>
      <c r="B36" s="2" t="s">
        <v>69</v>
      </c>
      <c r="C36" s="2" t="s">
        <v>61</v>
      </c>
      <c r="D36" s="4">
        <v>0</v>
      </c>
      <c r="E36" s="4">
        <v>0</v>
      </c>
      <c r="F36" s="4">
        <v>0</v>
      </c>
      <c r="G36" s="4">
        <v>4261.93</v>
      </c>
      <c r="H36" s="4">
        <v>1711.42</v>
      </c>
      <c r="I36" s="4">
        <v>3968.39</v>
      </c>
      <c r="J36" s="4">
        <v>0</v>
      </c>
      <c r="K36" s="4">
        <v>0</v>
      </c>
      <c r="L36" s="4">
        <v>0</v>
      </c>
      <c r="M36" s="4">
        <v>0</v>
      </c>
      <c r="N36" s="8">
        <v>0</v>
      </c>
      <c r="O36" s="8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8">
        <v>0</v>
      </c>
      <c r="Z36" s="8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3839.01</v>
      </c>
      <c r="AN36" s="4">
        <v>3675.58</v>
      </c>
      <c r="AO36" s="4">
        <v>4537.07</v>
      </c>
      <c r="AP36" s="4">
        <v>1556.06</v>
      </c>
      <c r="AQ36" s="4">
        <v>0</v>
      </c>
      <c r="AR36" s="4">
        <v>0</v>
      </c>
      <c r="AS36" s="4">
        <v>0</v>
      </c>
    </row>
    <row r="40" spans="1:45" ht="24" x14ac:dyDescent="0.3">
      <c r="A40" s="25" t="s">
        <v>71</v>
      </c>
      <c r="B40" s="25"/>
      <c r="C40" s="25"/>
      <c r="D40" s="25"/>
      <c r="E40" s="25"/>
    </row>
    <row r="41" spans="1:45" x14ac:dyDescent="0.2">
      <c r="A41" s="5" t="s">
        <v>0</v>
      </c>
      <c r="B41" s="5" t="s">
        <v>1</v>
      </c>
      <c r="C41" s="5" t="s">
        <v>2</v>
      </c>
      <c r="D41" s="5" t="s">
        <v>3</v>
      </c>
      <c r="E41" s="5" t="s">
        <v>4</v>
      </c>
      <c r="F41" s="5" t="s">
        <v>5</v>
      </c>
      <c r="G41" s="5" t="s">
        <v>6</v>
      </c>
      <c r="H41" s="5" t="s">
        <v>7</v>
      </c>
      <c r="I41" s="5" t="s">
        <v>8</v>
      </c>
      <c r="J41" s="5" t="s">
        <v>9</v>
      </c>
      <c r="K41" s="5" t="s">
        <v>10</v>
      </c>
      <c r="L41" s="5" t="s">
        <v>11</v>
      </c>
      <c r="M41" s="5" t="s">
        <v>12</v>
      </c>
      <c r="N41" s="7" t="s">
        <v>13</v>
      </c>
      <c r="O41" s="7" t="s">
        <v>25</v>
      </c>
      <c r="P41" s="5" t="s">
        <v>26</v>
      </c>
      <c r="Q41" s="5" t="s">
        <v>27</v>
      </c>
      <c r="R41" s="5" t="s">
        <v>28</v>
      </c>
      <c r="S41" s="5" t="s">
        <v>29</v>
      </c>
      <c r="T41" s="5" t="s">
        <v>30</v>
      </c>
      <c r="U41" s="5" t="s">
        <v>31</v>
      </c>
      <c r="V41" s="5" t="s">
        <v>32</v>
      </c>
      <c r="W41" s="5" t="s">
        <v>33</v>
      </c>
      <c r="X41" s="5" t="s">
        <v>34</v>
      </c>
      <c r="Y41" s="7" t="s">
        <v>14</v>
      </c>
      <c r="Z41" s="7" t="s">
        <v>15</v>
      </c>
      <c r="AA41" s="5" t="s">
        <v>16</v>
      </c>
      <c r="AB41" s="5" t="s">
        <v>17</v>
      </c>
      <c r="AC41" s="5" t="s">
        <v>18</v>
      </c>
      <c r="AD41" s="5" t="s">
        <v>19</v>
      </c>
      <c r="AE41" s="5" t="s">
        <v>20</v>
      </c>
      <c r="AF41" s="5" t="s">
        <v>21</v>
      </c>
      <c r="AG41" s="5" t="s">
        <v>22</v>
      </c>
      <c r="AH41" s="5" t="s">
        <v>23</v>
      </c>
      <c r="AI41" s="5" t="s">
        <v>24</v>
      </c>
      <c r="AJ41" s="5" t="s">
        <v>35</v>
      </c>
      <c r="AK41" s="5" t="s">
        <v>36</v>
      </c>
      <c r="AL41" s="5" t="s">
        <v>37</v>
      </c>
      <c r="AM41" s="5" t="s">
        <v>38</v>
      </c>
      <c r="AN41" s="5" t="s">
        <v>39</v>
      </c>
      <c r="AO41" s="5" t="s">
        <v>40</v>
      </c>
      <c r="AP41" s="5" t="s">
        <v>41</v>
      </c>
      <c r="AQ41" s="5" t="s">
        <v>42</v>
      </c>
      <c r="AR41" s="5" t="s">
        <v>43</v>
      </c>
      <c r="AS41" s="5" t="s">
        <v>44</v>
      </c>
    </row>
    <row r="42" spans="1:45" x14ac:dyDescent="0.2">
      <c r="A42" s="2" t="s">
        <v>45</v>
      </c>
      <c r="B42" s="2" t="s">
        <v>63</v>
      </c>
      <c r="C42" s="2" t="s">
        <v>46</v>
      </c>
      <c r="D42" s="4">
        <f>D3 - 0</f>
        <v>56449600</v>
      </c>
      <c r="E42" s="4">
        <f t="shared" ref="E42:M42" si="0">E3 - 0</f>
        <v>67077292</v>
      </c>
      <c r="F42" s="4">
        <f t="shared" si="0"/>
        <v>48073396</v>
      </c>
      <c r="G42" s="4">
        <f t="shared" si="0"/>
        <v>46922704</v>
      </c>
      <c r="H42" s="4">
        <f t="shared" si="0"/>
        <v>39328228</v>
      </c>
      <c r="I42" s="4">
        <f t="shared" si="0"/>
        <v>44188372</v>
      </c>
      <c r="J42" s="4">
        <f t="shared" si="0"/>
        <v>54571124</v>
      </c>
      <c r="K42" s="4">
        <f t="shared" si="0"/>
        <v>25744694</v>
      </c>
      <c r="L42" s="4">
        <f t="shared" si="0"/>
        <v>47139148</v>
      </c>
      <c r="M42" s="4">
        <f t="shared" si="0"/>
        <v>28214210</v>
      </c>
      <c r="N42" s="8">
        <f>IF(N3-$N3&gt;0, N3-$N3, 0)</f>
        <v>0</v>
      </c>
      <c r="O42" s="8">
        <f>IF(O3-$N3&gt;0, O3-$N3, 0)</f>
        <v>9850.84</v>
      </c>
      <c r="P42" s="8">
        <f t="shared" ref="P42:X42" si="1">IF(P3-$N3&gt;0, P3-$N3, 0)</f>
        <v>12338.899999999998</v>
      </c>
      <c r="Q42" s="8">
        <f t="shared" si="1"/>
        <v>13974.09</v>
      </c>
      <c r="R42" s="8">
        <f t="shared" si="1"/>
        <v>14984.439999999999</v>
      </c>
      <c r="S42" s="8">
        <f t="shared" si="1"/>
        <v>16663.02</v>
      </c>
      <c r="T42" s="8">
        <f t="shared" si="1"/>
        <v>6734.880000000001</v>
      </c>
      <c r="U42" s="8">
        <f t="shared" si="1"/>
        <v>12865.96</v>
      </c>
      <c r="V42" s="8">
        <f t="shared" si="1"/>
        <v>11512.399999999998</v>
      </c>
      <c r="W42" s="8">
        <f t="shared" si="1"/>
        <v>10542.64</v>
      </c>
      <c r="X42" s="8">
        <f t="shared" si="1"/>
        <v>30546.11</v>
      </c>
      <c r="Y42" s="8">
        <f>IF(Y3-$Y3&gt;0, Y3-$Y3, 0)</f>
        <v>0</v>
      </c>
      <c r="Z42" s="8">
        <f>IF(Z3-$Y3&gt;0, Z3-$Y3, 0)</f>
        <v>8777.340000000002</v>
      </c>
      <c r="AA42" s="8">
        <f t="shared" ref="AA42:AI42" si="2">IF(AA3-$Y3&gt;0, AA3-$Y3, 0)</f>
        <v>1952.2500000000018</v>
      </c>
      <c r="AB42" s="8">
        <f t="shared" si="2"/>
        <v>0</v>
      </c>
      <c r="AC42" s="8">
        <f t="shared" si="2"/>
        <v>1840.2699999999986</v>
      </c>
      <c r="AD42" s="8">
        <f t="shared" si="2"/>
        <v>4984.8099999999995</v>
      </c>
      <c r="AE42" s="8">
        <f t="shared" si="2"/>
        <v>3941.33</v>
      </c>
      <c r="AF42" s="8">
        <f t="shared" si="2"/>
        <v>3705.26</v>
      </c>
      <c r="AG42" s="8">
        <f t="shared" si="2"/>
        <v>7526.24</v>
      </c>
      <c r="AH42" s="8">
        <f t="shared" si="2"/>
        <v>9326.0399999999991</v>
      </c>
      <c r="AI42" s="8">
        <f t="shared" si="2"/>
        <v>0</v>
      </c>
      <c r="AJ42" s="4">
        <v>79506712</v>
      </c>
      <c r="AK42" s="4">
        <v>84475528</v>
      </c>
      <c r="AL42" s="4">
        <v>75176600</v>
      </c>
      <c r="AM42" s="4">
        <v>72385096</v>
      </c>
      <c r="AN42" s="4">
        <v>69935080</v>
      </c>
      <c r="AO42" s="4">
        <v>66543372</v>
      </c>
      <c r="AP42" s="4">
        <v>67310600</v>
      </c>
      <c r="AQ42" s="4">
        <v>69869552</v>
      </c>
      <c r="AR42" s="4">
        <v>67869728</v>
      </c>
      <c r="AS42" s="4">
        <v>72922552</v>
      </c>
    </row>
    <row r="43" spans="1:45" x14ac:dyDescent="0.2">
      <c r="A43" s="2" t="s">
        <v>47</v>
      </c>
      <c r="B43" s="2" t="s">
        <v>63</v>
      </c>
      <c r="C43" s="2" t="s">
        <v>46</v>
      </c>
      <c r="D43" s="4">
        <f t="shared" ref="D43:M75" si="3">D4 - 0</f>
        <v>4266884.5</v>
      </c>
      <c r="E43" s="4">
        <f t="shared" si="3"/>
        <v>5302333.5</v>
      </c>
      <c r="F43" s="4">
        <f t="shared" si="3"/>
        <v>3707471.25</v>
      </c>
      <c r="G43" s="4">
        <f t="shared" si="3"/>
        <v>4106541</v>
      </c>
      <c r="H43" s="4">
        <f t="shared" si="3"/>
        <v>3303768.25</v>
      </c>
      <c r="I43" s="4">
        <f t="shared" si="3"/>
        <v>3786532.75</v>
      </c>
      <c r="J43" s="4">
        <f t="shared" si="3"/>
        <v>4415878.5</v>
      </c>
      <c r="K43" s="4">
        <f t="shared" si="3"/>
        <v>1858705.38</v>
      </c>
      <c r="L43" s="4">
        <f t="shared" si="3"/>
        <v>3565402</v>
      </c>
      <c r="M43" s="4">
        <f t="shared" si="3"/>
        <v>2033314.88</v>
      </c>
      <c r="N43" s="8">
        <f t="shared" ref="N43:N75" si="4">IF(N4-$N4&gt;0, N4-$N4, 0)</f>
        <v>0</v>
      </c>
      <c r="O43" s="8">
        <f t="shared" ref="O43:X43" si="5">IF(O4-$N4&gt;0, O4-$N4, 0)</f>
        <v>0</v>
      </c>
      <c r="P43" s="8">
        <f t="shared" si="5"/>
        <v>0</v>
      </c>
      <c r="Q43" s="8">
        <f t="shared" si="5"/>
        <v>0</v>
      </c>
      <c r="R43" s="8">
        <f t="shared" si="5"/>
        <v>0</v>
      </c>
      <c r="S43" s="8">
        <f t="shared" si="5"/>
        <v>0</v>
      </c>
      <c r="T43" s="8">
        <f t="shared" si="5"/>
        <v>0</v>
      </c>
      <c r="U43" s="8">
        <f t="shared" si="5"/>
        <v>0</v>
      </c>
      <c r="V43" s="8">
        <f t="shared" si="5"/>
        <v>0</v>
      </c>
      <c r="W43" s="8">
        <f t="shared" si="5"/>
        <v>0</v>
      </c>
      <c r="X43" s="8">
        <f t="shared" si="5"/>
        <v>0</v>
      </c>
      <c r="Y43" s="8">
        <f t="shared" ref="Y43:AI43" si="6">IF(Y4-$Y4&gt;0, Y4-$Y4, 0)</f>
        <v>0</v>
      </c>
      <c r="Z43" s="8">
        <f t="shared" si="6"/>
        <v>0</v>
      </c>
      <c r="AA43" s="8">
        <f t="shared" si="6"/>
        <v>0</v>
      </c>
      <c r="AB43" s="8">
        <f t="shared" si="6"/>
        <v>0</v>
      </c>
      <c r="AC43" s="8">
        <f t="shared" si="6"/>
        <v>0</v>
      </c>
      <c r="AD43" s="8">
        <f t="shared" si="6"/>
        <v>0</v>
      </c>
      <c r="AE43" s="8">
        <f t="shared" si="6"/>
        <v>0</v>
      </c>
      <c r="AF43" s="8">
        <f t="shared" si="6"/>
        <v>0</v>
      </c>
      <c r="AG43" s="8">
        <f t="shared" si="6"/>
        <v>0</v>
      </c>
      <c r="AH43" s="8">
        <f t="shared" si="6"/>
        <v>0</v>
      </c>
      <c r="AI43" s="8">
        <f t="shared" si="6"/>
        <v>0</v>
      </c>
      <c r="AJ43" s="4">
        <v>5846736</v>
      </c>
      <c r="AK43" s="4">
        <v>6368306.5</v>
      </c>
      <c r="AL43" s="4">
        <v>5614794</v>
      </c>
      <c r="AM43" s="4">
        <v>6056325.5</v>
      </c>
      <c r="AN43" s="4">
        <v>5781574.5</v>
      </c>
      <c r="AO43" s="4">
        <v>5681800</v>
      </c>
      <c r="AP43" s="4">
        <v>5047335.5</v>
      </c>
      <c r="AQ43" s="4">
        <v>4991238.5</v>
      </c>
      <c r="AR43" s="4">
        <v>4872245.5</v>
      </c>
      <c r="AS43" s="4">
        <v>5216491.5</v>
      </c>
    </row>
    <row r="44" spans="1:45" x14ac:dyDescent="0.2">
      <c r="A44" s="2" t="s">
        <v>48</v>
      </c>
      <c r="B44" s="2" t="s">
        <v>63</v>
      </c>
      <c r="C44" s="2" t="s">
        <v>46</v>
      </c>
      <c r="D44" s="4">
        <f t="shared" si="3"/>
        <v>172456.97</v>
      </c>
      <c r="E44" s="4">
        <f t="shared" si="3"/>
        <v>241895.8</v>
      </c>
      <c r="F44" s="4">
        <f t="shared" si="3"/>
        <v>187352.69</v>
      </c>
      <c r="G44" s="4">
        <f t="shared" si="3"/>
        <v>354228.62</v>
      </c>
      <c r="H44" s="4">
        <f t="shared" si="3"/>
        <v>234590.83</v>
      </c>
      <c r="I44" s="4">
        <f t="shared" si="3"/>
        <v>274472.09000000003</v>
      </c>
      <c r="J44" s="4">
        <f t="shared" si="3"/>
        <v>165157.60999999999</v>
      </c>
      <c r="K44" s="4">
        <f t="shared" si="3"/>
        <v>50009.06</v>
      </c>
      <c r="L44" s="4">
        <f t="shared" si="3"/>
        <v>152598.48000000001</v>
      </c>
      <c r="M44" s="4">
        <f t="shared" si="3"/>
        <v>79334.28</v>
      </c>
      <c r="N44" s="8">
        <f t="shared" si="4"/>
        <v>0</v>
      </c>
      <c r="O44" s="8">
        <f t="shared" ref="O44:X44" si="7">IF(O5-$N5&gt;0, O5-$N5, 0)</f>
        <v>0</v>
      </c>
      <c r="P44" s="8">
        <f t="shared" si="7"/>
        <v>0</v>
      </c>
      <c r="Q44" s="8">
        <f t="shared" si="7"/>
        <v>0</v>
      </c>
      <c r="R44" s="8">
        <f t="shared" si="7"/>
        <v>0</v>
      </c>
      <c r="S44" s="8">
        <f t="shared" si="7"/>
        <v>0</v>
      </c>
      <c r="T44" s="8">
        <f t="shared" si="7"/>
        <v>0</v>
      </c>
      <c r="U44" s="8">
        <f t="shared" si="7"/>
        <v>0</v>
      </c>
      <c r="V44" s="8">
        <f t="shared" si="7"/>
        <v>0</v>
      </c>
      <c r="W44" s="8">
        <f t="shared" si="7"/>
        <v>0</v>
      </c>
      <c r="X44" s="8">
        <f t="shared" si="7"/>
        <v>0</v>
      </c>
      <c r="Y44" s="8">
        <f t="shared" ref="Y44:AI44" si="8">IF(Y5-$Y5&gt;0, Y5-$Y5, 0)</f>
        <v>0</v>
      </c>
      <c r="Z44" s="8">
        <f t="shared" si="8"/>
        <v>0</v>
      </c>
      <c r="AA44" s="8">
        <f t="shared" si="8"/>
        <v>0</v>
      </c>
      <c r="AB44" s="8">
        <f t="shared" si="8"/>
        <v>0</v>
      </c>
      <c r="AC44" s="8">
        <f t="shared" si="8"/>
        <v>0</v>
      </c>
      <c r="AD44" s="8">
        <f t="shared" si="8"/>
        <v>0</v>
      </c>
      <c r="AE44" s="8">
        <f t="shared" si="8"/>
        <v>0</v>
      </c>
      <c r="AF44" s="8">
        <f t="shared" si="8"/>
        <v>0</v>
      </c>
      <c r="AG44" s="8">
        <f t="shared" si="8"/>
        <v>0</v>
      </c>
      <c r="AH44" s="8">
        <f t="shared" si="8"/>
        <v>0</v>
      </c>
      <c r="AI44" s="8">
        <f t="shared" si="8"/>
        <v>0</v>
      </c>
      <c r="AJ44" s="4">
        <v>209571.61</v>
      </c>
      <c r="AK44" s="4">
        <v>250387.62</v>
      </c>
      <c r="AL44" s="4">
        <v>286856.46999999997</v>
      </c>
      <c r="AM44" s="4">
        <v>457353.34</v>
      </c>
      <c r="AN44" s="4">
        <v>441494.03</v>
      </c>
      <c r="AO44" s="4">
        <v>466690.41</v>
      </c>
      <c r="AP44" s="4">
        <v>202336.62</v>
      </c>
      <c r="AQ44" s="4">
        <v>127440.46</v>
      </c>
      <c r="AR44" s="4">
        <v>171935.97</v>
      </c>
      <c r="AS44" s="4">
        <v>165445.44</v>
      </c>
    </row>
    <row r="45" spans="1:45" x14ac:dyDescent="0.2">
      <c r="A45" s="2" t="s">
        <v>49</v>
      </c>
      <c r="B45" s="2" t="s">
        <v>63</v>
      </c>
      <c r="C45" s="2" t="s">
        <v>46</v>
      </c>
      <c r="D45" s="4">
        <f t="shared" si="3"/>
        <v>7235.03</v>
      </c>
      <c r="E45" s="4">
        <f t="shared" si="3"/>
        <v>8164.04</v>
      </c>
      <c r="F45" s="4">
        <f t="shared" si="3"/>
        <v>11648.19</v>
      </c>
      <c r="G45" s="4">
        <f t="shared" si="3"/>
        <v>9302.57</v>
      </c>
      <c r="H45" s="4">
        <f t="shared" si="3"/>
        <v>13659</v>
      </c>
      <c r="I45" s="4">
        <f t="shared" si="3"/>
        <v>5491.11</v>
      </c>
      <c r="J45" s="4">
        <f t="shared" si="3"/>
        <v>3724.3</v>
      </c>
      <c r="K45" s="4">
        <f t="shared" si="3"/>
        <v>0</v>
      </c>
      <c r="L45" s="4">
        <f t="shared" si="3"/>
        <v>0</v>
      </c>
      <c r="M45" s="4">
        <f t="shared" si="3"/>
        <v>0</v>
      </c>
      <c r="N45" s="8">
        <f t="shared" si="4"/>
        <v>0</v>
      </c>
      <c r="O45" s="8">
        <f t="shared" ref="O45:X45" si="9">IF(O6-$N6&gt;0, O6-$N6, 0)</f>
        <v>0</v>
      </c>
      <c r="P45" s="8">
        <f t="shared" si="9"/>
        <v>0</v>
      </c>
      <c r="Q45" s="8">
        <f t="shared" si="9"/>
        <v>0</v>
      </c>
      <c r="R45" s="8">
        <f t="shared" si="9"/>
        <v>0</v>
      </c>
      <c r="S45" s="8">
        <f t="shared" si="9"/>
        <v>0</v>
      </c>
      <c r="T45" s="8">
        <f t="shared" si="9"/>
        <v>0</v>
      </c>
      <c r="U45" s="8">
        <f t="shared" si="9"/>
        <v>0</v>
      </c>
      <c r="V45" s="8">
        <f t="shared" si="9"/>
        <v>0</v>
      </c>
      <c r="W45" s="8">
        <f t="shared" si="9"/>
        <v>0</v>
      </c>
      <c r="X45" s="8">
        <f t="shared" si="9"/>
        <v>0</v>
      </c>
      <c r="Y45" s="8">
        <f t="shared" ref="Y45:AI45" si="10">IF(Y6-$Y6&gt;0, Y6-$Y6, 0)</f>
        <v>0</v>
      </c>
      <c r="Z45" s="8">
        <f t="shared" si="10"/>
        <v>0</v>
      </c>
      <c r="AA45" s="8">
        <f t="shared" si="10"/>
        <v>0</v>
      </c>
      <c r="AB45" s="8">
        <f t="shared" si="10"/>
        <v>0</v>
      </c>
      <c r="AC45" s="8">
        <f t="shared" si="10"/>
        <v>0</v>
      </c>
      <c r="AD45" s="8">
        <f t="shared" si="10"/>
        <v>0</v>
      </c>
      <c r="AE45" s="8">
        <f t="shared" si="10"/>
        <v>0</v>
      </c>
      <c r="AF45" s="8">
        <f t="shared" si="10"/>
        <v>0</v>
      </c>
      <c r="AG45" s="8">
        <f t="shared" si="10"/>
        <v>0</v>
      </c>
      <c r="AH45" s="8">
        <f t="shared" si="10"/>
        <v>0</v>
      </c>
      <c r="AI45" s="8">
        <f t="shared" si="10"/>
        <v>0</v>
      </c>
      <c r="AJ45" s="4">
        <v>0</v>
      </c>
      <c r="AK45" s="4">
        <v>0</v>
      </c>
      <c r="AL45" s="4">
        <v>5768.41</v>
      </c>
      <c r="AM45" s="4">
        <v>23897.27</v>
      </c>
      <c r="AN45" s="4">
        <v>23056.49</v>
      </c>
      <c r="AO45" s="4">
        <v>26179.93</v>
      </c>
      <c r="AP45" s="4">
        <v>0</v>
      </c>
      <c r="AQ45" s="4">
        <v>0</v>
      </c>
      <c r="AR45" s="4">
        <v>0</v>
      </c>
      <c r="AS45" s="4">
        <v>0</v>
      </c>
    </row>
    <row r="46" spans="1:45" x14ac:dyDescent="0.2">
      <c r="A46" s="2" t="s">
        <v>45</v>
      </c>
      <c r="B46" s="2" t="s">
        <v>64</v>
      </c>
      <c r="C46" s="2" t="s">
        <v>50</v>
      </c>
      <c r="D46" s="4">
        <f t="shared" si="3"/>
        <v>1238495.6200000001</v>
      </c>
      <c r="E46" s="4">
        <f t="shared" si="3"/>
        <v>1479172.38</v>
      </c>
      <c r="F46" s="4">
        <f t="shared" si="3"/>
        <v>1668890.12</v>
      </c>
      <c r="G46" s="4">
        <f t="shared" si="3"/>
        <v>1369869.38</v>
      </c>
      <c r="H46" s="4">
        <f t="shared" si="3"/>
        <v>1434542.5</v>
      </c>
      <c r="I46" s="4">
        <f t="shared" si="3"/>
        <v>1186186.8799999999</v>
      </c>
      <c r="J46" s="4">
        <f t="shared" si="3"/>
        <v>3558716.75</v>
      </c>
      <c r="K46" s="4">
        <f t="shared" si="3"/>
        <v>771146.31</v>
      </c>
      <c r="L46" s="4">
        <f t="shared" si="3"/>
        <v>1899398</v>
      </c>
      <c r="M46" s="4">
        <f t="shared" si="3"/>
        <v>991161.25</v>
      </c>
      <c r="N46" s="8">
        <f t="shared" si="4"/>
        <v>0</v>
      </c>
      <c r="O46" s="8">
        <f t="shared" ref="O46:X46" si="11">IF(O7-$N7&gt;0, O7-$N7, 0)</f>
        <v>143156.69</v>
      </c>
      <c r="P46" s="8">
        <f t="shared" si="11"/>
        <v>143515.22</v>
      </c>
      <c r="Q46" s="8">
        <f t="shared" si="11"/>
        <v>96905.1</v>
      </c>
      <c r="R46" s="8">
        <f>IF(R7-$N7&gt;0, R7-$N7, 0)</f>
        <v>122415.95</v>
      </c>
      <c r="S46" s="8">
        <f t="shared" si="11"/>
        <v>102322.78</v>
      </c>
      <c r="T46" s="8">
        <f t="shared" si="11"/>
        <v>91067.839999999997</v>
      </c>
      <c r="U46" s="8">
        <f t="shared" si="11"/>
        <v>102435.43000000001</v>
      </c>
      <c r="V46" s="8">
        <f t="shared" si="11"/>
        <v>99809.89</v>
      </c>
      <c r="W46" s="8">
        <f t="shared" si="11"/>
        <v>76535.16</v>
      </c>
      <c r="X46" s="8">
        <f t="shared" si="11"/>
        <v>94226.430000000008</v>
      </c>
      <c r="Y46" s="8">
        <f t="shared" ref="Y46:AI46" si="12">IF(Y7-$Y7&gt;0, Y7-$Y7, 0)</f>
        <v>0</v>
      </c>
      <c r="Z46" s="8">
        <f t="shared" si="12"/>
        <v>39672.959999999999</v>
      </c>
      <c r="AA46" s="8">
        <f t="shared" si="12"/>
        <v>32148.010000000002</v>
      </c>
      <c r="AB46" s="8">
        <f t="shared" si="12"/>
        <v>24012.720000000001</v>
      </c>
      <c r="AC46" s="8">
        <f t="shared" si="12"/>
        <v>27647.810000000005</v>
      </c>
      <c r="AD46" s="8">
        <f t="shared" si="12"/>
        <v>25085.86</v>
      </c>
      <c r="AE46" s="8">
        <f t="shared" si="12"/>
        <v>23997.230000000003</v>
      </c>
      <c r="AF46" s="8">
        <f t="shared" si="12"/>
        <v>30904.080000000002</v>
      </c>
      <c r="AG46" s="8">
        <f t="shared" si="12"/>
        <v>33336.79</v>
      </c>
      <c r="AH46" s="8">
        <f t="shared" si="12"/>
        <v>16246.640000000001</v>
      </c>
      <c r="AI46" s="8">
        <f t="shared" si="12"/>
        <v>20429.800000000003</v>
      </c>
      <c r="AJ46" s="4">
        <v>22780394</v>
      </c>
      <c r="AK46" s="4">
        <v>15735557</v>
      </c>
      <c r="AL46" s="4">
        <v>20986290</v>
      </c>
      <c r="AM46" s="4">
        <v>7215432</v>
      </c>
      <c r="AN46" s="4">
        <v>8460068</v>
      </c>
      <c r="AO46" s="4">
        <v>12972547</v>
      </c>
      <c r="AP46" s="4">
        <v>8384543.5</v>
      </c>
      <c r="AQ46" s="4">
        <v>10766169</v>
      </c>
      <c r="AR46" s="4">
        <v>16043171</v>
      </c>
      <c r="AS46" s="4">
        <v>14139264</v>
      </c>
    </row>
    <row r="47" spans="1:45" x14ac:dyDescent="0.2">
      <c r="A47" s="2" t="s">
        <v>47</v>
      </c>
      <c r="B47" s="2" t="s">
        <v>64</v>
      </c>
      <c r="C47" s="2" t="s">
        <v>50</v>
      </c>
      <c r="D47" s="4">
        <f t="shared" si="3"/>
        <v>41195.120000000003</v>
      </c>
      <c r="E47" s="4">
        <f t="shared" si="3"/>
        <v>52730.82</v>
      </c>
      <c r="F47" s="4">
        <f t="shared" si="3"/>
        <v>63980.63</v>
      </c>
      <c r="G47" s="4">
        <f t="shared" si="3"/>
        <v>55871.21</v>
      </c>
      <c r="H47" s="4">
        <f t="shared" si="3"/>
        <v>63071.040000000001</v>
      </c>
      <c r="I47" s="4">
        <f t="shared" si="3"/>
        <v>48469.48</v>
      </c>
      <c r="J47" s="4">
        <f t="shared" si="3"/>
        <v>132263.62</v>
      </c>
      <c r="K47" s="4">
        <f t="shared" si="3"/>
        <v>24485.62</v>
      </c>
      <c r="L47" s="4">
        <f t="shared" si="3"/>
        <v>72292.12</v>
      </c>
      <c r="M47" s="4">
        <f t="shared" si="3"/>
        <v>37049.230000000003</v>
      </c>
      <c r="N47" s="8">
        <f t="shared" si="4"/>
        <v>0</v>
      </c>
      <c r="O47" s="8">
        <f t="shared" ref="O47:X47" si="13">IF(O8-$N8&gt;0, O8-$N8, 0)</f>
        <v>3256.85</v>
      </c>
      <c r="P47" s="8">
        <f t="shared" si="13"/>
        <v>2472.84</v>
      </c>
      <c r="Q47" s="8">
        <f t="shared" si="13"/>
        <v>1957.82</v>
      </c>
      <c r="R47" s="8">
        <f t="shared" si="13"/>
        <v>2329.19</v>
      </c>
      <c r="S47" s="8">
        <f t="shared" si="13"/>
        <v>3177</v>
      </c>
      <c r="T47" s="8">
        <f t="shared" si="13"/>
        <v>2062.4899999999998</v>
      </c>
      <c r="U47" s="8">
        <f t="shared" si="13"/>
        <v>2772.2</v>
      </c>
      <c r="V47" s="8">
        <f t="shared" si="13"/>
        <v>3114.98</v>
      </c>
      <c r="W47" s="8">
        <f t="shared" si="13"/>
        <v>3564.16</v>
      </c>
      <c r="X47" s="8">
        <f t="shared" si="13"/>
        <v>1564.21</v>
      </c>
      <c r="Y47" s="8">
        <f t="shared" ref="Y47:AI47" si="14">IF(Y8-$Y8&gt;0, Y8-$Y8, 0)</f>
        <v>0</v>
      </c>
      <c r="Z47" s="8">
        <f t="shared" si="14"/>
        <v>1465.72</v>
      </c>
      <c r="AA47" s="8">
        <f t="shared" si="14"/>
        <v>0</v>
      </c>
      <c r="AB47" s="8">
        <f t="shared" si="14"/>
        <v>0</v>
      </c>
      <c r="AC47" s="8">
        <f t="shared" si="14"/>
        <v>1064.77</v>
      </c>
      <c r="AD47" s="8">
        <f t="shared" si="14"/>
        <v>0</v>
      </c>
      <c r="AE47" s="8">
        <f t="shared" si="14"/>
        <v>0</v>
      </c>
      <c r="AF47" s="8">
        <f t="shared" si="14"/>
        <v>1259.48</v>
      </c>
      <c r="AG47" s="8">
        <f t="shared" si="14"/>
        <v>0</v>
      </c>
      <c r="AH47" s="8">
        <f t="shared" si="14"/>
        <v>0</v>
      </c>
      <c r="AI47" s="8">
        <f t="shared" si="14"/>
        <v>1316.57</v>
      </c>
      <c r="AJ47" s="4">
        <v>879901.69</v>
      </c>
      <c r="AK47" s="4">
        <v>610948.75</v>
      </c>
      <c r="AL47" s="4">
        <v>769403</v>
      </c>
      <c r="AM47" s="4">
        <v>287305.96999999997</v>
      </c>
      <c r="AN47" s="4">
        <v>356262.78</v>
      </c>
      <c r="AO47" s="4">
        <v>542922</v>
      </c>
      <c r="AP47" s="4">
        <v>318845.94</v>
      </c>
      <c r="AQ47" s="4">
        <v>394765.12</v>
      </c>
      <c r="AR47" s="4">
        <v>606470.43999999994</v>
      </c>
      <c r="AS47" s="4">
        <v>533159</v>
      </c>
    </row>
    <row r="48" spans="1:45" x14ac:dyDescent="0.2">
      <c r="A48" s="2" t="s">
        <v>48</v>
      </c>
      <c r="B48" s="2" t="s">
        <v>64</v>
      </c>
      <c r="C48" s="2" t="s">
        <v>50</v>
      </c>
      <c r="D48" s="4">
        <f t="shared" si="3"/>
        <v>0</v>
      </c>
      <c r="E48" s="4">
        <f t="shared" si="3"/>
        <v>1362.18</v>
      </c>
      <c r="F48" s="4">
        <f t="shared" si="3"/>
        <v>0</v>
      </c>
      <c r="G48" s="4">
        <f t="shared" si="3"/>
        <v>3808.42</v>
      </c>
      <c r="H48" s="4">
        <f t="shared" si="3"/>
        <v>1602.51</v>
      </c>
      <c r="I48" s="4">
        <f t="shared" si="3"/>
        <v>0</v>
      </c>
      <c r="J48" s="4">
        <f t="shared" si="3"/>
        <v>2847.23</v>
      </c>
      <c r="K48" s="4">
        <f t="shared" si="3"/>
        <v>0</v>
      </c>
      <c r="L48" s="4">
        <f t="shared" si="3"/>
        <v>2096.81</v>
      </c>
      <c r="M48" s="4">
        <f t="shared" si="3"/>
        <v>0</v>
      </c>
      <c r="N48" s="8">
        <f t="shared" si="4"/>
        <v>0</v>
      </c>
      <c r="O48" s="8">
        <f t="shared" ref="O48:X48" si="15">IF(O9-$N9&gt;0, O9-$N9, 0)</f>
        <v>0</v>
      </c>
      <c r="P48" s="8">
        <f t="shared" si="15"/>
        <v>0</v>
      </c>
      <c r="Q48" s="8">
        <f t="shared" si="15"/>
        <v>0</v>
      </c>
      <c r="R48" s="8">
        <f t="shared" si="15"/>
        <v>0</v>
      </c>
      <c r="S48" s="8">
        <f t="shared" si="15"/>
        <v>1137.4100000000001</v>
      </c>
      <c r="T48" s="8">
        <f t="shared" si="15"/>
        <v>0</v>
      </c>
      <c r="U48" s="8">
        <f t="shared" si="15"/>
        <v>0</v>
      </c>
      <c r="V48" s="8">
        <f t="shared" si="15"/>
        <v>0</v>
      </c>
      <c r="W48" s="8">
        <f t="shared" si="15"/>
        <v>0</v>
      </c>
      <c r="X48" s="8">
        <f t="shared" si="15"/>
        <v>0</v>
      </c>
      <c r="Y48" s="8">
        <f t="shared" ref="Y48:AI48" si="16">IF(Y9-$Y9&gt;0, Y9-$Y9, 0)</f>
        <v>0</v>
      </c>
      <c r="Z48" s="8">
        <f t="shared" si="16"/>
        <v>0</v>
      </c>
      <c r="AA48" s="8">
        <f t="shared" si="16"/>
        <v>0</v>
      </c>
      <c r="AB48" s="8">
        <f t="shared" si="16"/>
        <v>1043.78</v>
      </c>
      <c r="AC48" s="8">
        <f t="shared" si="16"/>
        <v>0</v>
      </c>
      <c r="AD48" s="8">
        <f t="shared" si="16"/>
        <v>0</v>
      </c>
      <c r="AE48" s="8">
        <f t="shared" si="16"/>
        <v>0</v>
      </c>
      <c r="AF48" s="8">
        <f t="shared" si="16"/>
        <v>0</v>
      </c>
      <c r="AG48" s="8">
        <f t="shared" si="16"/>
        <v>0</v>
      </c>
      <c r="AH48" s="8">
        <f t="shared" si="16"/>
        <v>0</v>
      </c>
      <c r="AI48" s="8">
        <f t="shared" si="16"/>
        <v>0</v>
      </c>
      <c r="AJ48" s="4">
        <v>19725.080000000002</v>
      </c>
      <c r="AK48" s="4">
        <v>18046.75</v>
      </c>
      <c r="AL48" s="4">
        <v>21681.29</v>
      </c>
      <c r="AM48" s="4">
        <v>11981.64</v>
      </c>
      <c r="AN48" s="4">
        <v>15600.53</v>
      </c>
      <c r="AO48" s="4">
        <v>26248.28</v>
      </c>
      <c r="AP48" s="4">
        <v>9391.93</v>
      </c>
      <c r="AQ48" s="4">
        <v>13126.57</v>
      </c>
      <c r="AR48" s="4">
        <v>16069.48</v>
      </c>
      <c r="AS48" s="4">
        <v>14566.38</v>
      </c>
    </row>
    <row r="49" spans="1:45" x14ac:dyDescent="0.2">
      <c r="A49" s="2" t="s">
        <v>45</v>
      </c>
      <c r="B49" s="2" t="s">
        <v>65</v>
      </c>
      <c r="C49" s="2" t="s">
        <v>51</v>
      </c>
      <c r="D49" s="4">
        <f t="shared" si="3"/>
        <v>34800864</v>
      </c>
      <c r="E49" s="4">
        <f t="shared" si="3"/>
        <v>29731014</v>
      </c>
      <c r="F49" s="4">
        <f t="shared" si="3"/>
        <v>12825315</v>
      </c>
      <c r="G49" s="4">
        <f t="shared" si="3"/>
        <v>13531053</v>
      </c>
      <c r="H49" s="4">
        <f t="shared" si="3"/>
        <v>16301485</v>
      </c>
      <c r="I49" s="4">
        <f t="shared" si="3"/>
        <v>16983512</v>
      </c>
      <c r="J49" s="4">
        <f t="shared" si="3"/>
        <v>21060928</v>
      </c>
      <c r="K49" s="4">
        <f t="shared" si="3"/>
        <v>7044935.5</v>
      </c>
      <c r="L49" s="4">
        <f t="shared" si="3"/>
        <v>16658492</v>
      </c>
      <c r="M49" s="4">
        <f t="shared" si="3"/>
        <v>9709608</v>
      </c>
      <c r="N49" s="8">
        <f t="shared" si="4"/>
        <v>0</v>
      </c>
      <c r="O49" s="8">
        <f t="shared" ref="O49:X49" si="17">IF(O10-$N10&gt;0, O10-$N10, 0)</f>
        <v>7639.0099999999984</v>
      </c>
      <c r="P49" s="8">
        <f t="shared" si="17"/>
        <v>12345.999999999996</v>
      </c>
      <c r="Q49" s="8">
        <f t="shared" si="17"/>
        <v>9717.2199999999975</v>
      </c>
      <c r="R49" s="8">
        <f t="shared" si="17"/>
        <v>0</v>
      </c>
      <c r="S49" s="8">
        <f t="shared" si="17"/>
        <v>5357.6700000000019</v>
      </c>
      <c r="T49" s="8">
        <f t="shared" si="17"/>
        <v>9200.4999999999964</v>
      </c>
      <c r="U49" s="8">
        <f t="shared" si="17"/>
        <v>4455.84</v>
      </c>
      <c r="V49" s="8">
        <f t="shared" si="17"/>
        <v>0</v>
      </c>
      <c r="W49" s="8">
        <f t="shared" si="17"/>
        <v>13670.939999999999</v>
      </c>
      <c r="X49" s="8">
        <f t="shared" si="17"/>
        <v>1657.5</v>
      </c>
      <c r="Y49" s="8">
        <f t="shared" ref="Y49:AI49" si="18">IF(Y10-$Y10&gt;0, Y10-$Y10, 0)</f>
        <v>0</v>
      </c>
      <c r="Z49" s="8">
        <f t="shared" si="18"/>
        <v>0</v>
      </c>
      <c r="AA49" s="8">
        <f t="shared" si="18"/>
        <v>0</v>
      </c>
      <c r="AB49" s="8">
        <f t="shared" si="18"/>
        <v>0</v>
      </c>
      <c r="AC49" s="8">
        <f t="shared" si="18"/>
        <v>0</v>
      </c>
      <c r="AD49" s="8">
        <f t="shared" si="18"/>
        <v>0</v>
      </c>
      <c r="AE49" s="8">
        <f t="shared" si="18"/>
        <v>0</v>
      </c>
      <c r="AF49" s="8">
        <f t="shared" si="18"/>
        <v>0</v>
      </c>
      <c r="AG49" s="8">
        <f t="shared" si="18"/>
        <v>0</v>
      </c>
      <c r="AH49" s="8">
        <f t="shared" si="18"/>
        <v>0</v>
      </c>
      <c r="AI49" s="8">
        <f t="shared" si="18"/>
        <v>0</v>
      </c>
      <c r="AJ49" s="4">
        <v>6365564</v>
      </c>
      <c r="AK49" s="4">
        <v>6243784.5</v>
      </c>
      <c r="AL49" s="4">
        <v>5560335</v>
      </c>
      <c r="AM49" s="4">
        <v>5862104.5</v>
      </c>
      <c r="AN49" s="4">
        <v>6006816.5</v>
      </c>
      <c r="AO49" s="4">
        <v>6028713.5</v>
      </c>
      <c r="AP49" s="4">
        <v>5843689.5</v>
      </c>
      <c r="AQ49" s="4">
        <v>5140879.5</v>
      </c>
      <c r="AR49" s="4">
        <v>6047351.5</v>
      </c>
      <c r="AS49" s="4">
        <v>4568710.5</v>
      </c>
    </row>
    <row r="50" spans="1:45" x14ac:dyDescent="0.2">
      <c r="A50" s="2" t="s">
        <v>48</v>
      </c>
      <c r="B50" s="2" t="s">
        <v>65</v>
      </c>
      <c r="C50" s="2" t="s">
        <v>51</v>
      </c>
      <c r="D50" s="4">
        <f t="shared" si="3"/>
        <v>39898.18</v>
      </c>
      <c r="E50" s="4">
        <f t="shared" si="3"/>
        <v>50501.55</v>
      </c>
      <c r="F50" s="4">
        <f t="shared" si="3"/>
        <v>16991.27</v>
      </c>
      <c r="G50" s="4">
        <f t="shared" si="3"/>
        <v>49197.04</v>
      </c>
      <c r="H50" s="4">
        <f t="shared" si="3"/>
        <v>38843.370000000003</v>
      </c>
      <c r="I50" s="4">
        <f t="shared" si="3"/>
        <v>44071.69</v>
      </c>
      <c r="J50" s="4">
        <f t="shared" si="3"/>
        <v>30459.18</v>
      </c>
      <c r="K50" s="4">
        <f t="shared" si="3"/>
        <v>1711.55</v>
      </c>
      <c r="L50" s="4">
        <f t="shared" si="3"/>
        <v>16409.990000000002</v>
      </c>
      <c r="M50" s="4">
        <f t="shared" si="3"/>
        <v>12637.2</v>
      </c>
      <c r="N50" s="8">
        <f t="shared" si="4"/>
        <v>0</v>
      </c>
      <c r="O50" s="8">
        <f t="shared" ref="O50:X50" si="19">IF(O11-$N11&gt;0, O11-$N11, 0)</f>
        <v>0</v>
      </c>
      <c r="P50" s="8">
        <f t="shared" si="19"/>
        <v>0</v>
      </c>
      <c r="Q50" s="8">
        <f t="shared" si="19"/>
        <v>0</v>
      </c>
      <c r="R50" s="8">
        <f t="shared" si="19"/>
        <v>0</v>
      </c>
      <c r="S50" s="8">
        <f t="shared" si="19"/>
        <v>0</v>
      </c>
      <c r="T50" s="8">
        <f t="shared" si="19"/>
        <v>0</v>
      </c>
      <c r="U50" s="8">
        <f t="shared" si="19"/>
        <v>0</v>
      </c>
      <c r="V50" s="8">
        <f t="shared" si="19"/>
        <v>0</v>
      </c>
      <c r="W50" s="8">
        <f t="shared" si="19"/>
        <v>0</v>
      </c>
      <c r="X50" s="8">
        <f t="shared" si="19"/>
        <v>0</v>
      </c>
      <c r="Y50" s="8">
        <f t="shared" ref="Y50:AI50" si="20">IF(Y11-$Y11&gt;0, Y11-$Y11, 0)</f>
        <v>0</v>
      </c>
      <c r="Z50" s="8">
        <f t="shared" si="20"/>
        <v>0</v>
      </c>
      <c r="AA50" s="8">
        <f t="shared" si="20"/>
        <v>0</v>
      </c>
      <c r="AB50" s="8">
        <f t="shared" si="20"/>
        <v>0</v>
      </c>
      <c r="AC50" s="8">
        <f t="shared" si="20"/>
        <v>0</v>
      </c>
      <c r="AD50" s="8">
        <f t="shared" si="20"/>
        <v>3919.3</v>
      </c>
      <c r="AE50" s="8">
        <f t="shared" si="20"/>
        <v>0</v>
      </c>
      <c r="AF50" s="8">
        <f t="shared" si="20"/>
        <v>0</v>
      </c>
      <c r="AG50" s="8">
        <f t="shared" si="20"/>
        <v>0</v>
      </c>
      <c r="AH50" s="8">
        <f t="shared" si="20"/>
        <v>0</v>
      </c>
      <c r="AI50" s="8">
        <f t="shared" si="20"/>
        <v>0</v>
      </c>
      <c r="AJ50" s="4">
        <v>1792.24</v>
      </c>
      <c r="AK50" s="4">
        <v>6662</v>
      </c>
      <c r="AL50" s="4">
        <v>5199.46</v>
      </c>
      <c r="AM50" s="4">
        <v>8407.65</v>
      </c>
      <c r="AN50" s="4">
        <v>12165.43</v>
      </c>
      <c r="AO50" s="4">
        <v>10578.9</v>
      </c>
      <c r="AP50" s="4">
        <v>4741.17</v>
      </c>
      <c r="AQ50" s="4">
        <v>2473.23</v>
      </c>
      <c r="AR50" s="4">
        <v>2578.29</v>
      </c>
      <c r="AS50" s="4">
        <v>3815.5</v>
      </c>
    </row>
    <row r="51" spans="1:45" x14ac:dyDescent="0.2">
      <c r="A51" s="2" t="s">
        <v>49</v>
      </c>
      <c r="B51" s="2" t="s">
        <v>65</v>
      </c>
      <c r="C51" s="2" t="s">
        <v>51</v>
      </c>
      <c r="D51" s="4">
        <f t="shared" si="3"/>
        <v>0</v>
      </c>
      <c r="E51" s="4">
        <f t="shared" si="3"/>
        <v>2419.66</v>
      </c>
      <c r="F51" s="4">
        <f t="shared" si="3"/>
        <v>0</v>
      </c>
      <c r="G51" s="4">
        <f t="shared" si="3"/>
        <v>0</v>
      </c>
      <c r="H51" s="4">
        <f t="shared" si="3"/>
        <v>0</v>
      </c>
      <c r="I51" s="4">
        <f t="shared" si="3"/>
        <v>0</v>
      </c>
      <c r="J51" s="4">
        <f t="shared" si="3"/>
        <v>0</v>
      </c>
      <c r="K51" s="4">
        <f t="shared" si="3"/>
        <v>0</v>
      </c>
      <c r="L51" s="4">
        <f t="shared" si="3"/>
        <v>0</v>
      </c>
      <c r="M51" s="4">
        <f t="shared" si="3"/>
        <v>0</v>
      </c>
      <c r="N51" s="8">
        <f t="shared" si="4"/>
        <v>0</v>
      </c>
      <c r="O51" s="8">
        <f t="shared" ref="O51:X51" si="21">IF(O12-$N12&gt;0, O12-$N12, 0)</f>
        <v>0</v>
      </c>
      <c r="P51" s="8">
        <f t="shared" si="21"/>
        <v>0</v>
      </c>
      <c r="Q51" s="8">
        <f t="shared" si="21"/>
        <v>0</v>
      </c>
      <c r="R51" s="8">
        <f t="shared" si="21"/>
        <v>0</v>
      </c>
      <c r="S51" s="8">
        <f t="shared" si="21"/>
        <v>0</v>
      </c>
      <c r="T51" s="8">
        <f t="shared" si="21"/>
        <v>0</v>
      </c>
      <c r="U51" s="8">
        <f t="shared" si="21"/>
        <v>0</v>
      </c>
      <c r="V51" s="8">
        <f t="shared" si="21"/>
        <v>0</v>
      </c>
      <c r="W51" s="8">
        <f t="shared" si="21"/>
        <v>0</v>
      </c>
      <c r="X51" s="8">
        <f t="shared" si="21"/>
        <v>0</v>
      </c>
      <c r="Y51" s="8">
        <f t="shared" ref="Y51:AI51" si="22">IF(Y12-$Y12&gt;0, Y12-$Y12, 0)</f>
        <v>0</v>
      </c>
      <c r="Z51" s="8">
        <f t="shared" si="22"/>
        <v>0</v>
      </c>
      <c r="AA51" s="8">
        <f t="shared" si="22"/>
        <v>0</v>
      </c>
      <c r="AB51" s="8">
        <f t="shared" si="22"/>
        <v>0</v>
      </c>
      <c r="AC51" s="8">
        <f t="shared" si="22"/>
        <v>0</v>
      </c>
      <c r="AD51" s="8">
        <f t="shared" si="22"/>
        <v>0</v>
      </c>
      <c r="AE51" s="8">
        <f t="shared" si="22"/>
        <v>0</v>
      </c>
      <c r="AF51" s="8">
        <f t="shared" si="22"/>
        <v>0</v>
      </c>
      <c r="AG51" s="8">
        <f t="shared" si="22"/>
        <v>0</v>
      </c>
      <c r="AH51" s="8">
        <f t="shared" si="22"/>
        <v>0</v>
      </c>
      <c r="AI51" s="8">
        <f t="shared" si="22"/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</row>
    <row r="52" spans="1:45" x14ac:dyDescent="0.2">
      <c r="A52" s="2" t="s">
        <v>45</v>
      </c>
      <c r="B52" s="2" t="s">
        <v>66</v>
      </c>
      <c r="C52" s="2" t="s">
        <v>52</v>
      </c>
      <c r="D52" s="4">
        <f t="shared" si="3"/>
        <v>371264800</v>
      </c>
      <c r="E52" s="4">
        <f t="shared" si="3"/>
        <v>385627776</v>
      </c>
      <c r="F52" s="4">
        <f t="shared" si="3"/>
        <v>268144432</v>
      </c>
      <c r="G52" s="4">
        <f t="shared" si="3"/>
        <v>216855024</v>
      </c>
      <c r="H52" s="4">
        <f t="shared" si="3"/>
        <v>193292464</v>
      </c>
      <c r="I52" s="4">
        <f t="shared" si="3"/>
        <v>247263184</v>
      </c>
      <c r="J52" s="4">
        <f t="shared" si="3"/>
        <v>267261456</v>
      </c>
      <c r="K52" s="4">
        <f t="shared" si="3"/>
        <v>132019752</v>
      </c>
      <c r="L52" s="4">
        <f t="shared" si="3"/>
        <v>268146640</v>
      </c>
      <c r="M52" s="4">
        <f t="shared" si="3"/>
        <v>129117184</v>
      </c>
      <c r="N52" s="8">
        <f t="shared" si="4"/>
        <v>0</v>
      </c>
      <c r="O52" s="8">
        <f t="shared" ref="O52:X52" si="23">IF(O13-$N13&gt;0, O13-$N13, 0)</f>
        <v>0</v>
      </c>
      <c r="P52" s="8">
        <f t="shared" si="23"/>
        <v>380703</v>
      </c>
      <c r="Q52" s="8">
        <f t="shared" si="23"/>
        <v>191523.5</v>
      </c>
      <c r="R52" s="8">
        <f>IF(R13-$N13&gt;0, R13-$N13, 0)</f>
        <v>0</v>
      </c>
      <c r="S52" s="8">
        <f t="shared" si="23"/>
        <v>147699</v>
      </c>
      <c r="T52" s="8">
        <f t="shared" si="23"/>
        <v>0</v>
      </c>
      <c r="U52" s="8">
        <f t="shared" si="23"/>
        <v>134652.5</v>
      </c>
      <c r="V52" s="8">
        <f t="shared" si="23"/>
        <v>0</v>
      </c>
      <c r="W52" s="8">
        <f t="shared" si="23"/>
        <v>227306</v>
      </c>
      <c r="X52" s="8">
        <f t="shared" si="23"/>
        <v>27014</v>
      </c>
      <c r="Y52" s="8">
        <f t="shared" ref="Y52:AI52" si="24">IF(Y13-$Y13&gt;0, Y13-$Y13, 0)</f>
        <v>0</v>
      </c>
      <c r="Z52" s="8">
        <f t="shared" si="24"/>
        <v>180312.62000000011</v>
      </c>
      <c r="AA52" s="8">
        <f t="shared" si="24"/>
        <v>311713.62000000011</v>
      </c>
      <c r="AB52" s="8">
        <f t="shared" si="24"/>
        <v>0</v>
      </c>
      <c r="AC52" s="8">
        <f t="shared" si="24"/>
        <v>0</v>
      </c>
      <c r="AD52" s="8">
        <f t="shared" si="24"/>
        <v>0</v>
      </c>
      <c r="AE52" s="8">
        <f t="shared" si="24"/>
        <v>0</v>
      </c>
      <c r="AF52" s="8">
        <f t="shared" si="24"/>
        <v>0</v>
      </c>
      <c r="AG52" s="8">
        <f t="shared" si="24"/>
        <v>84122.620000000112</v>
      </c>
      <c r="AH52" s="8">
        <f t="shared" si="24"/>
        <v>0</v>
      </c>
      <c r="AI52" s="8">
        <f t="shared" si="24"/>
        <v>122341</v>
      </c>
      <c r="AJ52" s="4">
        <v>621007808</v>
      </c>
      <c r="AK52" s="4">
        <v>461457920</v>
      </c>
      <c r="AL52" s="4">
        <v>442642688</v>
      </c>
      <c r="AM52" s="4">
        <v>467215456</v>
      </c>
      <c r="AN52" s="4">
        <v>435059552</v>
      </c>
      <c r="AO52" s="4">
        <v>442564576</v>
      </c>
      <c r="AP52" s="4">
        <v>336173664</v>
      </c>
      <c r="AQ52" s="4">
        <v>390046496</v>
      </c>
      <c r="AR52" s="4">
        <v>478988448</v>
      </c>
      <c r="AS52" s="4">
        <v>419000928</v>
      </c>
    </row>
    <row r="53" spans="1:45" x14ac:dyDescent="0.2">
      <c r="A53" s="2" t="s">
        <v>47</v>
      </c>
      <c r="B53" s="2" t="s">
        <v>66</v>
      </c>
      <c r="C53" s="2" t="s">
        <v>52</v>
      </c>
      <c r="D53" s="4">
        <f t="shared" si="3"/>
        <v>14482085</v>
      </c>
      <c r="E53" s="4">
        <f t="shared" si="3"/>
        <v>15864647</v>
      </c>
      <c r="F53" s="4">
        <f t="shared" si="3"/>
        <v>11582991</v>
      </c>
      <c r="G53" s="4">
        <f t="shared" si="3"/>
        <v>10272575</v>
      </c>
      <c r="H53" s="4">
        <f t="shared" si="3"/>
        <v>8504648</v>
      </c>
      <c r="I53" s="4">
        <f t="shared" si="3"/>
        <v>11483979</v>
      </c>
      <c r="J53" s="4">
        <f t="shared" si="3"/>
        <v>10971337</v>
      </c>
      <c r="K53" s="4">
        <f t="shared" si="3"/>
        <v>5068974.5</v>
      </c>
      <c r="L53" s="4">
        <f t="shared" si="3"/>
        <v>10490839</v>
      </c>
      <c r="M53" s="4">
        <f t="shared" si="3"/>
        <v>5018886.5</v>
      </c>
      <c r="N53" s="8">
        <f t="shared" si="4"/>
        <v>0</v>
      </c>
      <c r="O53" s="8">
        <f t="shared" ref="O53:X53" si="25">IF(O14-$N14&gt;0, O14-$N14, 0)</f>
        <v>0</v>
      </c>
      <c r="P53" s="8">
        <f t="shared" si="25"/>
        <v>13406.529999999999</v>
      </c>
      <c r="Q53" s="8">
        <f t="shared" si="25"/>
        <v>5662.6899999999732</v>
      </c>
      <c r="R53" s="8">
        <f t="shared" si="25"/>
        <v>3014.25</v>
      </c>
      <c r="S53" s="8">
        <f t="shared" si="25"/>
        <v>10464.419999999984</v>
      </c>
      <c r="T53" s="8">
        <f t="shared" si="25"/>
        <v>0</v>
      </c>
      <c r="U53" s="8">
        <f t="shared" si="25"/>
        <v>3618.4699999999721</v>
      </c>
      <c r="V53" s="8">
        <f t="shared" si="25"/>
        <v>0</v>
      </c>
      <c r="W53" s="8">
        <f t="shared" si="25"/>
        <v>1876.4699999999721</v>
      </c>
      <c r="X53" s="8">
        <f t="shared" si="25"/>
        <v>1588.8099999999977</v>
      </c>
      <c r="Y53" s="8">
        <f t="shared" ref="Y53:AI53" si="26">IF(Y14-$Y14&gt;0, Y14-$Y14, 0)</f>
        <v>0</v>
      </c>
      <c r="Z53" s="8">
        <f t="shared" si="26"/>
        <v>8581</v>
      </c>
      <c r="AA53" s="8">
        <f t="shared" si="26"/>
        <v>9112.6000000000058</v>
      </c>
      <c r="AB53" s="8">
        <f t="shared" si="26"/>
        <v>10362.440000000002</v>
      </c>
      <c r="AC53" s="8">
        <f t="shared" si="26"/>
        <v>598.51000000000204</v>
      </c>
      <c r="AD53" s="8">
        <f t="shared" si="26"/>
        <v>0</v>
      </c>
      <c r="AE53" s="8">
        <f t="shared" si="26"/>
        <v>2507.7800000000061</v>
      </c>
      <c r="AF53" s="8">
        <f t="shared" si="26"/>
        <v>20.260000000002037</v>
      </c>
      <c r="AG53" s="8">
        <f t="shared" si="26"/>
        <v>5764.4700000000012</v>
      </c>
      <c r="AH53" s="8">
        <f t="shared" si="26"/>
        <v>0</v>
      </c>
      <c r="AI53" s="8">
        <f t="shared" si="26"/>
        <v>4543.260000000002</v>
      </c>
      <c r="AJ53" s="4">
        <v>23724318</v>
      </c>
      <c r="AK53" s="4">
        <v>17299230</v>
      </c>
      <c r="AL53" s="4">
        <v>17300686</v>
      </c>
      <c r="AM53" s="4">
        <v>19080106</v>
      </c>
      <c r="AN53" s="4">
        <v>18490120</v>
      </c>
      <c r="AO53" s="4">
        <v>18665694</v>
      </c>
      <c r="AP53" s="4">
        <v>13350461</v>
      </c>
      <c r="AQ53" s="4">
        <v>14612189</v>
      </c>
      <c r="AR53" s="4">
        <v>18670554</v>
      </c>
      <c r="AS53" s="4">
        <v>16148013</v>
      </c>
    </row>
    <row r="54" spans="1:45" x14ac:dyDescent="0.2">
      <c r="A54" s="2" t="s">
        <v>48</v>
      </c>
      <c r="B54" s="2" t="s">
        <v>66</v>
      </c>
      <c r="C54" s="2" t="s">
        <v>52</v>
      </c>
      <c r="D54" s="4">
        <f t="shared" si="3"/>
        <v>525580.56000000006</v>
      </c>
      <c r="E54" s="4">
        <f t="shared" si="3"/>
        <v>771916.81</v>
      </c>
      <c r="F54" s="4">
        <f t="shared" si="3"/>
        <v>639675.43999999994</v>
      </c>
      <c r="G54" s="4">
        <f t="shared" si="3"/>
        <v>796636.06</v>
      </c>
      <c r="H54" s="4">
        <f t="shared" si="3"/>
        <v>609909.81000000006</v>
      </c>
      <c r="I54" s="4">
        <f t="shared" si="3"/>
        <v>828614.06</v>
      </c>
      <c r="J54" s="4">
        <f t="shared" si="3"/>
        <v>460597.16</v>
      </c>
      <c r="K54" s="4">
        <f t="shared" si="3"/>
        <v>149591.25</v>
      </c>
      <c r="L54" s="4">
        <f t="shared" si="3"/>
        <v>375523.22</v>
      </c>
      <c r="M54" s="4">
        <f t="shared" si="3"/>
        <v>136645.17000000001</v>
      </c>
      <c r="N54" s="8">
        <f t="shared" si="4"/>
        <v>0</v>
      </c>
      <c r="O54" s="8">
        <f t="shared" ref="O54:X54" si="27">IF(O15-$N15&gt;0, O15-$N15, 0)</f>
        <v>1867.9</v>
      </c>
      <c r="P54" s="8">
        <f t="shared" si="27"/>
        <v>0</v>
      </c>
      <c r="Q54" s="8">
        <f t="shared" si="27"/>
        <v>0</v>
      </c>
      <c r="R54" s="8">
        <f t="shared" si="27"/>
        <v>333.45000000000005</v>
      </c>
      <c r="S54" s="8">
        <f t="shared" si="27"/>
        <v>104.90999999999997</v>
      </c>
      <c r="T54" s="8">
        <f t="shared" si="27"/>
        <v>0</v>
      </c>
      <c r="U54" s="8">
        <f t="shared" si="27"/>
        <v>730.63999999999987</v>
      </c>
      <c r="V54" s="8">
        <f t="shared" si="27"/>
        <v>1.9199999999999591</v>
      </c>
      <c r="W54" s="8">
        <f t="shared" si="27"/>
        <v>0</v>
      </c>
      <c r="X54" s="8">
        <f t="shared" si="27"/>
        <v>0</v>
      </c>
      <c r="Y54" s="8">
        <f t="shared" ref="Y54:AI54" si="28">IF(Y15-$Y15&gt;0, Y15-$Y15, 0)</f>
        <v>0</v>
      </c>
      <c r="Z54" s="8">
        <f t="shared" si="28"/>
        <v>0</v>
      </c>
      <c r="AA54" s="8">
        <f t="shared" si="28"/>
        <v>0</v>
      </c>
      <c r="AB54" s="8">
        <f t="shared" si="28"/>
        <v>0</v>
      </c>
      <c r="AC54" s="8">
        <f t="shared" si="28"/>
        <v>0</v>
      </c>
      <c r="AD54" s="8">
        <f t="shared" si="28"/>
        <v>0</v>
      </c>
      <c r="AE54" s="8">
        <f t="shared" si="28"/>
        <v>0</v>
      </c>
      <c r="AF54" s="8">
        <f t="shared" si="28"/>
        <v>0</v>
      </c>
      <c r="AG54" s="8">
        <f t="shared" si="28"/>
        <v>0</v>
      </c>
      <c r="AH54" s="8">
        <f t="shared" si="28"/>
        <v>985.47</v>
      </c>
      <c r="AI54" s="8">
        <f t="shared" si="28"/>
        <v>0</v>
      </c>
      <c r="AJ54" s="4">
        <v>704865.5</v>
      </c>
      <c r="AK54" s="4">
        <v>488752.25</v>
      </c>
      <c r="AL54" s="4">
        <v>613289.68999999994</v>
      </c>
      <c r="AM54" s="4">
        <v>1053149.1200000001</v>
      </c>
      <c r="AN54" s="4">
        <v>998907</v>
      </c>
      <c r="AO54" s="4">
        <v>1199085</v>
      </c>
      <c r="AP54" s="4">
        <v>415149.28</v>
      </c>
      <c r="AQ54" s="4">
        <v>402354.34</v>
      </c>
      <c r="AR54" s="4">
        <v>568723.93999999994</v>
      </c>
      <c r="AS54" s="4">
        <v>475204.09</v>
      </c>
    </row>
    <row r="55" spans="1:45" x14ac:dyDescent="0.2">
      <c r="A55" s="2" t="s">
        <v>45</v>
      </c>
      <c r="B55" s="2" t="s">
        <v>67</v>
      </c>
      <c r="C55" s="2" t="s">
        <v>53</v>
      </c>
      <c r="D55" s="4">
        <f t="shared" si="3"/>
        <v>94271048</v>
      </c>
      <c r="E55" s="4">
        <f t="shared" si="3"/>
        <v>53392492</v>
      </c>
      <c r="F55" s="4">
        <f t="shared" si="3"/>
        <v>64797824</v>
      </c>
      <c r="G55" s="4">
        <f t="shared" si="3"/>
        <v>55640740</v>
      </c>
      <c r="H55" s="4">
        <f t="shared" si="3"/>
        <v>81038760</v>
      </c>
      <c r="I55" s="4">
        <f t="shared" si="3"/>
        <v>48929132</v>
      </c>
      <c r="J55" s="4">
        <f t="shared" si="3"/>
        <v>86510208</v>
      </c>
      <c r="K55" s="4">
        <f t="shared" si="3"/>
        <v>28246800</v>
      </c>
      <c r="L55" s="4">
        <f t="shared" si="3"/>
        <v>98868992</v>
      </c>
      <c r="M55" s="4">
        <f t="shared" si="3"/>
        <v>95752488</v>
      </c>
      <c r="N55" s="8">
        <f t="shared" si="4"/>
        <v>0</v>
      </c>
      <c r="O55" s="8">
        <f t="shared" ref="O55:X55" si="29">IF(O16-$N16&gt;0, O16-$N16, 0)</f>
        <v>58073.72</v>
      </c>
      <c r="P55" s="8">
        <f t="shared" si="29"/>
        <v>36765.31</v>
      </c>
      <c r="Q55" s="8">
        <f t="shared" si="29"/>
        <v>17191.78</v>
      </c>
      <c r="R55" s="8">
        <f t="shared" si="29"/>
        <v>8308.1599999999744</v>
      </c>
      <c r="S55" s="8">
        <f t="shared" si="29"/>
        <v>3709.1899999999732</v>
      </c>
      <c r="T55" s="8">
        <f t="shared" si="29"/>
        <v>24909.079999999987</v>
      </c>
      <c r="U55" s="8">
        <f t="shared" si="29"/>
        <v>10480.139999999985</v>
      </c>
      <c r="V55" s="8">
        <f t="shared" si="29"/>
        <v>8915.3099999999977</v>
      </c>
      <c r="W55" s="8">
        <f t="shared" si="29"/>
        <v>629.40999999997439</v>
      </c>
      <c r="X55" s="8">
        <f t="shared" si="29"/>
        <v>14839.439999999973</v>
      </c>
      <c r="Y55" s="8">
        <f t="shared" ref="Y55:AI55" si="30">IF(Y16-$Y16&gt;0, Y16-$Y16, 0)</f>
        <v>0</v>
      </c>
      <c r="Z55" s="8">
        <f t="shared" si="30"/>
        <v>3883.0300000000025</v>
      </c>
      <c r="AA55" s="8">
        <f t="shared" si="30"/>
        <v>3787.9400000000023</v>
      </c>
      <c r="AB55" s="8">
        <f t="shared" si="30"/>
        <v>0</v>
      </c>
      <c r="AC55" s="8">
        <f t="shared" si="30"/>
        <v>0</v>
      </c>
      <c r="AD55" s="8">
        <f t="shared" si="30"/>
        <v>0</v>
      </c>
      <c r="AE55" s="8">
        <f t="shared" si="30"/>
        <v>0</v>
      </c>
      <c r="AF55" s="8">
        <f t="shared" si="30"/>
        <v>0</v>
      </c>
      <c r="AG55" s="8">
        <f t="shared" si="30"/>
        <v>0</v>
      </c>
      <c r="AH55" s="8">
        <f t="shared" si="30"/>
        <v>0</v>
      </c>
      <c r="AI55" s="8">
        <f t="shared" si="30"/>
        <v>2355.25</v>
      </c>
      <c r="AJ55" s="4">
        <v>5261842</v>
      </c>
      <c r="AK55" s="4">
        <v>4939529.5</v>
      </c>
      <c r="AL55" s="4">
        <v>4671320</v>
      </c>
      <c r="AM55" s="4">
        <v>4849848</v>
      </c>
      <c r="AN55" s="4">
        <v>4415084</v>
      </c>
      <c r="AO55" s="4">
        <v>5384214</v>
      </c>
      <c r="AP55" s="4">
        <v>2969164</v>
      </c>
      <c r="AQ55" s="4">
        <v>3224228.25</v>
      </c>
      <c r="AR55" s="4">
        <v>4730502.5</v>
      </c>
      <c r="AS55" s="4">
        <v>4055490.25</v>
      </c>
    </row>
    <row r="56" spans="1:45" x14ac:dyDescent="0.2">
      <c r="A56" s="2" t="s">
        <v>47</v>
      </c>
      <c r="B56" s="2" t="s">
        <v>67</v>
      </c>
      <c r="C56" s="2" t="s">
        <v>53</v>
      </c>
      <c r="D56" s="4">
        <f t="shared" si="3"/>
        <v>5441887.5</v>
      </c>
      <c r="E56" s="4">
        <f t="shared" si="3"/>
        <v>3322562</v>
      </c>
      <c r="F56" s="4">
        <f t="shared" si="3"/>
        <v>4003513</v>
      </c>
      <c r="G56" s="4">
        <f t="shared" si="3"/>
        <v>3989711.25</v>
      </c>
      <c r="H56" s="4">
        <f t="shared" si="3"/>
        <v>5619813.5</v>
      </c>
      <c r="I56" s="4">
        <f t="shared" si="3"/>
        <v>3474072.25</v>
      </c>
      <c r="J56" s="4">
        <f t="shared" si="3"/>
        <v>5168360.5</v>
      </c>
      <c r="K56" s="4">
        <f t="shared" si="3"/>
        <v>1453096.12</v>
      </c>
      <c r="L56" s="4">
        <f t="shared" si="3"/>
        <v>5428506</v>
      </c>
      <c r="M56" s="4">
        <f t="shared" si="3"/>
        <v>5074604</v>
      </c>
      <c r="N56" s="8">
        <f t="shared" si="4"/>
        <v>0</v>
      </c>
      <c r="O56" s="8">
        <f t="shared" ref="O56:X56" si="31">IF(O17-$N17&gt;0, O17-$N17, 0)</f>
        <v>2096.88</v>
      </c>
      <c r="P56" s="8">
        <f t="shared" si="31"/>
        <v>3191.55</v>
      </c>
      <c r="Q56" s="8">
        <f t="shared" si="31"/>
        <v>2659.8</v>
      </c>
      <c r="R56" s="8">
        <f t="shared" si="31"/>
        <v>4685</v>
      </c>
      <c r="S56" s="8">
        <f t="shared" si="31"/>
        <v>941.47</v>
      </c>
      <c r="T56" s="8">
        <f t="shared" si="31"/>
        <v>1118.1299999999999</v>
      </c>
      <c r="U56" s="8">
        <f t="shared" si="31"/>
        <v>1024.4199999999998</v>
      </c>
      <c r="V56" s="8">
        <f t="shared" si="31"/>
        <v>17.449999999999818</v>
      </c>
      <c r="W56" s="8">
        <f t="shared" si="31"/>
        <v>0</v>
      </c>
      <c r="X56" s="8">
        <f t="shared" si="31"/>
        <v>2260.4899999999998</v>
      </c>
      <c r="Y56" s="8">
        <f t="shared" ref="Y56:AI56" si="32">IF(Y17-$Y17&gt;0, Y17-$Y17, 0)</f>
        <v>0</v>
      </c>
      <c r="Z56" s="8">
        <f t="shared" si="32"/>
        <v>0</v>
      </c>
      <c r="AA56" s="8">
        <f t="shared" si="32"/>
        <v>0</v>
      </c>
      <c r="AB56" s="8">
        <f t="shared" si="32"/>
        <v>0</v>
      </c>
      <c r="AC56" s="8">
        <f t="shared" si="32"/>
        <v>0</v>
      </c>
      <c r="AD56" s="8">
        <f t="shared" si="32"/>
        <v>0</v>
      </c>
      <c r="AE56" s="8">
        <f t="shared" si="32"/>
        <v>0</v>
      </c>
      <c r="AF56" s="8">
        <f t="shared" si="32"/>
        <v>1119.5</v>
      </c>
      <c r="AG56" s="8">
        <f t="shared" si="32"/>
        <v>0</v>
      </c>
      <c r="AH56" s="8">
        <f t="shared" si="32"/>
        <v>0</v>
      </c>
      <c r="AI56" s="8">
        <f t="shared" si="32"/>
        <v>0</v>
      </c>
      <c r="AJ56" s="4">
        <v>263512.84000000003</v>
      </c>
      <c r="AK56" s="4">
        <v>260193.48</v>
      </c>
      <c r="AL56" s="4">
        <v>243583.67</v>
      </c>
      <c r="AM56" s="4">
        <v>311403.78000000003</v>
      </c>
      <c r="AN56" s="4">
        <v>285973.15999999997</v>
      </c>
      <c r="AO56" s="4">
        <v>341177.22</v>
      </c>
      <c r="AP56" s="4">
        <v>152342.92000000001</v>
      </c>
      <c r="AQ56" s="4">
        <v>145027.45000000001</v>
      </c>
      <c r="AR56" s="4">
        <v>208932.08</v>
      </c>
      <c r="AS56" s="4">
        <v>186386.08</v>
      </c>
    </row>
    <row r="57" spans="1:45" x14ac:dyDescent="0.2">
      <c r="A57" s="2" t="s">
        <v>48</v>
      </c>
      <c r="B57" s="2" t="s">
        <v>67</v>
      </c>
      <c r="C57" s="2" t="s">
        <v>53</v>
      </c>
      <c r="D57" s="4">
        <f t="shared" si="3"/>
        <v>409938.75</v>
      </c>
      <c r="E57" s="4">
        <f t="shared" si="3"/>
        <v>306580.96999999997</v>
      </c>
      <c r="F57" s="4">
        <f t="shared" si="3"/>
        <v>389540.5</v>
      </c>
      <c r="G57" s="4">
        <f t="shared" si="3"/>
        <v>523628.47</v>
      </c>
      <c r="H57" s="4">
        <f t="shared" si="3"/>
        <v>754075.5</v>
      </c>
      <c r="I57" s="4">
        <f t="shared" si="3"/>
        <v>447604.84</v>
      </c>
      <c r="J57" s="4">
        <f t="shared" si="3"/>
        <v>317129.28000000003</v>
      </c>
      <c r="K57" s="4">
        <f t="shared" si="3"/>
        <v>46520.01</v>
      </c>
      <c r="L57" s="4">
        <f t="shared" si="3"/>
        <v>187070.94</v>
      </c>
      <c r="M57" s="4">
        <f t="shared" si="3"/>
        <v>216594.23</v>
      </c>
      <c r="N57" s="8">
        <f t="shared" si="4"/>
        <v>0</v>
      </c>
      <c r="O57" s="8">
        <f t="shared" ref="O57:X57" si="33">IF(O18-$N18&gt;0, O18-$N18, 0)</f>
        <v>0</v>
      </c>
      <c r="P57" s="8">
        <f t="shared" si="33"/>
        <v>0</v>
      </c>
      <c r="Q57" s="8">
        <f t="shared" si="33"/>
        <v>0</v>
      </c>
      <c r="R57" s="8">
        <f t="shared" si="33"/>
        <v>0</v>
      </c>
      <c r="S57" s="8">
        <f t="shared" si="33"/>
        <v>0</v>
      </c>
      <c r="T57" s="8">
        <f t="shared" si="33"/>
        <v>0</v>
      </c>
      <c r="U57" s="8">
        <f t="shared" si="33"/>
        <v>0</v>
      </c>
      <c r="V57" s="8">
        <f t="shared" si="33"/>
        <v>0</v>
      </c>
      <c r="W57" s="8">
        <f t="shared" si="33"/>
        <v>0</v>
      </c>
      <c r="X57" s="8">
        <f t="shared" si="33"/>
        <v>0</v>
      </c>
      <c r="Y57" s="8">
        <f t="shared" ref="Y57:AI57" si="34">IF(Y18-$Y18&gt;0, Y18-$Y18, 0)</f>
        <v>0</v>
      </c>
      <c r="Z57" s="8">
        <f t="shared" si="34"/>
        <v>0</v>
      </c>
      <c r="AA57" s="8">
        <f t="shared" si="34"/>
        <v>0</v>
      </c>
      <c r="AB57" s="8">
        <f t="shared" si="34"/>
        <v>0</v>
      </c>
      <c r="AC57" s="8">
        <f t="shared" si="34"/>
        <v>0</v>
      </c>
      <c r="AD57" s="8">
        <f t="shared" si="34"/>
        <v>0</v>
      </c>
      <c r="AE57" s="8">
        <f t="shared" si="34"/>
        <v>0</v>
      </c>
      <c r="AF57" s="8">
        <f t="shared" si="34"/>
        <v>0</v>
      </c>
      <c r="AG57" s="8">
        <f t="shared" si="34"/>
        <v>0</v>
      </c>
      <c r="AH57" s="8">
        <f t="shared" si="34"/>
        <v>0</v>
      </c>
      <c r="AI57" s="8">
        <f t="shared" si="34"/>
        <v>0</v>
      </c>
      <c r="AJ57" s="4">
        <v>9937.94</v>
      </c>
      <c r="AK57" s="4">
        <v>11175.48</v>
      </c>
      <c r="AL57" s="4">
        <v>8925.82</v>
      </c>
      <c r="AM57" s="4">
        <v>31023.42</v>
      </c>
      <c r="AN57" s="4">
        <v>20162.310000000001</v>
      </c>
      <c r="AO57" s="4">
        <v>41096.160000000003</v>
      </c>
      <c r="AP57" s="4">
        <v>0</v>
      </c>
      <c r="AQ57" s="4">
        <v>0</v>
      </c>
      <c r="AR57" s="4">
        <v>0</v>
      </c>
      <c r="AS57" s="4">
        <v>0</v>
      </c>
    </row>
    <row r="58" spans="1:45" x14ac:dyDescent="0.2">
      <c r="A58" s="2" t="s">
        <v>49</v>
      </c>
      <c r="B58" s="2" t="s">
        <v>67</v>
      </c>
      <c r="C58" s="2" t="s">
        <v>53</v>
      </c>
      <c r="D58" s="4">
        <f t="shared" si="3"/>
        <v>15567.42</v>
      </c>
      <c r="E58" s="4">
        <f t="shared" si="3"/>
        <v>10807.16</v>
      </c>
      <c r="F58" s="4">
        <f t="shared" si="3"/>
        <v>14767.24</v>
      </c>
      <c r="G58" s="4">
        <f t="shared" si="3"/>
        <v>22968.69</v>
      </c>
      <c r="H58" s="4">
        <f t="shared" si="3"/>
        <v>36033.910000000003</v>
      </c>
      <c r="I58" s="4">
        <f t="shared" si="3"/>
        <v>13023.86</v>
      </c>
      <c r="J58" s="4">
        <f t="shared" si="3"/>
        <v>4700.45</v>
      </c>
      <c r="K58" s="4">
        <f t="shared" si="3"/>
        <v>0</v>
      </c>
      <c r="L58" s="4">
        <f t="shared" si="3"/>
        <v>0</v>
      </c>
      <c r="M58" s="4">
        <f t="shared" si="3"/>
        <v>3168.85</v>
      </c>
      <c r="N58" s="8">
        <f t="shared" si="4"/>
        <v>0</v>
      </c>
      <c r="O58" s="8">
        <f t="shared" ref="O58:X58" si="35">IF(O19-$N19&gt;0, O19-$N19, 0)</f>
        <v>0</v>
      </c>
      <c r="P58" s="8">
        <f t="shared" si="35"/>
        <v>0</v>
      </c>
      <c r="Q58" s="8">
        <f t="shared" si="35"/>
        <v>0</v>
      </c>
      <c r="R58" s="8">
        <f t="shared" si="35"/>
        <v>0</v>
      </c>
      <c r="S58" s="8">
        <f t="shared" si="35"/>
        <v>0</v>
      </c>
      <c r="T58" s="8">
        <f t="shared" si="35"/>
        <v>0</v>
      </c>
      <c r="U58" s="8">
        <f t="shared" si="35"/>
        <v>0</v>
      </c>
      <c r="V58" s="8">
        <f t="shared" si="35"/>
        <v>0</v>
      </c>
      <c r="W58" s="8">
        <f t="shared" si="35"/>
        <v>0</v>
      </c>
      <c r="X58" s="8">
        <f t="shared" si="35"/>
        <v>0</v>
      </c>
      <c r="Y58" s="8">
        <f t="shared" ref="Y58:AI58" si="36">IF(Y19-$Y19&gt;0, Y19-$Y19, 0)</f>
        <v>0</v>
      </c>
      <c r="Z58" s="8">
        <f t="shared" si="36"/>
        <v>0</v>
      </c>
      <c r="AA58" s="8">
        <f t="shared" si="36"/>
        <v>0</v>
      </c>
      <c r="AB58" s="8">
        <f t="shared" si="36"/>
        <v>0</v>
      </c>
      <c r="AC58" s="8">
        <f t="shared" si="36"/>
        <v>0</v>
      </c>
      <c r="AD58" s="8">
        <f t="shared" si="36"/>
        <v>0</v>
      </c>
      <c r="AE58" s="8">
        <f t="shared" si="36"/>
        <v>0</v>
      </c>
      <c r="AF58" s="8">
        <f t="shared" si="36"/>
        <v>0</v>
      </c>
      <c r="AG58" s="8">
        <f t="shared" si="36"/>
        <v>0</v>
      </c>
      <c r="AH58" s="8">
        <f t="shared" si="36"/>
        <v>0</v>
      </c>
      <c r="AI58" s="8">
        <f t="shared" si="36"/>
        <v>0</v>
      </c>
      <c r="AJ58" s="4">
        <v>0</v>
      </c>
      <c r="AK58" s="4">
        <v>0</v>
      </c>
      <c r="AL58" s="4">
        <v>1800.09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</row>
    <row r="59" spans="1:45" x14ac:dyDescent="0.2">
      <c r="A59" s="2" t="s">
        <v>45</v>
      </c>
      <c r="B59" s="2" t="s">
        <v>68</v>
      </c>
      <c r="C59" s="2" t="s">
        <v>54</v>
      </c>
      <c r="D59" s="4">
        <f t="shared" si="3"/>
        <v>116911528</v>
      </c>
      <c r="E59" s="4">
        <f t="shared" si="3"/>
        <v>124100352</v>
      </c>
      <c r="F59" s="4">
        <f t="shared" si="3"/>
        <v>94839168</v>
      </c>
      <c r="G59" s="4">
        <f t="shared" si="3"/>
        <v>83215440</v>
      </c>
      <c r="H59" s="4">
        <f t="shared" si="3"/>
        <v>75538264</v>
      </c>
      <c r="I59" s="4">
        <f t="shared" si="3"/>
        <v>77876648</v>
      </c>
      <c r="J59" s="4">
        <f t="shared" si="3"/>
        <v>95777320</v>
      </c>
      <c r="K59" s="4">
        <f t="shared" si="3"/>
        <v>41861040</v>
      </c>
      <c r="L59" s="4">
        <f t="shared" si="3"/>
        <v>80238184</v>
      </c>
      <c r="M59" s="4">
        <f t="shared" si="3"/>
        <v>29177382</v>
      </c>
      <c r="N59" s="8">
        <f t="shared" si="4"/>
        <v>0</v>
      </c>
      <c r="O59" s="8">
        <f t="shared" ref="O59:X59" si="37">IF(O20-$N20&gt;0, O20-$N20, 0)</f>
        <v>3070309.5</v>
      </c>
      <c r="P59" s="8">
        <f t="shared" si="37"/>
        <v>3598368</v>
      </c>
      <c r="Q59" s="8">
        <f t="shared" si="37"/>
        <v>2202487.5</v>
      </c>
      <c r="R59" s="8">
        <f t="shared" si="37"/>
        <v>2760388.5</v>
      </c>
      <c r="S59" s="8">
        <f t="shared" si="37"/>
        <v>2014726.5</v>
      </c>
      <c r="T59" s="8">
        <f t="shared" si="37"/>
        <v>2055519.5</v>
      </c>
      <c r="U59" s="8">
        <f t="shared" si="37"/>
        <v>2073656.5</v>
      </c>
      <c r="V59" s="8">
        <f t="shared" si="37"/>
        <v>1764471.5</v>
      </c>
      <c r="W59" s="8">
        <f t="shared" si="37"/>
        <v>1664379.5</v>
      </c>
      <c r="X59" s="8">
        <f t="shared" si="37"/>
        <v>2509396</v>
      </c>
      <c r="Y59" s="8">
        <f t="shared" ref="Y59:AI59" si="38">IF(Y20-$Y20&gt;0, Y20-$Y20, 0)</f>
        <v>0</v>
      </c>
      <c r="Z59" s="8">
        <f t="shared" si="38"/>
        <v>78429.5</v>
      </c>
      <c r="AA59" s="8">
        <f t="shared" si="38"/>
        <v>84840.759999999776</v>
      </c>
      <c r="AB59" s="8">
        <f t="shared" si="38"/>
        <v>100192.25999999978</v>
      </c>
      <c r="AC59" s="8">
        <f t="shared" si="38"/>
        <v>63794.879999999888</v>
      </c>
      <c r="AD59" s="8">
        <f t="shared" si="38"/>
        <v>18517.879999999888</v>
      </c>
      <c r="AE59" s="8">
        <f t="shared" si="38"/>
        <v>59177</v>
      </c>
      <c r="AF59" s="8">
        <f t="shared" si="38"/>
        <v>62931.879999999888</v>
      </c>
      <c r="AG59" s="8">
        <f t="shared" si="38"/>
        <v>6945.2599999997765</v>
      </c>
      <c r="AH59" s="8">
        <f t="shared" si="38"/>
        <v>84861.879999999888</v>
      </c>
      <c r="AI59" s="8">
        <f t="shared" si="38"/>
        <v>200939.5</v>
      </c>
      <c r="AJ59" s="4">
        <v>5871855.5</v>
      </c>
      <c r="AK59" s="4">
        <v>3674603.25</v>
      </c>
      <c r="AL59" s="4">
        <v>3745659.25</v>
      </c>
      <c r="AM59" s="4">
        <v>4241352</v>
      </c>
      <c r="AN59" s="4">
        <v>3934979.25</v>
      </c>
      <c r="AO59" s="4">
        <v>5044231.5</v>
      </c>
      <c r="AP59" s="4">
        <v>3083224</v>
      </c>
      <c r="AQ59" s="4">
        <v>2844653.25</v>
      </c>
      <c r="AR59" s="4">
        <v>3796492.25</v>
      </c>
      <c r="AS59" s="4">
        <v>2893014</v>
      </c>
    </row>
    <row r="60" spans="1:45" x14ac:dyDescent="0.2">
      <c r="A60" s="2" t="s">
        <v>47</v>
      </c>
      <c r="B60" s="2" t="s">
        <v>68</v>
      </c>
      <c r="C60" s="2" t="s">
        <v>54</v>
      </c>
      <c r="D60" s="4">
        <f t="shared" si="3"/>
        <v>6694458</v>
      </c>
      <c r="E60" s="4">
        <f t="shared" si="3"/>
        <v>7605287.5</v>
      </c>
      <c r="F60" s="4">
        <f t="shared" si="3"/>
        <v>5552591.5</v>
      </c>
      <c r="G60" s="4">
        <f t="shared" si="3"/>
        <v>5863411.5</v>
      </c>
      <c r="H60" s="4">
        <f t="shared" si="3"/>
        <v>5040908</v>
      </c>
      <c r="I60" s="4">
        <f t="shared" si="3"/>
        <v>5479120.5</v>
      </c>
      <c r="J60" s="4">
        <f t="shared" si="3"/>
        <v>5337387</v>
      </c>
      <c r="K60" s="4">
        <f t="shared" si="3"/>
        <v>2218635.25</v>
      </c>
      <c r="L60" s="4">
        <f t="shared" si="3"/>
        <v>4492550</v>
      </c>
      <c r="M60" s="4">
        <f t="shared" si="3"/>
        <v>1501663.38</v>
      </c>
      <c r="N60" s="8">
        <f t="shared" si="4"/>
        <v>0</v>
      </c>
      <c r="O60" s="8">
        <f t="shared" ref="O60:X60" si="39">IF(O21-$N21&gt;0, O21-$N21, 0)</f>
        <v>103837.98000000004</v>
      </c>
      <c r="P60" s="8">
        <f t="shared" si="39"/>
        <v>153783.95000000001</v>
      </c>
      <c r="Q60" s="8">
        <f t="shared" si="39"/>
        <v>69181.48000000004</v>
      </c>
      <c r="R60" s="8">
        <f t="shared" si="39"/>
        <v>108411.23000000004</v>
      </c>
      <c r="S60" s="8">
        <f t="shared" si="39"/>
        <v>79671.169999999984</v>
      </c>
      <c r="T60" s="8">
        <f t="shared" si="39"/>
        <v>90530.700000000012</v>
      </c>
      <c r="U60" s="8">
        <f t="shared" si="39"/>
        <v>94750.450000000012</v>
      </c>
      <c r="V60" s="8">
        <f t="shared" si="39"/>
        <v>81294.540000000037</v>
      </c>
      <c r="W60" s="8">
        <f t="shared" si="39"/>
        <v>56242.25</v>
      </c>
      <c r="X60" s="8">
        <f t="shared" si="39"/>
        <v>96934.859999999986</v>
      </c>
      <c r="Y60" s="8">
        <f t="shared" ref="Y60:AI60" si="40">IF(Y21-$Y21&gt;0, Y21-$Y21, 0)</f>
        <v>0</v>
      </c>
      <c r="Z60" s="8">
        <f t="shared" si="40"/>
        <v>0</v>
      </c>
      <c r="AA60" s="8">
        <f t="shared" si="40"/>
        <v>681.69000000000233</v>
      </c>
      <c r="AB60" s="8">
        <f t="shared" si="40"/>
        <v>1514.3300000000017</v>
      </c>
      <c r="AC60" s="8">
        <f t="shared" si="40"/>
        <v>528.04000000000087</v>
      </c>
      <c r="AD60" s="8">
        <f t="shared" si="40"/>
        <v>0</v>
      </c>
      <c r="AE60" s="8">
        <f t="shared" si="40"/>
        <v>664.45000000000437</v>
      </c>
      <c r="AF60" s="8">
        <f t="shared" si="40"/>
        <v>3225.260000000002</v>
      </c>
      <c r="AG60" s="8">
        <f t="shared" si="40"/>
        <v>0</v>
      </c>
      <c r="AH60" s="8">
        <f t="shared" si="40"/>
        <v>0</v>
      </c>
      <c r="AI60" s="8">
        <f t="shared" si="40"/>
        <v>15373.5</v>
      </c>
      <c r="AJ60" s="4">
        <v>343167.38</v>
      </c>
      <c r="AK60" s="4">
        <v>214319.06</v>
      </c>
      <c r="AL60" s="4">
        <v>219031.31</v>
      </c>
      <c r="AM60" s="4">
        <v>283310.06</v>
      </c>
      <c r="AN60" s="4">
        <v>250906.92</v>
      </c>
      <c r="AO60" s="4">
        <v>348822.22</v>
      </c>
      <c r="AP60" s="4">
        <v>168084</v>
      </c>
      <c r="AQ60" s="4">
        <v>153477.95000000001</v>
      </c>
      <c r="AR60" s="4">
        <v>185727.02</v>
      </c>
      <c r="AS60" s="4">
        <v>133183.75</v>
      </c>
    </row>
    <row r="61" spans="1:45" x14ac:dyDescent="0.2">
      <c r="A61" s="2" t="s">
        <v>48</v>
      </c>
      <c r="B61" s="2" t="s">
        <v>68</v>
      </c>
      <c r="C61" s="2" t="s">
        <v>54</v>
      </c>
      <c r="D61" s="4">
        <f t="shared" si="3"/>
        <v>857195.31</v>
      </c>
      <c r="E61" s="4">
        <f t="shared" si="3"/>
        <v>1049959.8799999999</v>
      </c>
      <c r="F61" s="4">
        <f t="shared" si="3"/>
        <v>958657.25</v>
      </c>
      <c r="G61" s="4">
        <f t="shared" si="3"/>
        <v>1273821</v>
      </c>
      <c r="H61" s="4">
        <f t="shared" si="3"/>
        <v>1135315.1200000001</v>
      </c>
      <c r="I61" s="4">
        <f t="shared" si="3"/>
        <v>1188600.3799999999</v>
      </c>
      <c r="J61" s="4">
        <f t="shared" si="3"/>
        <v>648041.56000000006</v>
      </c>
      <c r="K61" s="4">
        <f t="shared" si="3"/>
        <v>102771.16</v>
      </c>
      <c r="L61" s="4">
        <f t="shared" si="3"/>
        <v>229328.5</v>
      </c>
      <c r="M61" s="4">
        <f t="shared" si="3"/>
        <v>93293.52</v>
      </c>
      <c r="N61" s="8">
        <f t="shared" si="4"/>
        <v>0</v>
      </c>
      <c r="O61" s="8">
        <f t="shared" ref="O61:X61" si="41">IF(O22-$N22&gt;0, O22-$N22, 0)</f>
        <v>2602.4699999999998</v>
      </c>
      <c r="P61" s="8">
        <f t="shared" si="41"/>
        <v>0</v>
      </c>
      <c r="Q61" s="8">
        <f t="shared" si="41"/>
        <v>0</v>
      </c>
      <c r="R61" s="8">
        <f t="shared" si="41"/>
        <v>3108.39</v>
      </c>
      <c r="S61" s="8">
        <f t="shared" si="41"/>
        <v>2144.38</v>
      </c>
      <c r="T61" s="8">
        <f t="shared" si="41"/>
        <v>1776.91</v>
      </c>
      <c r="U61" s="8">
        <f t="shared" si="41"/>
        <v>3910.04</v>
      </c>
      <c r="V61" s="8">
        <f t="shared" si="41"/>
        <v>0</v>
      </c>
      <c r="W61" s="8">
        <f t="shared" si="41"/>
        <v>1940.52</v>
      </c>
      <c r="X61" s="8">
        <f t="shared" si="41"/>
        <v>1935.42</v>
      </c>
      <c r="Y61" s="8">
        <f t="shared" ref="Y61:AI61" si="42">IF(Y22-$Y22&gt;0, Y22-$Y22, 0)</f>
        <v>0</v>
      </c>
      <c r="Z61" s="8">
        <f t="shared" si="42"/>
        <v>0</v>
      </c>
      <c r="AA61" s="8">
        <f t="shared" si="42"/>
        <v>0</v>
      </c>
      <c r="AB61" s="8">
        <f t="shared" si="42"/>
        <v>0</v>
      </c>
      <c r="AC61" s="8">
        <f t="shared" si="42"/>
        <v>0</v>
      </c>
      <c r="AD61" s="8">
        <f t="shared" si="42"/>
        <v>0</v>
      </c>
      <c r="AE61" s="8">
        <f t="shared" si="42"/>
        <v>0</v>
      </c>
      <c r="AF61" s="8">
        <f t="shared" si="42"/>
        <v>0</v>
      </c>
      <c r="AG61" s="8">
        <f t="shared" si="42"/>
        <v>0</v>
      </c>
      <c r="AH61" s="8">
        <f t="shared" si="42"/>
        <v>0</v>
      </c>
      <c r="AI61" s="8">
        <f t="shared" si="42"/>
        <v>0</v>
      </c>
      <c r="AJ61" s="4">
        <v>50892.51</v>
      </c>
      <c r="AK61" s="4">
        <v>29253.8</v>
      </c>
      <c r="AL61" s="4">
        <v>30258.31</v>
      </c>
      <c r="AM61" s="4">
        <v>59963.839999999997</v>
      </c>
      <c r="AN61" s="4">
        <v>43688.73</v>
      </c>
      <c r="AO61" s="4">
        <v>66193.95</v>
      </c>
      <c r="AP61" s="4">
        <v>14865.29</v>
      </c>
      <c r="AQ61" s="4">
        <v>7214.85</v>
      </c>
      <c r="AR61" s="4">
        <v>14343.62</v>
      </c>
      <c r="AS61" s="4">
        <v>6352.44</v>
      </c>
    </row>
    <row r="62" spans="1:45" x14ac:dyDescent="0.2">
      <c r="A62" s="2" t="s">
        <v>49</v>
      </c>
      <c r="B62" s="2" t="s">
        <v>68</v>
      </c>
      <c r="C62" s="2" t="s">
        <v>54</v>
      </c>
      <c r="D62" s="4">
        <f t="shared" si="3"/>
        <v>30038.33</v>
      </c>
      <c r="E62" s="4">
        <f t="shared" si="3"/>
        <v>40638.660000000003</v>
      </c>
      <c r="F62" s="4">
        <f t="shared" si="3"/>
        <v>22060.83</v>
      </c>
      <c r="G62" s="4">
        <f t="shared" si="3"/>
        <v>51402.41</v>
      </c>
      <c r="H62" s="4">
        <f t="shared" si="3"/>
        <v>38847.82</v>
      </c>
      <c r="I62" s="4">
        <f t="shared" si="3"/>
        <v>41504.97</v>
      </c>
      <c r="J62" s="4">
        <f t="shared" si="3"/>
        <v>16337.24</v>
      </c>
      <c r="K62" s="4">
        <f t="shared" si="3"/>
        <v>1924.23</v>
      </c>
      <c r="L62" s="4">
        <f t="shared" si="3"/>
        <v>5130.62</v>
      </c>
      <c r="M62" s="4">
        <f t="shared" si="3"/>
        <v>0</v>
      </c>
      <c r="N62" s="8">
        <f t="shared" si="4"/>
        <v>0</v>
      </c>
      <c r="O62" s="8">
        <f t="shared" ref="O62:X62" si="43">IF(O23-$N23&gt;0, O23-$N23, 0)</f>
        <v>0</v>
      </c>
      <c r="P62" s="8">
        <f t="shared" si="43"/>
        <v>0</v>
      </c>
      <c r="Q62" s="8">
        <f t="shared" si="43"/>
        <v>0</v>
      </c>
      <c r="R62" s="8">
        <f t="shared" si="43"/>
        <v>0</v>
      </c>
      <c r="S62" s="8">
        <f t="shared" si="43"/>
        <v>0</v>
      </c>
      <c r="T62" s="8">
        <f t="shared" si="43"/>
        <v>0</v>
      </c>
      <c r="U62" s="8">
        <f t="shared" si="43"/>
        <v>0</v>
      </c>
      <c r="V62" s="8">
        <f t="shared" si="43"/>
        <v>0</v>
      </c>
      <c r="W62" s="8">
        <f t="shared" si="43"/>
        <v>0</v>
      </c>
      <c r="X62" s="8">
        <f t="shared" si="43"/>
        <v>0</v>
      </c>
      <c r="Y62" s="8">
        <f t="shared" ref="Y62:AI62" si="44">IF(Y23-$Y23&gt;0, Y23-$Y23, 0)</f>
        <v>0</v>
      </c>
      <c r="Z62" s="8">
        <f t="shared" si="44"/>
        <v>0</v>
      </c>
      <c r="AA62" s="8">
        <f t="shared" si="44"/>
        <v>0</v>
      </c>
      <c r="AB62" s="8">
        <f t="shared" si="44"/>
        <v>0</v>
      </c>
      <c r="AC62" s="8">
        <f t="shared" si="44"/>
        <v>0</v>
      </c>
      <c r="AD62" s="8">
        <f t="shared" si="44"/>
        <v>0</v>
      </c>
      <c r="AE62" s="8">
        <f t="shared" si="44"/>
        <v>0</v>
      </c>
      <c r="AF62" s="8">
        <f t="shared" si="44"/>
        <v>0</v>
      </c>
      <c r="AG62" s="8">
        <f>IF(AG23-$Y23&gt;0, AG23-$Y23, 0)</f>
        <v>0</v>
      </c>
      <c r="AH62" s="8">
        <f t="shared" si="44"/>
        <v>0</v>
      </c>
      <c r="AI62" s="8">
        <f t="shared" si="44"/>
        <v>0</v>
      </c>
      <c r="AJ62" s="4">
        <v>0</v>
      </c>
      <c r="AK62" s="4">
        <v>0</v>
      </c>
      <c r="AL62" s="4">
        <v>0</v>
      </c>
      <c r="AM62" s="4">
        <v>1174.71</v>
      </c>
      <c r="AN62" s="4">
        <v>1243.57</v>
      </c>
      <c r="AO62" s="4">
        <v>1584.95</v>
      </c>
      <c r="AP62" s="4">
        <v>0</v>
      </c>
      <c r="AQ62" s="4">
        <v>0</v>
      </c>
      <c r="AR62" s="4">
        <v>0</v>
      </c>
      <c r="AS62" s="4">
        <v>0</v>
      </c>
    </row>
    <row r="63" spans="1:45" x14ac:dyDescent="0.2">
      <c r="A63" s="3" t="s">
        <v>45</v>
      </c>
      <c r="B63" s="3" t="s">
        <v>55</v>
      </c>
      <c r="C63" s="3" t="s">
        <v>56</v>
      </c>
      <c r="D63" s="4">
        <f t="shared" si="3"/>
        <v>34250248</v>
      </c>
      <c r="E63" s="4">
        <f t="shared" si="3"/>
        <v>28824368</v>
      </c>
      <c r="F63" s="4">
        <f t="shared" si="3"/>
        <v>54012820</v>
      </c>
      <c r="G63" s="4">
        <f t="shared" si="3"/>
        <v>32203856</v>
      </c>
      <c r="H63" s="4">
        <f t="shared" si="3"/>
        <v>32708672</v>
      </c>
      <c r="I63" s="4">
        <f t="shared" si="3"/>
        <v>21222246</v>
      </c>
      <c r="J63" s="4">
        <f t="shared" si="3"/>
        <v>50022636</v>
      </c>
      <c r="K63" s="4">
        <f t="shared" si="3"/>
        <v>15197051</v>
      </c>
      <c r="L63" s="4">
        <f t="shared" si="3"/>
        <v>39257164</v>
      </c>
      <c r="M63" s="4">
        <f t="shared" si="3"/>
        <v>15443347</v>
      </c>
      <c r="N63" s="8">
        <f t="shared" si="4"/>
        <v>0</v>
      </c>
      <c r="O63" s="8">
        <f t="shared" ref="O63:X63" si="45">IF(O24-$N24&gt;0, O24-$N24, 0)</f>
        <v>666441278.5</v>
      </c>
      <c r="P63" s="8">
        <f t="shared" si="45"/>
        <v>1168182270.5</v>
      </c>
      <c r="Q63" s="8">
        <f t="shared" si="45"/>
        <v>1132150526.5</v>
      </c>
      <c r="R63" s="8">
        <f t="shared" si="45"/>
        <v>1512016510.5</v>
      </c>
      <c r="S63" s="8">
        <f t="shared" si="45"/>
        <v>929121598.5</v>
      </c>
      <c r="T63" s="8">
        <f t="shared" si="45"/>
        <v>836961214.5</v>
      </c>
      <c r="U63" s="8">
        <f t="shared" si="45"/>
        <v>934130494.5</v>
      </c>
      <c r="V63" s="8">
        <f t="shared" si="45"/>
        <v>834608254.5</v>
      </c>
      <c r="W63" s="8">
        <f t="shared" si="45"/>
        <v>806255998.5</v>
      </c>
      <c r="X63" s="8">
        <f t="shared" si="45"/>
        <v>980458942.5</v>
      </c>
      <c r="Y63" s="8">
        <f t="shared" ref="Y63:AI63" si="46">IF(Y24-$Y24&gt;0, Y24-$Y24, 0)</f>
        <v>0</v>
      </c>
      <c r="Z63" s="8">
        <f t="shared" si="46"/>
        <v>279762176.5</v>
      </c>
      <c r="AA63" s="8">
        <f t="shared" si="46"/>
        <v>438078208.5</v>
      </c>
      <c r="AB63" s="8">
        <f t="shared" si="46"/>
        <v>529477856.5</v>
      </c>
      <c r="AC63" s="8">
        <f t="shared" si="46"/>
        <v>649375520.5</v>
      </c>
      <c r="AD63" s="8">
        <f t="shared" si="46"/>
        <v>353193632.5</v>
      </c>
      <c r="AE63" s="8">
        <f t="shared" si="46"/>
        <v>310135104.5</v>
      </c>
      <c r="AF63" s="8">
        <f t="shared" si="46"/>
        <v>399967072.5</v>
      </c>
      <c r="AG63" s="8">
        <f t="shared" si="46"/>
        <v>364994816.5</v>
      </c>
      <c r="AH63" s="8">
        <f t="shared" si="46"/>
        <v>390959712.5</v>
      </c>
      <c r="AI63" s="8">
        <f t="shared" si="46"/>
        <v>431449568.5</v>
      </c>
      <c r="AJ63" s="4">
        <v>117034080</v>
      </c>
      <c r="AK63" s="4">
        <v>110541120</v>
      </c>
      <c r="AL63" s="4">
        <v>165520144</v>
      </c>
      <c r="AM63" s="4">
        <v>251049936</v>
      </c>
      <c r="AN63" s="4">
        <v>158978336</v>
      </c>
      <c r="AO63" s="4">
        <v>179265904</v>
      </c>
      <c r="AP63" s="4">
        <v>348057504</v>
      </c>
      <c r="AQ63" s="4">
        <v>227370192</v>
      </c>
      <c r="AR63" s="4">
        <v>214501904</v>
      </c>
      <c r="AS63" s="4">
        <v>141162368</v>
      </c>
    </row>
    <row r="64" spans="1:45" x14ac:dyDescent="0.2">
      <c r="A64" s="2" t="s">
        <v>47</v>
      </c>
      <c r="B64" s="2" t="s">
        <v>55</v>
      </c>
      <c r="C64" s="2" t="s">
        <v>56</v>
      </c>
      <c r="D64" s="4">
        <f t="shared" si="3"/>
        <v>6457825.5</v>
      </c>
      <c r="E64" s="4">
        <f t="shared" si="3"/>
        <v>5390260</v>
      </c>
      <c r="F64" s="4">
        <f t="shared" si="3"/>
        <v>10315671</v>
      </c>
      <c r="G64" s="4">
        <f t="shared" si="3"/>
        <v>6106373.5</v>
      </c>
      <c r="H64" s="4">
        <f t="shared" si="3"/>
        <v>6250474.5</v>
      </c>
      <c r="I64" s="4">
        <f t="shared" si="3"/>
        <v>3990345.75</v>
      </c>
      <c r="J64" s="4">
        <f t="shared" si="3"/>
        <v>9408299</v>
      </c>
      <c r="K64" s="4">
        <f t="shared" si="3"/>
        <v>2912750.25</v>
      </c>
      <c r="L64" s="4">
        <f t="shared" si="3"/>
        <v>7389694.5</v>
      </c>
      <c r="M64" s="4">
        <f t="shared" si="3"/>
        <v>2868995.25</v>
      </c>
      <c r="N64" s="8">
        <f t="shared" si="4"/>
        <v>0</v>
      </c>
      <c r="O64" s="8">
        <f t="shared" ref="O64:X64" si="47">IF(O25-$N25&gt;0, O25-$N25, 0)</f>
        <v>126425867</v>
      </c>
      <c r="P64" s="8">
        <f t="shared" si="47"/>
        <v>228991771</v>
      </c>
      <c r="Q64" s="8">
        <f t="shared" si="47"/>
        <v>218854075</v>
      </c>
      <c r="R64" s="8">
        <f t="shared" si="47"/>
        <v>291971307</v>
      </c>
      <c r="S64" s="8">
        <f t="shared" si="47"/>
        <v>179423579</v>
      </c>
      <c r="T64" s="8">
        <f t="shared" si="47"/>
        <v>162267675</v>
      </c>
      <c r="U64" s="8">
        <f t="shared" si="47"/>
        <v>179862219</v>
      </c>
      <c r="V64" s="8">
        <f t="shared" si="47"/>
        <v>159143387</v>
      </c>
      <c r="W64" s="8">
        <f t="shared" si="47"/>
        <v>154643051</v>
      </c>
      <c r="X64" s="8">
        <f t="shared" si="47"/>
        <v>187011835</v>
      </c>
      <c r="Y64" s="8">
        <f t="shared" ref="Y64:AI64" si="48">IF(Y25-$Y25&gt;0, Y25-$Y25, 0)</f>
        <v>0</v>
      </c>
      <c r="Z64" s="8">
        <f t="shared" si="48"/>
        <v>54933473.25</v>
      </c>
      <c r="AA64" s="8">
        <f t="shared" si="48"/>
        <v>85614857.25</v>
      </c>
      <c r="AB64" s="8">
        <f t="shared" si="48"/>
        <v>105138825.25</v>
      </c>
      <c r="AC64" s="8">
        <f t="shared" si="48"/>
        <v>125228137.25</v>
      </c>
      <c r="AD64" s="8">
        <f t="shared" si="48"/>
        <v>68464457.25</v>
      </c>
      <c r="AE64" s="8">
        <f t="shared" si="48"/>
        <v>59108397.25</v>
      </c>
      <c r="AF64" s="8">
        <f t="shared" si="48"/>
        <v>78351089.25</v>
      </c>
      <c r="AG64" s="8">
        <f t="shared" si="48"/>
        <v>70101529.25</v>
      </c>
      <c r="AH64" s="8">
        <f t="shared" si="48"/>
        <v>74474217.25</v>
      </c>
      <c r="AI64" s="8">
        <f t="shared" si="48"/>
        <v>83423297.25</v>
      </c>
      <c r="AJ64" s="4">
        <v>22695800</v>
      </c>
      <c r="AK64" s="4">
        <v>21410266</v>
      </c>
      <c r="AL64" s="4">
        <v>32320584</v>
      </c>
      <c r="AM64" s="4">
        <v>48305436</v>
      </c>
      <c r="AN64" s="4">
        <v>30606402</v>
      </c>
      <c r="AO64" s="4">
        <v>34254916</v>
      </c>
      <c r="AP64" s="4">
        <v>67133024</v>
      </c>
      <c r="AQ64" s="4">
        <v>43007620</v>
      </c>
      <c r="AR64" s="4">
        <v>41507144</v>
      </c>
      <c r="AS64" s="4">
        <v>26511878</v>
      </c>
    </row>
    <row r="65" spans="1:45" x14ac:dyDescent="0.2">
      <c r="A65" s="2" t="s">
        <v>48</v>
      </c>
      <c r="B65" s="2" t="s">
        <v>55</v>
      </c>
      <c r="C65" s="2" t="s">
        <v>56</v>
      </c>
      <c r="D65" s="4">
        <f t="shared" si="3"/>
        <v>312636.53000000003</v>
      </c>
      <c r="E65" s="4">
        <f t="shared" si="3"/>
        <v>357084.62</v>
      </c>
      <c r="F65" s="4">
        <f t="shared" si="3"/>
        <v>467779.16</v>
      </c>
      <c r="G65" s="4">
        <f t="shared" si="3"/>
        <v>308440.65999999997</v>
      </c>
      <c r="H65" s="4">
        <f t="shared" si="3"/>
        <v>291755.53000000003</v>
      </c>
      <c r="I65" s="4">
        <f t="shared" si="3"/>
        <v>213798.67</v>
      </c>
      <c r="J65" s="4">
        <f t="shared" si="3"/>
        <v>468473.34</v>
      </c>
      <c r="K65" s="4">
        <f t="shared" si="3"/>
        <v>183324.12</v>
      </c>
      <c r="L65" s="4">
        <f t="shared" si="3"/>
        <v>341104.41</v>
      </c>
      <c r="M65" s="4">
        <f t="shared" si="3"/>
        <v>52798.400000000001</v>
      </c>
      <c r="N65" s="8">
        <f t="shared" si="4"/>
        <v>0</v>
      </c>
      <c r="O65" s="8">
        <f t="shared" ref="O65:X65" si="49">IF(O26-$N26&gt;0, O26-$N26, 0)</f>
        <v>7331873.5</v>
      </c>
      <c r="P65" s="8">
        <f t="shared" si="49"/>
        <v>11630509</v>
      </c>
      <c r="Q65" s="8">
        <f t="shared" si="49"/>
        <v>6726555.5</v>
      </c>
      <c r="R65" s="8">
        <f t="shared" si="49"/>
        <v>12941840</v>
      </c>
      <c r="S65" s="8">
        <f t="shared" si="49"/>
        <v>0</v>
      </c>
      <c r="T65" s="8">
        <f t="shared" si="49"/>
        <v>0</v>
      </c>
      <c r="U65" s="8">
        <f t="shared" si="49"/>
        <v>5267076</v>
      </c>
      <c r="V65" s="8">
        <f t="shared" si="49"/>
        <v>0</v>
      </c>
      <c r="W65" s="8">
        <f t="shared" si="49"/>
        <v>0</v>
      </c>
      <c r="X65" s="8">
        <f t="shared" si="49"/>
        <v>0</v>
      </c>
      <c r="Y65" s="8">
        <f t="shared" ref="Y65:AI65" si="50">IF(Y26-$Y26&gt;0, Y26-$Y26, 0)</f>
        <v>0</v>
      </c>
      <c r="Z65" s="8">
        <f t="shared" si="50"/>
        <v>2310665</v>
      </c>
      <c r="AA65" s="8">
        <f t="shared" si="50"/>
        <v>4077184</v>
      </c>
      <c r="AB65" s="8">
        <f t="shared" si="50"/>
        <v>3756641.25</v>
      </c>
      <c r="AC65" s="8">
        <f t="shared" si="50"/>
        <v>5922334</v>
      </c>
      <c r="AD65" s="8">
        <f t="shared" si="50"/>
        <v>0</v>
      </c>
      <c r="AE65" s="8">
        <f t="shared" si="50"/>
        <v>0</v>
      </c>
      <c r="AF65" s="8">
        <f t="shared" si="50"/>
        <v>3623403.25</v>
      </c>
      <c r="AG65" s="8">
        <f t="shared" si="50"/>
        <v>0</v>
      </c>
      <c r="AH65" s="8">
        <f t="shared" si="50"/>
        <v>0</v>
      </c>
      <c r="AI65" s="8">
        <f t="shared" si="50"/>
        <v>0</v>
      </c>
      <c r="AJ65" s="4">
        <v>1144066.6200000001</v>
      </c>
      <c r="AK65" s="4">
        <v>512789.25</v>
      </c>
      <c r="AL65" s="4">
        <v>1567881.62</v>
      </c>
      <c r="AM65" s="4">
        <v>1225227.6200000001</v>
      </c>
      <c r="AN65" s="4">
        <v>1300179.1200000001</v>
      </c>
      <c r="AO65" s="4">
        <v>712530.94</v>
      </c>
      <c r="AP65" s="4">
        <v>3462104</v>
      </c>
      <c r="AQ65" s="4">
        <v>0</v>
      </c>
      <c r="AR65" s="4">
        <v>1937885.12</v>
      </c>
      <c r="AS65" s="4">
        <v>1412485.38</v>
      </c>
    </row>
    <row r="66" spans="1:45" x14ac:dyDescent="0.2">
      <c r="A66" s="2" t="s">
        <v>49</v>
      </c>
      <c r="B66" s="2" t="s">
        <v>55</v>
      </c>
      <c r="C66" s="2" t="s">
        <v>56</v>
      </c>
      <c r="D66" s="4">
        <f t="shared" si="3"/>
        <v>10914.31</v>
      </c>
      <c r="E66" s="4">
        <f t="shared" si="3"/>
        <v>16808.240000000002</v>
      </c>
      <c r="F66" s="4">
        <f t="shared" si="3"/>
        <v>0</v>
      </c>
      <c r="G66" s="4">
        <f t="shared" si="3"/>
        <v>0</v>
      </c>
      <c r="H66" s="4">
        <f t="shared" si="3"/>
        <v>0</v>
      </c>
      <c r="I66" s="4">
        <f t="shared" si="3"/>
        <v>0</v>
      </c>
      <c r="J66" s="4">
        <f t="shared" si="3"/>
        <v>0</v>
      </c>
      <c r="K66" s="4">
        <f t="shared" si="3"/>
        <v>0</v>
      </c>
      <c r="L66" s="4">
        <f t="shared" si="3"/>
        <v>0</v>
      </c>
      <c r="M66" s="4">
        <f t="shared" si="3"/>
        <v>0</v>
      </c>
      <c r="N66" s="8">
        <f t="shared" si="4"/>
        <v>0</v>
      </c>
      <c r="O66" s="8">
        <f t="shared" ref="O66:X66" si="51">IF(O27-$N27&gt;0, O27-$N27, 0)</f>
        <v>0</v>
      </c>
      <c r="P66" s="8">
        <f t="shared" si="51"/>
        <v>0</v>
      </c>
      <c r="Q66" s="8">
        <f t="shared" si="51"/>
        <v>0</v>
      </c>
      <c r="R66" s="8">
        <f t="shared" si="51"/>
        <v>0</v>
      </c>
      <c r="S66" s="8">
        <f t="shared" si="51"/>
        <v>0</v>
      </c>
      <c r="T66" s="8">
        <f t="shared" si="51"/>
        <v>0</v>
      </c>
      <c r="U66" s="8">
        <f t="shared" si="51"/>
        <v>0</v>
      </c>
      <c r="V66" s="8">
        <f t="shared" si="51"/>
        <v>0</v>
      </c>
      <c r="W66" s="8">
        <f t="shared" si="51"/>
        <v>0</v>
      </c>
      <c r="X66" s="8">
        <f t="shared" si="51"/>
        <v>0</v>
      </c>
      <c r="Y66" s="8">
        <f t="shared" ref="Y66:AI66" si="52">IF(Y27-$Y27&gt;0, Y27-$Y27, 0)</f>
        <v>0</v>
      </c>
      <c r="Z66" s="8">
        <f t="shared" si="52"/>
        <v>0</v>
      </c>
      <c r="AA66" s="8">
        <f t="shared" si="52"/>
        <v>0</v>
      </c>
      <c r="AB66" s="8">
        <f t="shared" si="52"/>
        <v>0</v>
      </c>
      <c r="AC66" s="8">
        <f t="shared" si="52"/>
        <v>0</v>
      </c>
      <c r="AD66" s="8">
        <f t="shared" si="52"/>
        <v>0</v>
      </c>
      <c r="AE66" s="8">
        <f t="shared" si="52"/>
        <v>0</v>
      </c>
      <c r="AF66" s="8">
        <f t="shared" si="52"/>
        <v>0</v>
      </c>
      <c r="AG66" s="8">
        <f t="shared" si="52"/>
        <v>0</v>
      </c>
      <c r="AH66" s="8">
        <f t="shared" si="52"/>
        <v>0</v>
      </c>
      <c r="AI66" s="8">
        <f t="shared" si="52"/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</row>
    <row r="67" spans="1:45" x14ac:dyDescent="0.2">
      <c r="A67" s="2" t="s">
        <v>57</v>
      </c>
      <c r="B67" s="2" t="s">
        <v>55</v>
      </c>
      <c r="C67" s="2" t="s">
        <v>56</v>
      </c>
      <c r="D67" s="4">
        <f t="shared" si="3"/>
        <v>0</v>
      </c>
      <c r="E67" s="4">
        <f t="shared" si="3"/>
        <v>0</v>
      </c>
      <c r="F67" s="4">
        <f t="shared" si="3"/>
        <v>0</v>
      </c>
      <c r="G67" s="4">
        <f t="shared" si="3"/>
        <v>0</v>
      </c>
      <c r="H67" s="4">
        <f t="shared" si="3"/>
        <v>0</v>
      </c>
      <c r="I67" s="4">
        <f t="shared" si="3"/>
        <v>6318.69</v>
      </c>
      <c r="J67" s="4">
        <f t="shared" si="3"/>
        <v>0</v>
      </c>
      <c r="K67" s="4">
        <f t="shared" ref="E67:M75" si="53">K28 - 0</f>
        <v>0</v>
      </c>
      <c r="L67" s="4">
        <f t="shared" si="53"/>
        <v>0</v>
      </c>
      <c r="M67" s="4">
        <f t="shared" si="53"/>
        <v>0</v>
      </c>
      <c r="N67" s="8">
        <f t="shared" si="4"/>
        <v>0</v>
      </c>
      <c r="O67" s="8">
        <f t="shared" ref="O67:X67" si="54">IF(O28-$N28&gt;0, O28-$N28, 0)</f>
        <v>0</v>
      </c>
      <c r="P67" s="8">
        <f t="shared" si="54"/>
        <v>0</v>
      </c>
      <c r="Q67" s="8">
        <f t="shared" si="54"/>
        <v>0</v>
      </c>
      <c r="R67" s="8">
        <f t="shared" si="54"/>
        <v>161807.79999999999</v>
      </c>
      <c r="S67" s="8">
        <f t="shared" si="54"/>
        <v>0</v>
      </c>
      <c r="T67" s="8">
        <f t="shared" si="54"/>
        <v>0</v>
      </c>
      <c r="U67" s="8">
        <f t="shared" si="54"/>
        <v>0</v>
      </c>
      <c r="V67" s="8">
        <f t="shared" si="54"/>
        <v>0</v>
      </c>
      <c r="W67" s="8">
        <f t="shared" si="54"/>
        <v>0</v>
      </c>
      <c r="X67" s="8">
        <f t="shared" si="54"/>
        <v>264819.46999999997</v>
      </c>
      <c r="Y67" s="8">
        <f t="shared" ref="Y67:AI67" si="55">IF(Y28-$Y28&gt;0, Y28-$Y28, 0)</f>
        <v>0</v>
      </c>
      <c r="Z67" s="8">
        <f t="shared" si="55"/>
        <v>0</v>
      </c>
      <c r="AA67" s="8">
        <f t="shared" si="55"/>
        <v>0</v>
      </c>
      <c r="AB67" s="8">
        <f t="shared" si="55"/>
        <v>0</v>
      </c>
      <c r="AC67" s="8">
        <f t="shared" si="55"/>
        <v>0</v>
      </c>
      <c r="AD67" s="8">
        <f t="shared" si="55"/>
        <v>0</v>
      </c>
      <c r="AE67" s="8">
        <f t="shared" si="55"/>
        <v>0</v>
      </c>
      <c r="AF67" s="8">
        <f t="shared" si="55"/>
        <v>44889.95</v>
      </c>
      <c r="AG67" s="8">
        <f t="shared" si="55"/>
        <v>0</v>
      </c>
      <c r="AH67" s="8">
        <f t="shared" si="55"/>
        <v>0</v>
      </c>
      <c r="AI67" s="8">
        <f t="shared" si="55"/>
        <v>89037.87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</row>
    <row r="68" spans="1:45" x14ac:dyDescent="0.2">
      <c r="A68" s="2" t="s">
        <v>58</v>
      </c>
      <c r="B68" s="2" t="s">
        <v>55</v>
      </c>
      <c r="C68" s="2" t="s">
        <v>56</v>
      </c>
      <c r="D68" s="4">
        <f t="shared" si="3"/>
        <v>95982.31</v>
      </c>
      <c r="E68" s="4">
        <f t="shared" si="53"/>
        <v>38486.42</v>
      </c>
      <c r="F68" s="4">
        <f t="shared" si="53"/>
        <v>62048.99</v>
      </c>
      <c r="G68" s="4">
        <f t="shared" si="53"/>
        <v>64221.89</v>
      </c>
      <c r="H68" s="4">
        <f t="shared" si="53"/>
        <v>102657.43</v>
      </c>
      <c r="I68" s="4">
        <f t="shared" si="53"/>
        <v>71558.13</v>
      </c>
      <c r="J68" s="4">
        <f t="shared" si="53"/>
        <v>142016.10999999999</v>
      </c>
      <c r="K68" s="4">
        <f t="shared" si="53"/>
        <v>51198.34</v>
      </c>
      <c r="L68" s="4">
        <f t="shared" si="53"/>
        <v>124554.56</v>
      </c>
      <c r="M68" s="4">
        <f t="shared" si="53"/>
        <v>45635.67</v>
      </c>
      <c r="N68" s="8">
        <f t="shared" si="4"/>
        <v>0</v>
      </c>
      <c r="O68" s="8">
        <f t="shared" ref="O68:X68" si="56">IF(O29-$N29&gt;0, O29-$N29, 0)</f>
        <v>1087939.6200000001</v>
      </c>
      <c r="P68" s="8">
        <f t="shared" si="56"/>
        <v>1153488.1200000001</v>
      </c>
      <c r="Q68" s="8">
        <f t="shared" si="56"/>
        <v>1174755.6200000001</v>
      </c>
      <c r="R68" s="8">
        <f t="shared" si="56"/>
        <v>3186232</v>
      </c>
      <c r="S68" s="8">
        <f t="shared" si="56"/>
        <v>2430064.75</v>
      </c>
      <c r="T68" s="8">
        <f t="shared" si="56"/>
        <v>1895808.38</v>
      </c>
      <c r="U68" s="8">
        <f t="shared" si="56"/>
        <v>2772849.75</v>
      </c>
      <c r="V68" s="8">
        <f t="shared" si="56"/>
        <v>1643316</v>
      </c>
      <c r="W68" s="8">
        <f t="shared" si="56"/>
        <v>2048221</v>
      </c>
      <c r="X68" s="8">
        <f t="shared" si="56"/>
        <v>2599845.75</v>
      </c>
      <c r="Y68" s="8">
        <f t="shared" ref="Y68:AI68" si="57">IF(Y29-$Y29&gt;0, Y29-$Y29, 0)</f>
        <v>0</v>
      </c>
      <c r="Z68" s="8">
        <f t="shared" si="57"/>
        <v>305105</v>
      </c>
      <c r="AA68" s="8">
        <f t="shared" si="57"/>
        <v>510153.41</v>
      </c>
      <c r="AB68" s="8">
        <f t="shared" si="57"/>
        <v>337668.22</v>
      </c>
      <c r="AC68" s="8">
        <f t="shared" si="57"/>
        <v>1302802</v>
      </c>
      <c r="AD68" s="8">
        <f t="shared" si="57"/>
        <v>897020.5</v>
      </c>
      <c r="AE68" s="8">
        <f t="shared" si="57"/>
        <v>865218.69</v>
      </c>
      <c r="AF68" s="8">
        <f t="shared" si="57"/>
        <v>1270593</v>
      </c>
      <c r="AG68" s="8">
        <f t="shared" si="57"/>
        <v>980310.06</v>
      </c>
      <c r="AH68" s="8">
        <f t="shared" si="57"/>
        <v>1001911.44</v>
      </c>
      <c r="AI68" s="8">
        <f t="shared" si="57"/>
        <v>1113174.75</v>
      </c>
      <c r="AJ68" s="4">
        <v>202238.3</v>
      </c>
      <c r="AK68" s="4">
        <v>151297.01999999999</v>
      </c>
      <c r="AL68" s="4">
        <v>168122.39</v>
      </c>
      <c r="AM68" s="4">
        <v>273185.84000000003</v>
      </c>
      <c r="AN68" s="4">
        <v>330889.34000000003</v>
      </c>
      <c r="AO68" s="4">
        <v>299398.40999999997</v>
      </c>
      <c r="AP68" s="4">
        <v>214367.14</v>
      </c>
      <c r="AQ68" s="4">
        <v>129618.85</v>
      </c>
      <c r="AR68" s="4">
        <v>111401.46</v>
      </c>
      <c r="AS68" s="4">
        <v>120405.07</v>
      </c>
    </row>
    <row r="69" spans="1:45" x14ac:dyDescent="0.2">
      <c r="A69" s="2" t="s">
        <v>59</v>
      </c>
      <c r="B69" s="2" t="s">
        <v>55</v>
      </c>
      <c r="C69" s="2" t="s">
        <v>56</v>
      </c>
      <c r="D69" s="4">
        <f t="shared" si="3"/>
        <v>255498.5</v>
      </c>
      <c r="E69" s="4">
        <f t="shared" si="53"/>
        <v>100025.19</v>
      </c>
      <c r="F69" s="4">
        <f t="shared" si="53"/>
        <v>133104.35999999999</v>
      </c>
      <c r="G69" s="4">
        <f t="shared" si="53"/>
        <v>176469.83</v>
      </c>
      <c r="H69" s="4">
        <f t="shared" si="53"/>
        <v>252179.27</v>
      </c>
      <c r="I69" s="4">
        <f t="shared" si="53"/>
        <v>176543.61</v>
      </c>
      <c r="J69" s="4">
        <f t="shared" si="53"/>
        <v>291149.03000000003</v>
      </c>
      <c r="K69" s="4">
        <f t="shared" si="53"/>
        <v>92734.5</v>
      </c>
      <c r="L69" s="4">
        <f t="shared" si="53"/>
        <v>196127.19</v>
      </c>
      <c r="M69" s="4">
        <f t="shared" si="53"/>
        <v>81963.429999999993</v>
      </c>
      <c r="N69" s="8">
        <f t="shared" si="4"/>
        <v>0</v>
      </c>
      <c r="O69" s="8">
        <f t="shared" ref="O69:X69" si="58">IF(O30-$N30&gt;0, O30-$N30, 0)</f>
        <v>3029960.75</v>
      </c>
      <c r="P69" s="8">
        <f t="shared" si="58"/>
        <v>2897676</v>
      </c>
      <c r="Q69" s="8">
        <f t="shared" si="58"/>
        <v>2016570.38</v>
      </c>
      <c r="R69" s="8">
        <f t="shared" si="58"/>
        <v>7083487.5</v>
      </c>
      <c r="S69" s="8">
        <f t="shared" si="58"/>
        <v>5308013.5</v>
      </c>
      <c r="T69" s="8">
        <f t="shared" si="58"/>
        <v>4978097.5</v>
      </c>
      <c r="U69" s="8">
        <f t="shared" si="58"/>
        <v>5329155.5</v>
      </c>
      <c r="V69" s="8">
        <f t="shared" si="58"/>
        <v>5097258.5</v>
      </c>
      <c r="W69" s="8">
        <f t="shared" si="58"/>
        <v>3931445.25</v>
      </c>
      <c r="X69" s="8">
        <f t="shared" si="58"/>
        <v>5523870.5</v>
      </c>
      <c r="Y69" s="8">
        <f t="shared" ref="Y69:AI69" si="59">IF(Y30-$Y30&gt;0, Y30-$Y30, 0)</f>
        <v>0</v>
      </c>
      <c r="Z69" s="8">
        <f t="shared" si="59"/>
        <v>1280559.25</v>
      </c>
      <c r="AA69" s="8">
        <f t="shared" si="59"/>
        <v>1252400.5</v>
      </c>
      <c r="AB69" s="8">
        <f t="shared" si="59"/>
        <v>1066118</v>
      </c>
      <c r="AC69" s="8">
        <f t="shared" si="59"/>
        <v>2725326.75</v>
      </c>
      <c r="AD69" s="8">
        <f t="shared" si="59"/>
        <v>2136345</v>
      </c>
      <c r="AE69" s="8">
        <f t="shared" si="59"/>
        <v>2070074</v>
      </c>
      <c r="AF69" s="8">
        <f t="shared" si="59"/>
        <v>2422871</v>
      </c>
      <c r="AG69" s="8">
        <f t="shared" si="59"/>
        <v>2136287.75</v>
      </c>
      <c r="AH69" s="8">
        <f t="shared" si="59"/>
        <v>2314303</v>
      </c>
      <c r="AI69" s="8">
        <f t="shared" si="59"/>
        <v>2345476.75</v>
      </c>
      <c r="AJ69" s="4">
        <v>1932223.62</v>
      </c>
      <c r="AK69" s="4">
        <v>1310558.75</v>
      </c>
      <c r="AL69" s="4">
        <v>1530410.88</v>
      </c>
      <c r="AM69" s="4">
        <v>2043064.88</v>
      </c>
      <c r="AN69" s="4">
        <v>2430819.5</v>
      </c>
      <c r="AO69" s="4">
        <v>2456573.75</v>
      </c>
      <c r="AP69" s="4">
        <v>581091.75</v>
      </c>
      <c r="AQ69" s="4">
        <v>350468.12</v>
      </c>
      <c r="AR69" s="4">
        <v>376795.09</v>
      </c>
      <c r="AS69" s="4">
        <v>256417.14</v>
      </c>
    </row>
    <row r="70" spans="1:45" x14ac:dyDescent="0.2">
      <c r="A70" s="2" t="s">
        <v>60</v>
      </c>
      <c r="B70" s="2" t="s">
        <v>55</v>
      </c>
      <c r="C70" s="2" t="s">
        <v>56</v>
      </c>
      <c r="D70" s="4">
        <f t="shared" si="3"/>
        <v>4438075.5</v>
      </c>
      <c r="E70" s="4">
        <f t="shared" si="53"/>
        <v>1774012</v>
      </c>
      <c r="F70" s="4">
        <f t="shared" si="53"/>
        <v>2500855.75</v>
      </c>
      <c r="G70" s="4">
        <f t="shared" si="53"/>
        <v>2911601.25</v>
      </c>
      <c r="H70" s="4">
        <f t="shared" si="53"/>
        <v>4637922.5</v>
      </c>
      <c r="I70" s="4">
        <f t="shared" si="53"/>
        <v>2924042.25</v>
      </c>
      <c r="J70" s="4">
        <f t="shared" si="53"/>
        <v>4200573.5</v>
      </c>
      <c r="K70" s="4">
        <f t="shared" si="53"/>
        <v>1469676.62</v>
      </c>
      <c r="L70" s="4">
        <f t="shared" si="53"/>
        <v>3756488.25</v>
      </c>
      <c r="M70" s="4">
        <f t="shared" si="53"/>
        <v>1443682.62</v>
      </c>
      <c r="N70" s="8">
        <f t="shared" si="4"/>
        <v>0</v>
      </c>
      <c r="O70" s="8">
        <f t="shared" ref="O70:X70" si="60">IF(O31-$N31&gt;0, O31-$N31, 0)</f>
        <v>54368151.960000001</v>
      </c>
      <c r="P70" s="8">
        <f t="shared" si="60"/>
        <v>53508367.960000001</v>
      </c>
      <c r="Q70" s="8">
        <f t="shared" si="60"/>
        <v>37769143.960000001</v>
      </c>
      <c r="R70" s="8">
        <f t="shared" si="60"/>
        <v>118483995.95999999</v>
      </c>
      <c r="S70" s="8">
        <f t="shared" si="60"/>
        <v>97822939.959999993</v>
      </c>
      <c r="T70" s="8">
        <f t="shared" si="60"/>
        <v>91307979.959999993</v>
      </c>
      <c r="U70" s="8">
        <f t="shared" si="60"/>
        <v>90414859.959999993</v>
      </c>
      <c r="V70" s="8">
        <f t="shared" si="60"/>
        <v>83852835.959999993</v>
      </c>
      <c r="W70" s="8">
        <f t="shared" si="60"/>
        <v>70765595.959999993</v>
      </c>
      <c r="X70" s="8">
        <f t="shared" si="60"/>
        <v>91466219.959999993</v>
      </c>
      <c r="Y70" s="8">
        <f t="shared" ref="Y70:AI70" si="61">IF(Y31-$Y31&gt;0, Y31-$Y31, 0)</f>
        <v>0</v>
      </c>
      <c r="Z70" s="8">
        <f t="shared" si="61"/>
        <v>23968747.16</v>
      </c>
      <c r="AA70" s="8">
        <f t="shared" si="61"/>
        <v>19109339.16</v>
      </c>
      <c r="AB70" s="8">
        <f t="shared" si="61"/>
        <v>18158541.16</v>
      </c>
      <c r="AC70" s="8">
        <f t="shared" si="61"/>
        <v>51112481.159999996</v>
      </c>
      <c r="AD70" s="8">
        <f t="shared" si="61"/>
        <v>37514201.159999996</v>
      </c>
      <c r="AE70" s="8">
        <f t="shared" si="61"/>
        <v>34283233.159999996</v>
      </c>
      <c r="AF70" s="8">
        <f t="shared" si="61"/>
        <v>37220217.159999996</v>
      </c>
      <c r="AG70" s="8">
        <f t="shared" si="61"/>
        <v>36497561.159999996</v>
      </c>
      <c r="AH70" s="8">
        <f t="shared" si="61"/>
        <v>35168201.159999996</v>
      </c>
      <c r="AI70" s="8">
        <f t="shared" si="61"/>
        <v>40910233.159999996</v>
      </c>
      <c r="AJ70" s="4">
        <v>33158598</v>
      </c>
      <c r="AK70" s="4">
        <v>23397942</v>
      </c>
      <c r="AL70" s="4">
        <v>24147736</v>
      </c>
      <c r="AM70" s="4">
        <v>38527436</v>
      </c>
      <c r="AN70" s="4">
        <v>40635752</v>
      </c>
      <c r="AO70" s="4">
        <v>40144220</v>
      </c>
      <c r="AP70" s="4">
        <v>10199889</v>
      </c>
      <c r="AQ70" s="4">
        <v>5972576.5</v>
      </c>
      <c r="AR70" s="4">
        <v>6074510.5</v>
      </c>
      <c r="AS70" s="4">
        <v>4646716</v>
      </c>
    </row>
    <row r="71" spans="1:45" x14ac:dyDescent="0.2">
      <c r="A71" s="2" t="s">
        <v>45</v>
      </c>
      <c r="B71" s="2" t="s">
        <v>69</v>
      </c>
      <c r="C71" s="2" t="s">
        <v>61</v>
      </c>
      <c r="D71" s="4">
        <f t="shared" si="3"/>
        <v>64829408</v>
      </c>
      <c r="E71" s="4">
        <f t="shared" si="53"/>
        <v>86125992</v>
      </c>
      <c r="F71" s="4">
        <f t="shared" si="53"/>
        <v>80409720</v>
      </c>
      <c r="G71" s="4">
        <f t="shared" si="53"/>
        <v>53774844</v>
      </c>
      <c r="H71" s="4">
        <f t="shared" si="53"/>
        <v>51369152</v>
      </c>
      <c r="I71" s="4">
        <f t="shared" si="53"/>
        <v>62067836</v>
      </c>
      <c r="J71" s="4">
        <f t="shared" si="53"/>
        <v>115092888</v>
      </c>
      <c r="K71" s="4">
        <f t="shared" si="53"/>
        <v>38096192</v>
      </c>
      <c r="L71" s="4">
        <f t="shared" si="53"/>
        <v>65512768</v>
      </c>
      <c r="M71" s="4">
        <f t="shared" si="53"/>
        <v>49002268</v>
      </c>
      <c r="N71" s="8">
        <f t="shared" si="4"/>
        <v>0</v>
      </c>
      <c r="O71" s="8">
        <f t="shared" ref="O71:X71" si="62">IF(O32-$N32&gt;0, O32-$N32, 0)</f>
        <v>0</v>
      </c>
      <c r="P71" s="8">
        <f t="shared" si="62"/>
        <v>1888.14</v>
      </c>
      <c r="Q71" s="8">
        <f t="shared" si="62"/>
        <v>0</v>
      </c>
      <c r="R71" s="8">
        <f t="shared" si="62"/>
        <v>0</v>
      </c>
      <c r="S71" s="8">
        <f t="shared" si="62"/>
        <v>1714.61</v>
      </c>
      <c r="T71" s="8">
        <f t="shared" si="62"/>
        <v>0</v>
      </c>
      <c r="U71" s="8">
        <f t="shared" si="62"/>
        <v>1832.61</v>
      </c>
      <c r="V71" s="8">
        <f t="shared" si="62"/>
        <v>0</v>
      </c>
      <c r="W71" s="8">
        <f t="shared" si="62"/>
        <v>0</v>
      </c>
      <c r="X71" s="8">
        <f t="shared" si="62"/>
        <v>0</v>
      </c>
      <c r="Y71" s="8">
        <f t="shared" ref="Y71:AI71" si="63">IF(Y32-$Y32&gt;0, Y32-$Y32, 0)</f>
        <v>0</v>
      </c>
      <c r="Z71" s="8">
        <f t="shared" si="63"/>
        <v>0</v>
      </c>
      <c r="AA71" s="8">
        <f t="shared" si="63"/>
        <v>0</v>
      </c>
      <c r="AB71" s="8">
        <f t="shared" si="63"/>
        <v>0</v>
      </c>
      <c r="AC71" s="8">
        <f t="shared" si="63"/>
        <v>644.98999999999978</v>
      </c>
      <c r="AD71" s="8">
        <f t="shared" si="63"/>
        <v>0</v>
      </c>
      <c r="AE71" s="8">
        <f t="shared" si="63"/>
        <v>0</v>
      </c>
      <c r="AF71" s="8">
        <f t="shared" si="63"/>
        <v>1466.9499999999998</v>
      </c>
      <c r="AG71" s="8">
        <f t="shared" si="63"/>
        <v>1839.4699999999998</v>
      </c>
      <c r="AH71" s="8">
        <f t="shared" si="63"/>
        <v>0</v>
      </c>
      <c r="AI71" s="8">
        <f t="shared" si="63"/>
        <v>0</v>
      </c>
      <c r="AJ71" s="4">
        <v>39001404</v>
      </c>
      <c r="AK71" s="4">
        <v>44581844</v>
      </c>
      <c r="AL71" s="4">
        <v>32825650</v>
      </c>
      <c r="AM71" s="4">
        <v>45898944</v>
      </c>
      <c r="AN71" s="4">
        <v>37858708</v>
      </c>
      <c r="AO71" s="4">
        <v>41286180</v>
      </c>
      <c r="AP71" s="4">
        <v>39993060</v>
      </c>
      <c r="AQ71" s="4">
        <v>38107760</v>
      </c>
      <c r="AR71" s="4">
        <v>32415906</v>
      </c>
      <c r="AS71" s="4">
        <v>32517286</v>
      </c>
    </row>
    <row r="72" spans="1:45" x14ac:dyDescent="0.2">
      <c r="A72" s="2" t="s">
        <v>47</v>
      </c>
      <c r="B72" s="2" t="s">
        <v>69</v>
      </c>
      <c r="C72" s="2" t="s">
        <v>61</v>
      </c>
      <c r="D72" s="4">
        <f t="shared" si="3"/>
        <v>4306532</v>
      </c>
      <c r="E72" s="4">
        <f t="shared" si="53"/>
        <v>5839169.5</v>
      </c>
      <c r="F72" s="4">
        <f t="shared" si="53"/>
        <v>5608881.5</v>
      </c>
      <c r="G72" s="4">
        <f t="shared" si="53"/>
        <v>4259379.5</v>
      </c>
      <c r="H72" s="4">
        <f t="shared" si="53"/>
        <v>4017969.25</v>
      </c>
      <c r="I72" s="4">
        <f t="shared" si="53"/>
        <v>4997995.5</v>
      </c>
      <c r="J72" s="4">
        <f t="shared" si="53"/>
        <v>8012206</v>
      </c>
      <c r="K72" s="4">
        <f t="shared" si="53"/>
        <v>2443530.25</v>
      </c>
      <c r="L72" s="4">
        <f t="shared" si="53"/>
        <v>4096101.25</v>
      </c>
      <c r="M72" s="4">
        <f t="shared" si="53"/>
        <v>3168370.25</v>
      </c>
      <c r="N72" s="8">
        <f t="shared" si="4"/>
        <v>0</v>
      </c>
      <c r="O72" s="8">
        <f t="shared" ref="O72:X72" si="64">IF(O33-$N33&gt;0, O33-$N33, 0)</f>
        <v>0</v>
      </c>
      <c r="P72" s="8">
        <f t="shared" si="64"/>
        <v>0</v>
      </c>
      <c r="Q72" s="8">
        <f t="shared" si="64"/>
        <v>0</v>
      </c>
      <c r="R72" s="8">
        <f t="shared" si="64"/>
        <v>0</v>
      </c>
      <c r="S72" s="8">
        <f t="shared" si="64"/>
        <v>0</v>
      </c>
      <c r="T72" s="8">
        <f t="shared" si="64"/>
        <v>0</v>
      </c>
      <c r="U72" s="8">
        <f t="shared" si="64"/>
        <v>0</v>
      </c>
      <c r="V72" s="8">
        <f t="shared" si="64"/>
        <v>0</v>
      </c>
      <c r="W72" s="8">
        <f t="shared" si="64"/>
        <v>0</v>
      </c>
      <c r="X72" s="8">
        <f t="shared" si="64"/>
        <v>0</v>
      </c>
      <c r="Y72" s="8">
        <f t="shared" ref="Y72:AI72" si="65">IF(Y33-$Y33&gt;0, Y33-$Y33, 0)</f>
        <v>0</v>
      </c>
      <c r="Z72" s="8">
        <f t="shared" si="65"/>
        <v>0</v>
      </c>
      <c r="AA72" s="8">
        <f t="shared" si="65"/>
        <v>0</v>
      </c>
      <c r="AB72" s="8">
        <f t="shared" si="65"/>
        <v>0</v>
      </c>
      <c r="AC72" s="8">
        <f t="shared" si="65"/>
        <v>0</v>
      </c>
      <c r="AD72" s="8">
        <f t="shared" si="65"/>
        <v>0</v>
      </c>
      <c r="AE72" s="8">
        <f t="shared" si="65"/>
        <v>0</v>
      </c>
      <c r="AF72" s="8">
        <f t="shared" si="65"/>
        <v>0</v>
      </c>
      <c r="AG72" s="8">
        <f t="shared" si="65"/>
        <v>0</v>
      </c>
      <c r="AH72" s="8">
        <f t="shared" si="65"/>
        <v>0</v>
      </c>
      <c r="AI72" s="8">
        <f t="shared" si="65"/>
        <v>0</v>
      </c>
      <c r="AJ72" s="4">
        <v>2631431.75</v>
      </c>
      <c r="AK72" s="4">
        <v>3069223</v>
      </c>
      <c r="AL72" s="4">
        <v>2248599.25</v>
      </c>
      <c r="AM72" s="4">
        <v>3580745</v>
      </c>
      <c r="AN72" s="4">
        <v>2992773.75</v>
      </c>
      <c r="AO72" s="4">
        <v>3330026</v>
      </c>
      <c r="AP72" s="4">
        <v>2914404</v>
      </c>
      <c r="AQ72" s="4">
        <v>2678655</v>
      </c>
      <c r="AR72" s="4">
        <v>2296285</v>
      </c>
      <c r="AS72" s="4">
        <v>2194601</v>
      </c>
    </row>
    <row r="73" spans="1:45" x14ac:dyDescent="0.2">
      <c r="A73" s="2" t="s">
        <v>48</v>
      </c>
      <c r="B73" s="2" t="s">
        <v>69</v>
      </c>
      <c r="C73" s="2" t="s">
        <v>61</v>
      </c>
      <c r="D73" s="4">
        <f t="shared" si="3"/>
        <v>1051416.3799999999</v>
      </c>
      <c r="E73" s="4">
        <f t="shared" si="53"/>
        <v>1423184.5</v>
      </c>
      <c r="F73" s="4">
        <f t="shared" si="53"/>
        <v>1434533.12</v>
      </c>
      <c r="G73" s="4">
        <f t="shared" si="53"/>
        <v>1636451</v>
      </c>
      <c r="H73" s="4">
        <f t="shared" si="53"/>
        <v>1329289.5</v>
      </c>
      <c r="I73" s="4">
        <f t="shared" si="53"/>
        <v>1834748.5</v>
      </c>
      <c r="J73" s="4">
        <f t="shared" si="53"/>
        <v>1424948.38</v>
      </c>
      <c r="K73" s="4">
        <f t="shared" si="53"/>
        <v>269737.15999999997</v>
      </c>
      <c r="L73" s="4">
        <f t="shared" si="53"/>
        <v>504201.75</v>
      </c>
      <c r="M73" s="4">
        <f t="shared" si="53"/>
        <v>406016.5</v>
      </c>
      <c r="N73" s="8">
        <f t="shared" si="4"/>
        <v>0</v>
      </c>
      <c r="O73" s="8">
        <f t="shared" ref="O73:X73" si="66">IF(O34-$N34&gt;0, O34-$N34, 0)</f>
        <v>0</v>
      </c>
      <c r="P73" s="8">
        <f t="shared" si="66"/>
        <v>0</v>
      </c>
      <c r="Q73" s="8">
        <f t="shared" si="66"/>
        <v>0</v>
      </c>
      <c r="R73" s="8">
        <f t="shared" si="66"/>
        <v>0</v>
      </c>
      <c r="S73" s="8">
        <f t="shared" si="66"/>
        <v>0</v>
      </c>
      <c r="T73" s="8">
        <f t="shared" si="66"/>
        <v>0</v>
      </c>
      <c r="U73" s="8">
        <f t="shared" si="66"/>
        <v>0</v>
      </c>
      <c r="V73" s="8">
        <f t="shared" si="66"/>
        <v>0</v>
      </c>
      <c r="W73" s="8">
        <f t="shared" si="66"/>
        <v>0</v>
      </c>
      <c r="X73" s="8">
        <f t="shared" si="66"/>
        <v>0</v>
      </c>
      <c r="Y73" s="8">
        <f t="shared" ref="Y73:AI73" si="67">IF(Y34-$Y34&gt;0, Y34-$Y34, 0)</f>
        <v>0</v>
      </c>
      <c r="Z73" s="8">
        <f t="shared" si="67"/>
        <v>0</v>
      </c>
      <c r="AA73" s="8">
        <f t="shared" si="67"/>
        <v>0</v>
      </c>
      <c r="AB73" s="8">
        <f t="shared" si="67"/>
        <v>0</v>
      </c>
      <c r="AC73" s="8">
        <f t="shared" si="67"/>
        <v>0</v>
      </c>
      <c r="AD73" s="8">
        <f t="shared" si="67"/>
        <v>0</v>
      </c>
      <c r="AE73" s="8">
        <f t="shared" si="67"/>
        <v>0</v>
      </c>
      <c r="AF73" s="8">
        <f t="shared" si="67"/>
        <v>0</v>
      </c>
      <c r="AG73" s="8">
        <f t="shared" si="67"/>
        <v>0</v>
      </c>
      <c r="AH73" s="8">
        <f t="shared" si="67"/>
        <v>0</v>
      </c>
      <c r="AI73" s="8">
        <f t="shared" si="67"/>
        <v>0</v>
      </c>
      <c r="AJ73" s="4">
        <v>571562.56000000006</v>
      </c>
      <c r="AK73" s="4">
        <v>651864.68999999994</v>
      </c>
      <c r="AL73" s="4">
        <v>522576</v>
      </c>
      <c r="AM73" s="4">
        <v>1157385.1200000001</v>
      </c>
      <c r="AN73" s="4">
        <v>961215.19</v>
      </c>
      <c r="AO73" s="4">
        <v>1106276.25</v>
      </c>
      <c r="AP73" s="4">
        <v>599812.93999999994</v>
      </c>
      <c r="AQ73" s="4">
        <v>432208.97</v>
      </c>
      <c r="AR73" s="4">
        <v>410901.53</v>
      </c>
      <c r="AS73" s="4">
        <v>443441.47</v>
      </c>
    </row>
    <row r="74" spans="1:45" x14ac:dyDescent="0.2">
      <c r="A74" s="2" t="s">
        <v>49</v>
      </c>
      <c r="B74" s="2" t="s">
        <v>69</v>
      </c>
      <c r="C74" s="2" t="s">
        <v>61</v>
      </c>
      <c r="D74" s="4">
        <f t="shared" si="3"/>
        <v>52157.71</v>
      </c>
      <c r="E74" s="4">
        <f t="shared" si="53"/>
        <v>61247.040000000001</v>
      </c>
      <c r="F74" s="4">
        <f t="shared" si="53"/>
        <v>57340.7</v>
      </c>
      <c r="G74" s="4">
        <f t="shared" si="53"/>
        <v>106332.34</v>
      </c>
      <c r="H74" s="4">
        <f t="shared" si="53"/>
        <v>62911.16</v>
      </c>
      <c r="I74" s="4">
        <f t="shared" si="53"/>
        <v>97366.84</v>
      </c>
      <c r="J74" s="4">
        <f t="shared" si="53"/>
        <v>66344.83</v>
      </c>
      <c r="K74" s="4">
        <f t="shared" si="53"/>
        <v>8873.4599999999991</v>
      </c>
      <c r="L74" s="4">
        <f t="shared" si="53"/>
        <v>19446.900000000001</v>
      </c>
      <c r="M74" s="4">
        <f t="shared" si="53"/>
        <v>13751.59</v>
      </c>
      <c r="N74" s="8">
        <f t="shared" si="4"/>
        <v>0</v>
      </c>
      <c r="O74" s="8">
        <f t="shared" ref="O74:X74" si="68">IF(O35-$N35&gt;0, O35-$N35, 0)</f>
        <v>0</v>
      </c>
      <c r="P74" s="8">
        <f t="shared" si="68"/>
        <v>0</v>
      </c>
      <c r="Q74" s="8">
        <f t="shared" si="68"/>
        <v>0</v>
      </c>
      <c r="R74" s="8">
        <f t="shared" si="68"/>
        <v>0</v>
      </c>
      <c r="S74" s="8">
        <f t="shared" si="68"/>
        <v>0</v>
      </c>
      <c r="T74" s="8">
        <f t="shared" si="68"/>
        <v>0</v>
      </c>
      <c r="U74" s="8">
        <f t="shared" si="68"/>
        <v>0</v>
      </c>
      <c r="V74" s="8">
        <f t="shared" si="68"/>
        <v>0</v>
      </c>
      <c r="W74" s="8">
        <f t="shared" si="68"/>
        <v>0</v>
      </c>
      <c r="X74" s="8">
        <f t="shared" si="68"/>
        <v>0</v>
      </c>
      <c r="Y74" s="8">
        <f t="shared" ref="Y74:AI74" si="69">IF(Y35-$Y35&gt;0, Y35-$Y35, 0)</f>
        <v>0</v>
      </c>
      <c r="Z74" s="8">
        <f t="shared" si="69"/>
        <v>0</v>
      </c>
      <c r="AA74" s="8">
        <f t="shared" si="69"/>
        <v>0</v>
      </c>
      <c r="AB74" s="8">
        <f t="shared" si="69"/>
        <v>0</v>
      </c>
      <c r="AC74" s="8">
        <f t="shared" si="69"/>
        <v>0</v>
      </c>
      <c r="AD74" s="8">
        <f t="shared" si="69"/>
        <v>0</v>
      </c>
      <c r="AE74" s="8">
        <f t="shared" si="69"/>
        <v>0</v>
      </c>
      <c r="AF74" s="8">
        <f t="shared" si="69"/>
        <v>0</v>
      </c>
      <c r="AG74" s="8">
        <f t="shared" si="69"/>
        <v>0</v>
      </c>
      <c r="AH74" s="8">
        <f t="shared" si="69"/>
        <v>0</v>
      </c>
      <c r="AI74" s="8">
        <f t="shared" si="69"/>
        <v>0</v>
      </c>
      <c r="AJ74" s="4">
        <v>24182.16</v>
      </c>
      <c r="AK74" s="4">
        <v>30920.16</v>
      </c>
      <c r="AL74" s="4">
        <v>21425.39</v>
      </c>
      <c r="AM74" s="4">
        <v>60734.21</v>
      </c>
      <c r="AN74" s="4">
        <v>59564.27</v>
      </c>
      <c r="AO74" s="4">
        <v>50091.88</v>
      </c>
      <c r="AP74" s="4">
        <v>27164.51</v>
      </c>
      <c r="AQ74" s="4">
        <v>19449.95</v>
      </c>
      <c r="AR74" s="4">
        <v>19144.29</v>
      </c>
      <c r="AS74" s="4">
        <v>20379.009999999998</v>
      </c>
    </row>
    <row r="75" spans="1:45" x14ac:dyDescent="0.2">
      <c r="A75" s="2" t="s">
        <v>62</v>
      </c>
      <c r="B75" s="2" t="s">
        <v>69</v>
      </c>
      <c r="C75" s="2" t="s">
        <v>61</v>
      </c>
      <c r="D75" s="4">
        <f t="shared" si="3"/>
        <v>0</v>
      </c>
      <c r="E75" s="4">
        <f t="shared" si="53"/>
        <v>0</v>
      </c>
      <c r="F75" s="4">
        <f t="shared" si="53"/>
        <v>0</v>
      </c>
      <c r="G75" s="4">
        <f t="shared" si="53"/>
        <v>4261.93</v>
      </c>
      <c r="H75" s="4">
        <f t="shared" si="53"/>
        <v>1711.42</v>
      </c>
      <c r="I75" s="4">
        <f t="shared" si="53"/>
        <v>3968.39</v>
      </c>
      <c r="J75" s="4">
        <f t="shared" si="53"/>
        <v>0</v>
      </c>
      <c r="K75" s="4">
        <f t="shared" si="53"/>
        <v>0</v>
      </c>
      <c r="L75" s="4">
        <f t="shared" si="53"/>
        <v>0</v>
      </c>
      <c r="M75" s="4">
        <f t="shared" si="53"/>
        <v>0</v>
      </c>
      <c r="N75" s="8">
        <f t="shared" si="4"/>
        <v>0</v>
      </c>
      <c r="O75" s="8">
        <f t="shared" ref="O75:X75" si="70">IF(O36-$N36&gt;0, O36-$N36, 0)</f>
        <v>0</v>
      </c>
      <c r="P75" s="8">
        <f t="shared" si="70"/>
        <v>0</v>
      </c>
      <c r="Q75" s="8">
        <f t="shared" si="70"/>
        <v>0</v>
      </c>
      <c r="R75" s="8">
        <f t="shared" si="70"/>
        <v>0</v>
      </c>
      <c r="S75" s="8">
        <f t="shared" si="70"/>
        <v>0</v>
      </c>
      <c r="T75" s="8">
        <f t="shared" si="70"/>
        <v>0</v>
      </c>
      <c r="U75" s="8">
        <f t="shared" si="70"/>
        <v>0</v>
      </c>
      <c r="V75" s="8">
        <f t="shared" si="70"/>
        <v>0</v>
      </c>
      <c r="W75" s="8">
        <f t="shared" si="70"/>
        <v>0</v>
      </c>
      <c r="X75" s="8">
        <f t="shared" si="70"/>
        <v>0</v>
      </c>
      <c r="Y75" s="8">
        <f t="shared" ref="Y75:AI75" si="71">IF(Y36-$Y36&gt;0, Y36-$Y36, 0)</f>
        <v>0</v>
      </c>
      <c r="Z75" s="8">
        <f t="shared" si="71"/>
        <v>0</v>
      </c>
      <c r="AA75" s="8">
        <f t="shared" si="71"/>
        <v>0</v>
      </c>
      <c r="AB75" s="8">
        <f t="shared" si="71"/>
        <v>0</v>
      </c>
      <c r="AC75" s="8">
        <f t="shared" si="71"/>
        <v>0</v>
      </c>
      <c r="AD75" s="8">
        <f t="shared" si="71"/>
        <v>0</v>
      </c>
      <c r="AE75" s="8">
        <f t="shared" si="71"/>
        <v>0</v>
      </c>
      <c r="AF75" s="8">
        <f t="shared" si="71"/>
        <v>0</v>
      </c>
      <c r="AG75" s="8">
        <f t="shared" si="71"/>
        <v>0</v>
      </c>
      <c r="AH75" s="8">
        <f t="shared" si="71"/>
        <v>0</v>
      </c>
      <c r="AI75" s="8">
        <f t="shared" si="71"/>
        <v>0</v>
      </c>
      <c r="AJ75" s="4">
        <v>0</v>
      </c>
      <c r="AK75" s="4">
        <v>0</v>
      </c>
      <c r="AL75" s="4">
        <v>0</v>
      </c>
      <c r="AM75" s="4">
        <v>3839.01</v>
      </c>
      <c r="AN75" s="4">
        <v>3675.58</v>
      </c>
      <c r="AO75" s="4">
        <v>4537.07</v>
      </c>
      <c r="AP75" s="4">
        <v>1556.06</v>
      </c>
      <c r="AQ75" s="4">
        <v>0</v>
      </c>
      <c r="AR75" s="4">
        <v>0</v>
      </c>
      <c r="AS75" s="4">
        <v>0</v>
      </c>
    </row>
  </sheetData>
  <mergeCells count="2">
    <mergeCell ref="A1:B1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3CAD0-F194-3C47-B799-06A0D66CC1B5}">
  <dimension ref="A1:N35"/>
  <sheetViews>
    <sheetView zoomScale="136" workbookViewId="0">
      <selection activeCell="P8" sqref="P8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s="29" t="s">
        <v>99</v>
      </c>
    </row>
    <row r="2" spans="1:14" s="6" customFormat="1" x14ac:dyDescent="0.2">
      <c r="A2" s="6" t="s">
        <v>45</v>
      </c>
      <c r="B2" s="6" t="s">
        <v>63</v>
      </c>
      <c r="C2" s="6" t="s">
        <v>46</v>
      </c>
      <c r="D2" s="6">
        <v>79506712</v>
      </c>
      <c r="E2" s="6">
        <v>84475528</v>
      </c>
      <c r="F2" s="6">
        <v>75176600</v>
      </c>
      <c r="G2" s="6">
        <v>72385096</v>
      </c>
      <c r="H2" s="6">
        <v>69935080</v>
      </c>
      <c r="I2" s="6">
        <v>66543372</v>
      </c>
      <c r="J2" s="6">
        <v>67310600</v>
      </c>
      <c r="K2" s="6">
        <v>69869552</v>
      </c>
      <c r="L2" s="6">
        <v>67869728</v>
      </c>
      <c r="M2" s="6">
        <v>72922552</v>
      </c>
      <c r="N2" s="6">
        <v>1</v>
      </c>
    </row>
    <row r="3" spans="1:14" x14ac:dyDescent="0.2">
      <c r="A3" t="s">
        <v>47</v>
      </c>
      <c r="B3" t="s">
        <v>63</v>
      </c>
      <c r="C3" t="s">
        <v>46</v>
      </c>
      <c r="D3">
        <v>5846736</v>
      </c>
      <c r="E3">
        <v>6368306.5</v>
      </c>
      <c r="F3">
        <v>5614794</v>
      </c>
      <c r="G3">
        <v>6056325.5</v>
      </c>
      <c r="H3">
        <v>5781574.5</v>
      </c>
      <c r="I3">
        <v>5681800</v>
      </c>
      <c r="J3">
        <v>5047335.5</v>
      </c>
      <c r="K3">
        <v>4991238.5</v>
      </c>
      <c r="L3">
        <v>4872245.5</v>
      </c>
      <c r="M3">
        <v>5216491.5</v>
      </c>
      <c r="N3">
        <v>0</v>
      </c>
    </row>
    <row r="4" spans="1:14" x14ac:dyDescent="0.2">
      <c r="A4" t="s">
        <v>48</v>
      </c>
      <c r="B4" t="s">
        <v>63</v>
      </c>
      <c r="C4" t="s">
        <v>46</v>
      </c>
      <c r="D4">
        <v>209571.61</v>
      </c>
      <c r="E4">
        <v>250387.62</v>
      </c>
      <c r="F4">
        <v>286856.46999999997</v>
      </c>
      <c r="G4">
        <v>457353.34</v>
      </c>
      <c r="H4">
        <v>441494.03</v>
      </c>
      <c r="I4">
        <v>466690.41</v>
      </c>
      <c r="J4">
        <v>202336.62</v>
      </c>
      <c r="K4">
        <v>127440.46</v>
      </c>
      <c r="L4">
        <v>171935.97</v>
      </c>
      <c r="M4">
        <v>165445.44</v>
      </c>
      <c r="N4">
        <v>0</v>
      </c>
    </row>
    <row r="5" spans="1:14" x14ac:dyDescent="0.2">
      <c r="A5" t="s">
        <v>49</v>
      </c>
      <c r="B5" t="s">
        <v>63</v>
      </c>
      <c r="C5" t="s">
        <v>46</v>
      </c>
      <c r="D5">
        <v>0</v>
      </c>
      <c r="E5">
        <v>0</v>
      </c>
      <c r="F5">
        <v>5768.41</v>
      </c>
      <c r="G5">
        <v>23897.27</v>
      </c>
      <c r="H5">
        <v>23056.49</v>
      </c>
      <c r="I5">
        <v>26179.93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s="6" customFormat="1" x14ac:dyDescent="0.2">
      <c r="A6" s="6" t="s">
        <v>45</v>
      </c>
      <c r="B6" s="6" t="s">
        <v>64</v>
      </c>
      <c r="C6" s="6" t="s">
        <v>50</v>
      </c>
      <c r="D6" s="6">
        <v>22780394</v>
      </c>
      <c r="E6" s="6">
        <v>15735557</v>
      </c>
      <c r="F6" s="6">
        <v>20986290</v>
      </c>
      <c r="G6" s="6">
        <v>7215432</v>
      </c>
      <c r="H6" s="6">
        <v>8460068</v>
      </c>
      <c r="I6" s="6">
        <v>12972547</v>
      </c>
      <c r="J6" s="6">
        <v>8384543.5</v>
      </c>
      <c r="K6" s="6">
        <v>10766169</v>
      </c>
      <c r="L6" s="6">
        <v>16043171</v>
      </c>
      <c r="M6" s="6">
        <v>14139264</v>
      </c>
      <c r="N6" s="6">
        <v>1</v>
      </c>
    </row>
    <row r="7" spans="1:14" x14ac:dyDescent="0.2">
      <c r="A7" t="s">
        <v>47</v>
      </c>
      <c r="B7" t="s">
        <v>64</v>
      </c>
      <c r="C7" t="s">
        <v>50</v>
      </c>
      <c r="D7">
        <v>879901.69</v>
      </c>
      <c r="E7">
        <v>610948.75</v>
      </c>
      <c r="F7">
        <v>769403</v>
      </c>
      <c r="G7">
        <v>287305.96999999997</v>
      </c>
      <c r="H7">
        <v>356262.78</v>
      </c>
      <c r="I7">
        <v>542922</v>
      </c>
      <c r="J7">
        <v>318845.94</v>
      </c>
      <c r="K7">
        <v>394765.12</v>
      </c>
      <c r="L7">
        <v>606470.43999999994</v>
      </c>
      <c r="M7">
        <v>533159</v>
      </c>
      <c r="N7">
        <v>0</v>
      </c>
    </row>
    <row r="8" spans="1:14" x14ac:dyDescent="0.2">
      <c r="A8" t="s">
        <v>48</v>
      </c>
      <c r="B8" t="s">
        <v>64</v>
      </c>
      <c r="C8" t="s">
        <v>50</v>
      </c>
      <c r="D8">
        <v>19725.080000000002</v>
      </c>
      <c r="E8">
        <v>18046.75</v>
      </c>
      <c r="F8">
        <v>21681.29</v>
      </c>
      <c r="G8">
        <v>11981.64</v>
      </c>
      <c r="H8">
        <v>15600.53</v>
      </c>
      <c r="I8">
        <v>26248.28</v>
      </c>
      <c r="J8">
        <v>9391.93</v>
      </c>
      <c r="K8">
        <v>13126.57</v>
      </c>
      <c r="L8">
        <v>16069.48</v>
      </c>
      <c r="M8">
        <v>14566.38</v>
      </c>
      <c r="N8">
        <v>0</v>
      </c>
    </row>
    <row r="9" spans="1:14" s="6" customFormat="1" x14ac:dyDescent="0.2">
      <c r="A9" s="6" t="s">
        <v>45</v>
      </c>
      <c r="B9" s="6" t="s">
        <v>65</v>
      </c>
      <c r="C9" s="6" t="s">
        <v>51</v>
      </c>
      <c r="D9" s="6">
        <v>6365564</v>
      </c>
      <c r="E9" s="6">
        <v>6243784.5</v>
      </c>
      <c r="F9" s="6">
        <v>5560335</v>
      </c>
      <c r="G9" s="6">
        <v>5862104.5</v>
      </c>
      <c r="H9" s="6">
        <v>6006816.5</v>
      </c>
      <c r="I9" s="6">
        <v>6028713.5</v>
      </c>
      <c r="J9" s="6">
        <v>5843689.5</v>
      </c>
      <c r="K9" s="6">
        <v>5140879.5</v>
      </c>
      <c r="L9" s="6">
        <v>6047351.5</v>
      </c>
      <c r="M9" s="6">
        <v>4568710.5</v>
      </c>
      <c r="N9">
        <v>0</v>
      </c>
    </row>
    <row r="10" spans="1:14" x14ac:dyDescent="0.2">
      <c r="A10" t="s">
        <v>48</v>
      </c>
      <c r="B10" t="s">
        <v>65</v>
      </c>
      <c r="C10" t="s">
        <v>51</v>
      </c>
      <c r="D10">
        <v>1792.24</v>
      </c>
      <c r="E10">
        <v>6662</v>
      </c>
      <c r="F10">
        <v>5199.46</v>
      </c>
      <c r="G10">
        <v>8407.65</v>
      </c>
      <c r="H10">
        <v>12165.43</v>
      </c>
      <c r="I10">
        <v>10578.9</v>
      </c>
      <c r="J10">
        <v>4741.17</v>
      </c>
      <c r="K10">
        <v>2473.23</v>
      </c>
      <c r="L10">
        <v>2578.29</v>
      </c>
      <c r="M10">
        <v>3815.5</v>
      </c>
      <c r="N10">
        <v>0</v>
      </c>
    </row>
    <row r="11" spans="1:14" x14ac:dyDescent="0.2">
      <c r="A11" t="s">
        <v>49</v>
      </c>
      <c r="B11" t="s">
        <v>65</v>
      </c>
      <c r="C11" t="s">
        <v>51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s="6" customFormat="1" x14ac:dyDescent="0.2">
      <c r="A12" s="6" t="s">
        <v>45</v>
      </c>
      <c r="B12" s="6" t="s">
        <v>66</v>
      </c>
      <c r="C12" s="6" t="s">
        <v>52</v>
      </c>
      <c r="D12" s="6">
        <v>621007808</v>
      </c>
      <c r="E12" s="6">
        <v>461457920</v>
      </c>
      <c r="F12" s="6">
        <v>442642688</v>
      </c>
      <c r="G12" s="6">
        <v>467215456</v>
      </c>
      <c r="H12" s="6">
        <v>435059552</v>
      </c>
      <c r="I12" s="6">
        <v>442564576</v>
      </c>
      <c r="J12" s="6">
        <v>336173664</v>
      </c>
      <c r="K12" s="6">
        <v>390046496</v>
      </c>
      <c r="L12" s="6">
        <v>478988448</v>
      </c>
      <c r="M12" s="6">
        <v>419000928</v>
      </c>
      <c r="N12" s="6">
        <v>1</v>
      </c>
    </row>
    <row r="13" spans="1:14" x14ac:dyDescent="0.2">
      <c r="A13" t="s">
        <v>47</v>
      </c>
      <c r="B13" t="s">
        <v>66</v>
      </c>
      <c r="C13" t="s">
        <v>52</v>
      </c>
      <c r="D13">
        <v>23724318</v>
      </c>
      <c r="E13">
        <v>17299230</v>
      </c>
      <c r="F13">
        <v>17300686</v>
      </c>
      <c r="G13">
        <v>19080106</v>
      </c>
      <c r="H13">
        <v>18490120</v>
      </c>
      <c r="I13">
        <v>18665694</v>
      </c>
      <c r="J13">
        <v>13350461</v>
      </c>
      <c r="K13">
        <v>14612189</v>
      </c>
      <c r="L13">
        <v>18670554</v>
      </c>
      <c r="M13">
        <v>16148013</v>
      </c>
      <c r="N13">
        <v>0</v>
      </c>
    </row>
    <row r="14" spans="1:14" x14ac:dyDescent="0.2">
      <c r="A14" t="s">
        <v>48</v>
      </c>
      <c r="B14" t="s">
        <v>66</v>
      </c>
      <c r="C14" t="s">
        <v>52</v>
      </c>
      <c r="D14">
        <v>704865.5</v>
      </c>
      <c r="E14">
        <v>488752.25</v>
      </c>
      <c r="F14">
        <v>613289.68999999994</v>
      </c>
      <c r="G14">
        <v>1053149.1200000001</v>
      </c>
      <c r="H14">
        <v>998907</v>
      </c>
      <c r="I14">
        <v>1199085</v>
      </c>
      <c r="J14">
        <v>415149.28</v>
      </c>
      <c r="K14">
        <v>402354.34</v>
      </c>
      <c r="L14">
        <v>568723.93999999994</v>
      </c>
      <c r="M14">
        <v>475204.09</v>
      </c>
      <c r="N14">
        <v>0</v>
      </c>
    </row>
    <row r="15" spans="1:14" s="6" customFormat="1" x14ac:dyDescent="0.2">
      <c r="A15" s="6" t="s">
        <v>45</v>
      </c>
      <c r="B15" s="6" t="s">
        <v>67</v>
      </c>
      <c r="C15" s="6" t="s">
        <v>53</v>
      </c>
      <c r="D15" s="6">
        <v>5261842</v>
      </c>
      <c r="E15" s="6">
        <v>4939529.5</v>
      </c>
      <c r="F15" s="6">
        <v>4671320</v>
      </c>
      <c r="G15" s="6">
        <v>4849848</v>
      </c>
      <c r="H15" s="6">
        <v>4415084</v>
      </c>
      <c r="I15" s="6">
        <v>5384214</v>
      </c>
      <c r="J15" s="6">
        <v>2969164</v>
      </c>
      <c r="K15" s="6">
        <v>3224228.25</v>
      </c>
      <c r="L15" s="6">
        <v>4730502.5</v>
      </c>
      <c r="M15" s="6">
        <v>4055490.25</v>
      </c>
      <c r="N15" s="6">
        <v>1</v>
      </c>
    </row>
    <row r="16" spans="1:14" x14ac:dyDescent="0.2">
      <c r="A16" t="s">
        <v>47</v>
      </c>
      <c r="B16" t="s">
        <v>67</v>
      </c>
      <c r="C16" t="s">
        <v>53</v>
      </c>
      <c r="D16">
        <v>263512.84000000003</v>
      </c>
      <c r="E16">
        <v>260193.48</v>
      </c>
      <c r="F16">
        <v>243583.67</v>
      </c>
      <c r="G16">
        <v>311403.78000000003</v>
      </c>
      <c r="H16">
        <v>285973.15999999997</v>
      </c>
      <c r="I16">
        <v>341177.22</v>
      </c>
      <c r="J16">
        <v>152342.92000000001</v>
      </c>
      <c r="K16">
        <v>145027.45000000001</v>
      </c>
      <c r="L16">
        <v>208932.08</v>
      </c>
      <c r="M16">
        <v>186386.08</v>
      </c>
      <c r="N16">
        <v>0</v>
      </c>
    </row>
    <row r="17" spans="1:14" x14ac:dyDescent="0.2">
      <c r="A17" t="s">
        <v>48</v>
      </c>
      <c r="B17" t="s">
        <v>67</v>
      </c>
      <c r="C17" t="s">
        <v>53</v>
      </c>
      <c r="D17">
        <v>9937.94</v>
      </c>
      <c r="E17">
        <v>11175.48</v>
      </c>
      <c r="F17">
        <v>8925.82</v>
      </c>
      <c r="G17">
        <v>31023.42</v>
      </c>
      <c r="H17">
        <v>20162.310000000001</v>
      </c>
      <c r="I17">
        <v>41096.160000000003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49</v>
      </c>
      <c r="B18" t="s">
        <v>67</v>
      </c>
      <c r="C18" t="s">
        <v>53</v>
      </c>
      <c r="D18">
        <v>0</v>
      </c>
      <c r="E18">
        <v>0</v>
      </c>
      <c r="F18">
        <v>1800.09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s="6" customFormat="1" x14ac:dyDescent="0.2">
      <c r="A19" s="6" t="s">
        <v>45</v>
      </c>
      <c r="B19" s="6" t="s">
        <v>68</v>
      </c>
      <c r="C19" s="6" t="s">
        <v>54</v>
      </c>
      <c r="D19" s="6">
        <v>5871855.5</v>
      </c>
      <c r="E19" s="6">
        <v>3674603.25</v>
      </c>
      <c r="F19" s="6">
        <v>3745659.25</v>
      </c>
      <c r="G19" s="6">
        <v>4241352</v>
      </c>
      <c r="H19" s="6">
        <v>3934979.25</v>
      </c>
      <c r="I19" s="6">
        <v>5044231.5</v>
      </c>
      <c r="J19" s="6">
        <v>3083224</v>
      </c>
      <c r="K19" s="6">
        <v>2844653.25</v>
      </c>
      <c r="L19" s="6">
        <v>3796492.25</v>
      </c>
      <c r="M19" s="6">
        <v>2893014</v>
      </c>
      <c r="N19" s="6">
        <v>1</v>
      </c>
    </row>
    <row r="20" spans="1:14" x14ac:dyDescent="0.2">
      <c r="A20" t="s">
        <v>47</v>
      </c>
      <c r="B20" t="s">
        <v>68</v>
      </c>
      <c r="C20" t="s">
        <v>54</v>
      </c>
      <c r="D20">
        <v>343167.38</v>
      </c>
      <c r="E20">
        <v>214319.06</v>
      </c>
      <c r="F20">
        <v>219031.31</v>
      </c>
      <c r="G20">
        <v>283310.06</v>
      </c>
      <c r="H20">
        <v>250906.92</v>
      </c>
      <c r="I20">
        <v>348822.22</v>
      </c>
      <c r="J20">
        <v>168084</v>
      </c>
      <c r="K20">
        <v>153477.95000000001</v>
      </c>
      <c r="L20">
        <v>185727.02</v>
      </c>
      <c r="M20">
        <v>133183.75</v>
      </c>
      <c r="N20">
        <v>0</v>
      </c>
    </row>
    <row r="21" spans="1:14" x14ac:dyDescent="0.2">
      <c r="A21" t="s">
        <v>48</v>
      </c>
      <c r="B21" t="s">
        <v>68</v>
      </c>
      <c r="C21" t="s">
        <v>54</v>
      </c>
      <c r="D21">
        <v>50892.51</v>
      </c>
      <c r="E21">
        <v>29253.8</v>
      </c>
      <c r="F21">
        <v>30258.31</v>
      </c>
      <c r="G21">
        <v>59963.839999999997</v>
      </c>
      <c r="H21">
        <v>43688.73</v>
      </c>
      <c r="I21">
        <v>66193.95</v>
      </c>
      <c r="J21">
        <v>14865.29</v>
      </c>
      <c r="K21">
        <v>7214.85</v>
      </c>
      <c r="L21">
        <v>14343.62</v>
      </c>
      <c r="M21">
        <v>6352.44</v>
      </c>
      <c r="N21">
        <v>0</v>
      </c>
    </row>
    <row r="22" spans="1:14" x14ac:dyDescent="0.2">
      <c r="A22" t="s">
        <v>49</v>
      </c>
      <c r="B22" t="s">
        <v>68</v>
      </c>
      <c r="C22" t="s">
        <v>54</v>
      </c>
      <c r="D22">
        <v>0</v>
      </c>
      <c r="E22">
        <v>0</v>
      </c>
      <c r="F22">
        <v>0</v>
      </c>
      <c r="G22">
        <v>1174.71</v>
      </c>
      <c r="H22">
        <v>1243.57</v>
      </c>
      <c r="I22">
        <v>1584.95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s="6" customFormat="1" x14ac:dyDescent="0.2">
      <c r="A23" s="6" t="s">
        <v>45</v>
      </c>
      <c r="B23" s="6" t="s">
        <v>55</v>
      </c>
      <c r="C23" s="6" t="s">
        <v>56</v>
      </c>
      <c r="D23" s="6">
        <v>117034080</v>
      </c>
      <c r="E23" s="6">
        <v>110541120</v>
      </c>
      <c r="F23" s="6">
        <v>165520144</v>
      </c>
      <c r="G23" s="6">
        <v>251049936</v>
      </c>
      <c r="H23" s="6">
        <v>158978336</v>
      </c>
      <c r="I23" s="6">
        <v>179265904</v>
      </c>
      <c r="J23" s="6">
        <v>348057504</v>
      </c>
      <c r="K23" s="6">
        <v>227370192</v>
      </c>
      <c r="L23" s="6">
        <v>214501904</v>
      </c>
      <c r="M23" s="6">
        <v>141162368</v>
      </c>
      <c r="N23" s="6">
        <v>1</v>
      </c>
    </row>
    <row r="24" spans="1:14" x14ac:dyDescent="0.2">
      <c r="A24" t="s">
        <v>47</v>
      </c>
      <c r="B24" t="s">
        <v>55</v>
      </c>
      <c r="C24" t="s">
        <v>56</v>
      </c>
      <c r="D24">
        <v>22695800</v>
      </c>
      <c r="E24">
        <v>21410266</v>
      </c>
      <c r="F24">
        <v>32320584</v>
      </c>
      <c r="G24">
        <v>48305436</v>
      </c>
      <c r="H24">
        <v>30606402</v>
      </c>
      <c r="I24">
        <v>34254916</v>
      </c>
      <c r="J24">
        <v>67133024</v>
      </c>
      <c r="K24">
        <v>43007620</v>
      </c>
      <c r="L24">
        <v>41507144</v>
      </c>
      <c r="M24">
        <v>26511878</v>
      </c>
      <c r="N24">
        <v>0</v>
      </c>
    </row>
    <row r="25" spans="1:14" x14ac:dyDescent="0.2">
      <c r="A25" t="s">
        <v>48</v>
      </c>
      <c r="B25" t="s">
        <v>55</v>
      </c>
      <c r="C25" t="s">
        <v>56</v>
      </c>
      <c r="D25">
        <v>1144066.6200000001</v>
      </c>
      <c r="E25">
        <v>512789.25</v>
      </c>
      <c r="F25">
        <v>1567881.62</v>
      </c>
      <c r="G25">
        <v>1225227.6200000001</v>
      </c>
      <c r="H25">
        <v>1300179.1200000001</v>
      </c>
      <c r="I25">
        <v>712530.94</v>
      </c>
      <c r="J25">
        <v>3462104</v>
      </c>
      <c r="K25">
        <v>0</v>
      </c>
      <c r="L25">
        <v>1937885.12</v>
      </c>
      <c r="M25">
        <v>1412485.38</v>
      </c>
      <c r="N25">
        <v>0</v>
      </c>
    </row>
    <row r="26" spans="1:14" x14ac:dyDescent="0.2">
      <c r="A26" t="s">
        <v>49</v>
      </c>
      <c r="B26" t="s">
        <v>55</v>
      </c>
      <c r="C26" t="s">
        <v>56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57</v>
      </c>
      <c r="B27" t="s">
        <v>55</v>
      </c>
      <c r="C27" t="s">
        <v>56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58</v>
      </c>
      <c r="B28" t="s">
        <v>55</v>
      </c>
      <c r="C28" t="s">
        <v>56</v>
      </c>
      <c r="D28">
        <v>202238.3</v>
      </c>
      <c r="E28">
        <v>151297.01999999999</v>
      </c>
      <c r="F28">
        <v>168122.39</v>
      </c>
      <c r="G28">
        <v>273185.84000000003</v>
      </c>
      <c r="H28">
        <v>330889.34000000003</v>
      </c>
      <c r="I28">
        <v>299398.40999999997</v>
      </c>
      <c r="J28">
        <v>214367.14</v>
      </c>
      <c r="K28">
        <v>129618.85</v>
      </c>
      <c r="L28">
        <v>111401.46</v>
      </c>
      <c r="M28">
        <v>120405.07</v>
      </c>
      <c r="N28">
        <v>0</v>
      </c>
    </row>
    <row r="29" spans="1:14" x14ac:dyDescent="0.2">
      <c r="A29" t="s">
        <v>59</v>
      </c>
      <c r="B29" t="s">
        <v>55</v>
      </c>
      <c r="C29" t="s">
        <v>56</v>
      </c>
      <c r="D29">
        <v>1932223.62</v>
      </c>
      <c r="E29">
        <v>1310558.75</v>
      </c>
      <c r="F29">
        <v>1530410.88</v>
      </c>
      <c r="G29">
        <v>2043064.88</v>
      </c>
      <c r="H29">
        <v>2430819.5</v>
      </c>
      <c r="I29">
        <v>2456573.75</v>
      </c>
      <c r="J29">
        <v>581091.75</v>
      </c>
      <c r="K29">
        <v>350468.12</v>
      </c>
      <c r="L29">
        <v>376795.09</v>
      </c>
      <c r="M29">
        <v>256417.14</v>
      </c>
      <c r="N29">
        <v>0</v>
      </c>
    </row>
    <row r="30" spans="1:14" x14ac:dyDescent="0.2">
      <c r="A30" t="s">
        <v>60</v>
      </c>
      <c r="B30" t="s">
        <v>55</v>
      </c>
      <c r="C30" t="s">
        <v>56</v>
      </c>
      <c r="D30">
        <v>33158598</v>
      </c>
      <c r="E30">
        <v>23397942</v>
      </c>
      <c r="F30">
        <v>24147736</v>
      </c>
      <c r="G30">
        <v>38527436</v>
      </c>
      <c r="H30">
        <v>40635752</v>
      </c>
      <c r="I30">
        <v>40144220</v>
      </c>
      <c r="J30">
        <v>10199889</v>
      </c>
      <c r="K30">
        <v>5972576.5</v>
      </c>
      <c r="L30">
        <v>6074510.5</v>
      </c>
      <c r="M30">
        <v>4646716</v>
      </c>
      <c r="N30">
        <v>0</v>
      </c>
    </row>
    <row r="31" spans="1:14" s="6" customFormat="1" x14ac:dyDescent="0.2">
      <c r="A31" s="6" t="s">
        <v>45</v>
      </c>
      <c r="B31" s="6" t="s">
        <v>69</v>
      </c>
      <c r="C31" s="6" t="s">
        <v>61</v>
      </c>
      <c r="D31" s="6">
        <v>39001404</v>
      </c>
      <c r="E31" s="6">
        <v>44581844</v>
      </c>
      <c r="F31" s="6">
        <v>32825650</v>
      </c>
      <c r="G31" s="6">
        <v>45898944</v>
      </c>
      <c r="H31" s="6">
        <v>37858708</v>
      </c>
      <c r="I31" s="6">
        <v>41286180</v>
      </c>
      <c r="J31" s="6">
        <v>39993060</v>
      </c>
      <c r="K31" s="6">
        <v>38107760</v>
      </c>
      <c r="L31" s="6">
        <v>32415906</v>
      </c>
      <c r="M31" s="6">
        <v>32517286</v>
      </c>
      <c r="N31" s="6">
        <v>1</v>
      </c>
    </row>
    <row r="32" spans="1:14" x14ac:dyDescent="0.2">
      <c r="A32" t="s">
        <v>47</v>
      </c>
      <c r="B32" t="s">
        <v>69</v>
      </c>
      <c r="C32" t="s">
        <v>61</v>
      </c>
      <c r="D32">
        <v>2631431.75</v>
      </c>
      <c r="E32">
        <v>3069223</v>
      </c>
      <c r="F32">
        <v>2248599.25</v>
      </c>
      <c r="G32">
        <v>3580745</v>
      </c>
      <c r="H32">
        <v>2992773.75</v>
      </c>
      <c r="I32">
        <v>3330026</v>
      </c>
      <c r="J32">
        <v>2914404</v>
      </c>
      <c r="K32">
        <v>2678655</v>
      </c>
      <c r="L32">
        <v>2296285</v>
      </c>
      <c r="M32">
        <v>2194601</v>
      </c>
      <c r="N32">
        <v>0</v>
      </c>
    </row>
    <row r="33" spans="1:14" x14ac:dyDescent="0.2">
      <c r="A33" t="s">
        <v>48</v>
      </c>
      <c r="B33" t="s">
        <v>69</v>
      </c>
      <c r="C33" t="s">
        <v>61</v>
      </c>
      <c r="D33">
        <v>571562.56000000006</v>
      </c>
      <c r="E33">
        <v>651864.68999999994</v>
      </c>
      <c r="F33">
        <v>522576</v>
      </c>
      <c r="G33">
        <v>1157385.1200000001</v>
      </c>
      <c r="H33">
        <v>961215.19</v>
      </c>
      <c r="I33">
        <v>1106276.25</v>
      </c>
      <c r="J33">
        <v>599812.93999999994</v>
      </c>
      <c r="K33">
        <v>432208.97</v>
      </c>
      <c r="L33">
        <v>410901.53</v>
      </c>
      <c r="M33">
        <v>443441.47</v>
      </c>
      <c r="N33">
        <v>0</v>
      </c>
    </row>
    <row r="34" spans="1:14" x14ac:dyDescent="0.2">
      <c r="A34" t="s">
        <v>49</v>
      </c>
      <c r="B34" t="s">
        <v>69</v>
      </c>
      <c r="C34" t="s">
        <v>61</v>
      </c>
      <c r="D34">
        <v>24182.16</v>
      </c>
      <c r="E34">
        <v>30920.16</v>
      </c>
      <c r="F34">
        <v>21425.39</v>
      </c>
      <c r="G34">
        <v>60734.21</v>
      </c>
      <c r="H34">
        <v>59564.27</v>
      </c>
      <c r="I34">
        <v>50091.88</v>
      </c>
      <c r="J34">
        <v>27164.51</v>
      </c>
      <c r="K34">
        <v>19449.95</v>
      </c>
      <c r="L34">
        <v>19144.29</v>
      </c>
      <c r="M34">
        <v>20379.009999999998</v>
      </c>
      <c r="N34">
        <v>0</v>
      </c>
    </row>
    <row r="35" spans="1:14" x14ac:dyDescent="0.2">
      <c r="A35" t="s">
        <v>62</v>
      </c>
      <c r="B35" t="s">
        <v>69</v>
      </c>
      <c r="C35" t="s">
        <v>61</v>
      </c>
      <c r="D35">
        <v>0</v>
      </c>
      <c r="E35">
        <v>0</v>
      </c>
      <c r="F35">
        <v>0</v>
      </c>
      <c r="G35">
        <v>3839.01</v>
      </c>
      <c r="H35">
        <v>3675.58</v>
      </c>
      <c r="I35">
        <v>4537.07</v>
      </c>
      <c r="J35">
        <v>1556.06</v>
      </c>
      <c r="K35">
        <v>0</v>
      </c>
      <c r="L35">
        <v>0</v>
      </c>
      <c r="M35">
        <v>0</v>
      </c>
      <c r="N35"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CBC5-4C06-2546-99C2-C3CB46396431}">
  <dimension ref="A1:N35"/>
  <sheetViews>
    <sheetView zoomScale="116" workbookViewId="0">
      <selection activeCell="N8" sqref="N8"/>
    </sheetView>
  </sheetViews>
  <sheetFormatPr baseColWidth="10" defaultRowHeight="16" x14ac:dyDescent="0.2"/>
  <cols>
    <col min="1" max="1" width="11.83203125" bestFit="1" customWidth="1"/>
    <col min="2" max="2" width="12" bestFit="1" customWidth="1"/>
    <col min="3" max="3" width="11.5" bestFit="1" customWidth="1"/>
    <col min="4" max="13" width="10.1640625" bestFit="1" customWidth="1"/>
  </cols>
  <sheetData>
    <row r="1" spans="1:14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26" t="s">
        <v>98</v>
      </c>
    </row>
    <row r="2" spans="1:14" s="6" customFormat="1" x14ac:dyDescent="0.2">
      <c r="A2" s="5" t="s">
        <v>45</v>
      </c>
      <c r="B2" s="5" t="s">
        <v>63</v>
      </c>
      <c r="C2" s="5" t="s">
        <v>46</v>
      </c>
      <c r="D2" s="27">
        <v>56449600</v>
      </c>
      <c r="E2" s="27">
        <v>67077292</v>
      </c>
      <c r="F2" s="27">
        <v>48073396</v>
      </c>
      <c r="G2" s="27">
        <v>46922704</v>
      </c>
      <c r="H2" s="27">
        <v>39328228</v>
      </c>
      <c r="I2" s="27">
        <v>44188372</v>
      </c>
      <c r="J2" s="27">
        <v>54571124</v>
      </c>
      <c r="K2" s="27">
        <v>25744694</v>
      </c>
      <c r="L2" s="27">
        <v>47139148</v>
      </c>
      <c r="M2" s="27">
        <v>28214210</v>
      </c>
      <c r="N2" s="27">
        <v>1</v>
      </c>
    </row>
    <row r="3" spans="1:14" x14ac:dyDescent="0.2">
      <c r="A3" s="2" t="s">
        <v>47</v>
      </c>
      <c r="B3" s="2" t="s">
        <v>63</v>
      </c>
      <c r="C3" s="2" t="s">
        <v>46</v>
      </c>
      <c r="D3" s="4">
        <v>4266884.5</v>
      </c>
      <c r="E3" s="4">
        <v>5302333.5</v>
      </c>
      <c r="F3" s="4">
        <v>3707471.25</v>
      </c>
      <c r="G3" s="4">
        <v>4106541</v>
      </c>
      <c r="H3" s="4">
        <v>3303768.25</v>
      </c>
      <c r="I3" s="4">
        <v>3786532.75</v>
      </c>
      <c r="J3" s="4">
        <v>4415878.5</v>
      </c>
      <c r="K3" s="4">
        <v>1858705.38</v>
      </c>
      <c r="L3" s="4">
        <v>3565402</v>
      </c>
      <c r="M3" s="4">
        <v>2033314.88</v>
      </c>
      <c r="N3" s="4">
        <v>0</v>
      </c>
    </row>
    <row r="4" spans="1:14" x14ac:dyDescent="0.2">
      <c r="A4" s="2" t="s">
        <v>48</v>
      </c>
      <c r="B4" s="2" t="s">
        <v>63</v>
      </c>
      <c r="C4" s="2" t="s">
        <v>46</v>
      </c>
      <c r="D4" s="4">
        <v>172456.97</v>
      </c>
      <c r="E4" s="4">
        <v>241895.8</v>
      </c>
      <c r="F4" s="4">
        <v>187352.69</v>
      </c>
      <c r="G4" s="4">
        <v>354228.62</v>
      </c>
      <c r="H4" s="4">
        <v>234590.83</v>
      </c>
      <c r="I4" s="4">
        <v>274472.09000000003</v>
      </c>
      <c r="J4" s="4">
        <v>165157.60999999999</v>
      </c>
      <c r="K4" s="4">
        <v>50009.06</v>
      </c>
      <c r="L4" s="4">
        <v>152598.48000000001</v>
      </c>
      <c r="M4" s="4">
        <v>79334.28</v>
      </c>
      <c r="N4" s="4">
        <v>0</v>
      </c>
    </row>
    <row r="5" spans="1:14" x14ac:dyDescent="0.2">
      <c r="A5" s="2" t="s">
        <v>49</v>
      </c>
      <c r="B5" s="2" t="s">
        <v>63</v>
      </c>
      <c r="C5" s="2" t="s">
        <v>46</v>
      </c>
      <c r="D5" s="4">
        <v>7235.03</v>
      </c>
      <c r="E5" s="4">
        <v>8164.04</v>
      </c>
      <c r="F5" s="4">
        <v>11648.19</v>
      </c>
      <c r="G5" s="4">
        <v>9302.57</v>
      </c>
      <c r="H5" s="4">
        <v>13659</v>
      </c>
      <c r="I5" s="4">
        <v>5491.11</v>
      </c>
      <c r="J5" s="4">
        <v>3724.3</v>
      </c>
      <c r="K5" s="4">
        <v>0</v>
      </c>
      <c r="L5" s="4">
        <v>0</v>
      </c>
      <c r="M5" s="4">
        <v>0</v>
      </c>
      <c r="N5" s="4">
        <v>0</v>
      </c>
    </row>
    <row r="6" spans="1:14" s="6" customFormat="1" x14ac:dyDescent="0.2">
      <c r="A6" s="5" t="s">
        <v>45</v>
      </c>
      <c r="B6" s="5" t="s">
        <v>64</v>
      </c>
      <c r="C6" s="5" t="s">
        <v>50</v>
      </c>
      <c r="D6" s="27">
        <v>1238495.6200000001</v>
      </c>
      <c r="E6" s="27">
        <v>1479172.38</v>
      </c>
      <c r="F6" s="27">
        <v>1668890.12</v>
      </c>
      <c r="G6" s="27">
        <v>1369869.38</v>
      </c>
      <c r="H6" s="27">
        <v>1434542.5</v>
      </c>
      <c r="I6" s="27">
        <v>1186186.8799999999</v>
      </c>
      <c r="J6" s="27">
        <v>3558716.75</v>
      </c>
      <c r="K6" s="27">
        <v>771146.31</v>
      </c>
      <c r="L6" s="27">
        <v>1899398</v>
      </c>
      <c r="M6" s="27">
        <v>991161.25</v>
      </c>
      <c r="N6" s="27">
        <v>1</v>
      </c>
    </row>
    <row r="7" spans="1:14" x14ac:dyDescent="0.2">
      <c r="A7" s="2" t="s">
        <v>47</v>
      </c>
      <c r="B7" s="2" t="s">
        <v>64</v>
      </c>
      <c r="C7" s="2" t="s">
        <v>50</v>
      </c>
      <c r="D7" s="4">
        <v>41195.120000000003</v>
      </c>
      <c r="E7" s="4">
        <v>52730.82</v>
      </c>
      <c r="F7" s="4">
        <v>63980.63</v>
      </c>
      <c r="G7" s="4">
        <v>55871.21</v>
      </c>
      <c r="H7" s="4">
        <v>63071.040000000001</v>
      </c>
      <c r="I7" s="4">
        <v>48469.48</v>
      </c>
      <c r="J7" s="4">
        <v>132263.62</v>
      </c>
      <c r="K7" s="4">
        <v>24485.62</v>
      </c>
      <c r="L7" s="4">
        <v>72292.12</v>
      </c>
      <c r="M7" s="4">
        <v>37049.230000000003</v>
      </c>
      <c r="N7" s="4">
        <v>0</v>
      </c>
    </row>
    <row r="8" spans="1:14" x14ac:dyDescent="0.2">
      <c r="A8" s="2" t="s">
        <v>48</v>
      </c>
      <c r="B8" s="2" t="s">
        <v>64</v>
      </c>
      <c r="C8" s="2" t="s">
        <v>50</v>
      </c>
      <c r="D8" s="4">
        <v>0</v>
      </c>
      <c r="E8" s="4">
        <v>1362.18</v>
      </c>
      <c r="F8" s="4">
        <v>0</v>
      </c>
      <c r="G8" s="4">
        <v>3808.42</v>
      </c>
      <c r="H8" s="4">
        <v>1602.51</v>
      </c>
      <c r="I8" s="4">
        <v>0</v>
      </c>
      <c r="J8" s="4">
        <v>2847.23</v>
      </c>
      <c r="K8" s="4">
        <v>0</v>
      </c>
      <c r="L8" s="4">
        <v>2096.81</v>
      </c>
      <c r="M8" s="4">
        <v>0</v>
      </c>
      <c r="N8" s="4">
        <v>0</v>
      </c>
    </row>
    <row r="9" spans="1:14" s="6" customFormat="1" x14ac:dyDescent="0.2">
      <c r="A9" s="5" t="s">
        <v>45</v>
      </c>
      <c r="B9" s="5" t="s">
        <v>65</v>
      </c>
      <c r="C9" s="5" t="s">
        <v>51</v>
      </c>
      <c r="D9" s="27">
        <v>34800864</v>
      </c>
      <c r="E9" s="27">
        <v>29731014</v>
      </c>
      <c r="F9" s="27">
        <v>12825315</v>
      </c>
      <c r="G9" s="27">
        <v>13531053</v>
      </c>
      <c r="H9" s="27">
        <v>16301485</v>
      </c>
      <c r="I9" s="27">
        <v>16983512</v>
      </c>
      <c r="J9" s="27">
        <v>21060928</v>
      </c>
      <c r="K9" s="27">
        <v>7044935.5</v>
      </c>
      <c r="L9" s="27">
        <v>16658492</v>
      </c>
      <c r="M9" s="27">
        <v>9709608</v>
      </c>
      <c r="N9" s="27">
        <v>1</v>
      </c>
    </row>
    <row r="10" spans="1:14" x14ac:dyDescent="0.2">
      <c r="A10" s="2" t="s">
        <v>48</v>
      </c>
      <c r="B10" s="2" t="s">
        <v>65</v>
      </c>
      <c r="C10" s="2" t="s">
        <v>51</v>
      </c>
      <c r="D10" s="4">
        <v>39898.18</v>
      </c>
      <c r="E10" s="4">
        <v>50501.55</v>
      </c>
      <c r="F10" s="4">
        <v>16991.27</v>
      </c>
      <c r="G10" s="4">
        <v>49197.04</v>
      </c>
      <c r="H10" s="4">
        <v>38843.370000000003</v>
      </c>
      <c r="I10" s="4">
        <v>44071.69</v>
      </c>
      <c r="J10" s="4">
        <v>30459.18</v>
      </c>
      <c r="K10" s="4">
        <v>1711.55</v>
      </c>
      <c r="L10" s="4">
        <v>16409.990000000002</v>
      </c>
      <c r="M10" s="4">
        <v>12637.2</v>
      </c>
      <c r="N10" s="4">
        <v>0</v>
      </c>
    </row>
    <row r="11" spans="1:14" x14ac:dyDescent="0.2">
      <c r="A11" s="2" t="s">
        <v>49</v>
      </c>
      <c r="B11" s="2" t="s">
        <v>65</v>
      </c>
      <c r="C11" s="2" t="s">
        <v>51</v>
      </c>
      <c r="D11" s="4">
        <v>0</v>
      </c>
      <c r="E11" s="4">
        <v>2419.66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</row>
    <row r="12" spans="1:14" s="6" customFormat="1" x14ac:dyDescent="0.2">
      <c r="A12" s="5" t="s">
        <v>45</v>
      </c>
      <c r="B12" s="5" t="s">
        <v>66</v>
      </c>
      <c r="C12" s="5" t="s">
        <v>52</v>
      </c>
      <c r="D12" s="27">
        <v>371264800</v>
      </c>
      <c r="E12" s="27">
        <v>385627776</v>
      </c>
      <c r="F12" s="27">
        <v>268144432</v>
      </c>
      <c r="G12" s="27">
        <v>216855024</v>
      </c>
      <c r="H12" s="27">
        <v>193292464</v>
      </c>
      <c r="I12" s="27">
        <v>247263184</v>
      </c>
      <c r="J12" s="27">
        <v>267261456</v>
      </c>
      <c r="K12" s="27">
        <v>132019752</v>
      </c>
      <c r="L12" s="27">
        <v>268146640</v>
      </c>
      <c r="M12" s="27">
        <v>129117184</v>
      </c>
      <c r="N12" s="27">
        <v>1</v>
      </c>
    </row>
    <row r="13" spans="1:14" x14ac:dyDescent="0.2">
      <c r="A13" s="2" t="s">
        <v>47</v>
      </c>
      <c r="B13" s="2" t="s">
        <v>66</v>
      </c>
      <c r="C13" s="2" t="s">
        <v>52</v>
      </c>
      <c r="D13" s="4">
        <v>14482085</v>
      </c>
      <c r="E13" s="4">
        <v>15864647</v>
      </c>
      <c r="F13" s="4">
        <v>11582991</v>
      </c>
      <c r="G13" s="4">
        <v>10272575</v>
      </c>
      <c r="H13" s="4">
        <v>8504648</v>
      </c>
      <c r="I13" s="4">
        <v>11483979</v>
      </c>
      <c r="J13" s="4">
        <v>10971337</v>
      </c>
      <c r="K13" s="4">
        <v>5068974.5</v>
      </c>
      <c r="L13" s="4">
        <v>10490839</v>
      </c>
      <c r="M13" s="4">
        <v>5018886.5</v>
      </c>
      <c r="N13" s="4">
        <v>0</v>
      </c>
    </row>
    <row r="14" spans="1:14" x14ac:dyDescent="0.2">
      <c r="A14" s="2" t="s">
        <v>48</v>
      </c>
      <c r="B14" s="2" t="s">
        <v>66</v>
      </c>
      <c r="C14" s="2" t="s">
        <v>52</v>
      </c>
      <c r="D14" s="4">
        <v>525580.56000000006</v>
      </c>
      <c r="E14" s="4">
        <v>771916.81</v>
      </c>
      <c r="F14" s="4">
        <v>639675.43999999994</v>
      </c>
      <c r="G14" s="4">
        <v>796636.06</v>
      </c>
      <c r="H14" s="4">
        <v>609909.81000000006</v>
      </c>
      <c r="I14" s="4">
        <v>828614.06</v>
      </c>
      <c r="J14" s="4">
        <v>460597.16</v>
      </c>
      <c r="K14" s="4">
        <v>149591.25</v>
      </c>
      <c r="L14" s="4">
        <v>375523.22</v>
      </c>
      <c r="M14" s="4">
        <v>136645.17000000001</v>
      </c>
      <c r="N14" s="4">
        <v>0</v>
      </c>
    </row>
    <row r="15" spans="1:14" s="6" customFormat="1" x14ac:dyDescent="0.2">
      <c r="A15" s="5" t="s">
        <v>45</v>
      </c>
      <c r="B15" s="5" t="s">
        <v>67</v>
      </c>
      <c r="C15" s="5" t="s">
        <v>53</v>
      </c>
      <c r="D15" s="27">
        <v>94271048</v>
      </c>
      <c r="E15" s="27">
        <v>53392492</v>
      </c>
      <c r="F15" s="27">
        <v>64797824</v>
      </c>
      <c r="G15" s="27">
        <v>55640740</v>
      </c>
      <c r="H15" s="27">
        <v>81038760</v>
      </c>
      <c r="I15" s="27">
        <v>48929132</v>
      </c>
      <c r="J15" s="27">
        <v>86510208</v>
      </c>
      <c r="K15" s="27">
        <v>28246800</v>
      </c>
      <c r="L15" s="27">
        <v>98868992</v>
      </c>
      <c r="M15" s="27">
        <v>95752488</v>
      </c>
      <c r="N15" s="27">
        <v>1</v>
      </c>
    </row>
    <row r="16" spans="1:14" x14ac:dyDescent="0.2">
      <c r="A16" s="2" t="s">
        <v>47</v>
      </c>
      <c r="B16" s="2" t="s">
        <v>67</v>
      </c>
      <c r="C16" s="2" t="s">
        <v>53</v>
      </c>
      <c r="D16" s="4">
        <v>5441887.5</v>
      </c>
      <c r="E16" s="4">
        <v>3322562</v>
      </c>
      <c r="F16" s="4">
        <v>4003513</v>
      </c>
      <c r="G16" s="4">
        <v>3989711.25</v>
      </c>
      <c r="H16" s="4">
        <v>5619813.5</v>
      </c>
      <c r="I16" s="4">
        <v>3474072.25</v>
      </c>
      <c r="J16" s="4">
        <v>5168360.5</v>
      </c>
      <c r="K16" s="4">
        <v>1453096.12</v>
      </c>
      <c r="L16" s="4">
        <v>5428506</v>
      </c>
      <c r="M16" s="4">
        <v>5074604</v>
      </c>
      <c r="N16" s="4">
        <v>0</v>
      </c>
    </row>
    <row r="17" spans="1:14" x14ac:dyDescent="0.2">
      <c r="A17" s="2" t="s">
        <v>48</v>
      </c>
      <c r="B17" s="2" t="s">
        <v>67</v>
      </c>
      <c r="C17" s="2" t="s">
        <v>53</v>
      </c>
      <c r="D17" s="4">
        <v>409938.75</v>
      </c>
      <c r="E17" s="4">
        <v>306580.96999999997</v>
      </c>
      <c r="F17" s="4">
        <v>389540.5</v>
      </c>
      <c r="G17" s="4">
        <v>523628.47</v>
      </c>
      <c r="H17" s="4">
        <v>754075.5</v>
      </c>
      <c r="I17" s="4">
        <v>447604.84</v>
      </c>
      <c r="J17" s="4">
        <v>317129.28000000003</v>
      </c>
      <c r="K17" s="4">
        <v>46520.01</v>
      </c>
      <c r="L17" s="4">
        <v>187070.94</v>
      </c>
      <c r="M17" s="4">
        <v>216594.23</v>
      </c>
      <c r="N17" s="4">
        <v>0</v>
      </c>
    </row>
    <row r="18" spans="1:14" x14ac:dyDescent="0.2">
      <c r="A18" s="2" t="s">
        <v>49</v>
      </c>
      <c r="B18" s="2" t="s">
        <v>67</v>
      </c>
      <c r="C18" s="2" t="s">
        <v>53</v>
      </c>
      <c r="D18" s="4">
        <v>15567.42</v>
      </c>
      <c r="E18" s="4">
        <v>10807.16</v>
      </c>
      <c r="F18" s="4">
        <v>14767.24</v>
      </c>
      <c r="G18" s="4">
        <v>22968.69</v>
      </c>
      <c r="H18" s="4">
        <v>36033.910000000003</v>
      </c>
      <c r="I18" s="4">
        <v>13023.86</v>
      </c>
      <c r="J18" s="4">
        <v>4700.45</v>
      </c>
      <c r="K18" s="4">
        <v>0</v>
      </c>
      <c r="L18" s="4">
        <v>0</v>
      </c>
      <c r="M18" s="4">
        <v>3168.85</v>
      </c>
      <c r="N18" s="4">
        <v>0</v>
      </c>
    </row>
    <row r="19" spans="1:14" s="6" customFormat="1" x14ac:dyDescent="0.2">
      <c r="A19" s="5" t="s">
        <v>45</v>
      </c>
      <c r="B19" s="5" t="s">
        <v>68</v>
      </c>
      <c r="C19" s="5" t="s">
        <v>54</v>
      </c>
      <c r="D19" s="27">
        <v>116911528</v>
      </c>
      <c r="E19" s="27">
        <v>124100352</v>
      </c>
      <c r="F19" s="27">
        <v>94839168</v>
      </c>
      <c r="G19" s="27">
        <v>83215440</v>
      </c>
      <c r="H19" s="27">
        <v>75538264</v>
      </c>
      <c r="I19" s="27">
        <v>77876648</v>
      </c>
      <c r="J19" s="27">
        <v>95777320</v>
      </c>
      <c r="K19" s="27">
        <v>41861040</v>
      </c>
      <c r="L19" s="27">
        <v>80238184</v>
      </c>
      <c r="M19" s="27">
        <v>29177382</v>
      </c>
      <c r="N19" s="27">
        <v>1</v>
      </c>
    </row>
    <row r="20" spans="1:14" x14ac:dyDescent="0.2">
      <c r="A20" s="2" t="s">
        <v>47</v>
      </c>
      <c r="B20" s="2" t="s">
        <v>68</v>
      </c>
      <c r="C20" s="2" t="s">
        <v>54</v>
      </c>
      <c r="D20" s="4">
        <v>6694458</v>
      </c>
      <c r="E20" s="4">
        <v>7605287.5</v>
      </c>
      <c r="F20" s="4">
        <v>5552591.5</v>
      </c>
      <c r="G20" s="4">
        <v>5863411.5</v>
      </c>
      <c r="H20" s="4">
        <v>5040908</v>
      </c>
      <c r="I20" s="4">
        <v>5479120.5</v>
      </c>
      <c r="J20" s="4">
        <v>5337387</v>
      </c>
      <c r="K20" s="4">
        <v>2218635.25</v>
      </c>
      <c r="L20" s="4">
        <v>4492550</v>
      </c>
      <c r="M20" s="4">
        <v>1501663.38</v>
      </c>
      <c r="N20" s="4">
        <v>0</v>
      </c>
    </row>
    <row r="21" spans="1:14" x14ac:dyDescent="0.2">
      <c r="A21" s="2" t="s">
        <v>48</v>
      </c>
      <c r="B21" s="2" t="s">
        <v>68</v>
      </c>
      <c r="C21" s="2" t="s">
        <v>54</v>
      </c>
      <c r="D21" s="4">
        <v>857195.31</v>
      </c>
      <c r="E21" s="4">
        <v>1049959.8799999999</v>
      </c>
      <c r="F21" s="4">
        <v>958657.25</v>
      </c>
      <c r="G21" s="4">
        <v>1273821</v>
      </c>
      <c r="H21" s="4">
        <v>1135315.1200000001</v>
      </c>
      <c r="I21" s="4">
        <v>1188600.3799999999</v>
      </c>
      <c r="J21" s="4">
        <v>648041.56000000006</v>
      </c>
      <c r="K21" s="4">
        <v>102771.16</v>
      </c>
      <c r="L21" s="4">
        <v>229328.5</v>
      </c>
      <c r="M21" s="4">
        <v>93293.52</v>
      </c>
      <c r="N21" s="4">
        <v>0</v>
      </c>
    </row>
    <row r="22" spans="1:14" x14ac:dyDescent="0.2">
      <c r="A22" s="2" t="s">
        <v>49</v>
      </c>
      <c r="B22" s="2" t="s">
        <v>68</v>
      </c>
      <c r="C22" s="2" t="s">
        <v>54</v>
      </c>
      <c r="D22" s="4">
        <v>30038.33</v>
      </c>
      <c r="E22" s="4">
        <v>40638.660000000003</v>
      </c>
      <c r="F22" s="4">
        <v>22060.83</v>
      </c>
      <c r="G22" s="4">
        <v>51402.41</v>
      </c>
      <c r="H22" s="4">
        <v>38847.82</v>
      </c>
      <c r="I22" s="4">
        <v>41504.97</v>
      </c>
      <c r="J22" s="4">
        <v>16337.24</v>
      </c>
      <c r="K22" s="4">
        <v>1924.23</v>
      </c>
      <c r="L22" s="4">
        <v>5130.62</v>
      </c>
      <c r="M22" s="4">
        <v>0</v>
      </c>
      <c r="N22" s="4">
        <v>0</v>
      </c>
    </row>
    <row r="23" spans="1:14" s="6" customFormat="1" x14ac:dyDescent="0.2">
      <c r="A23" s="28" t="s">
        <v>45</v>
      </c>
      <c r="B23" s="28" t="s">
        <v>55</v>
      </c>
      <c r="C23" s="28" t="s">
        <v>56</v>
      </c>
      <c r="D23" s="27">
        <v>34250248</v>
      </c>
      <c r="E23" s="27">
        <v>28824368</v>
      </c>
      <c r="F23" s="27">
        <v>54012820</v>
      </c>
      <c r="G23" s="27">
        <v>32203856</v>
      </c>
      <c r="H23" s="27">
        <v>32708672</v>
      </c>
      <c r="I23" s="27">
        <v>21222246</v>
      </c>
      <c r="J23" s="27">
        <v>50022636</v>
      </c>
      <c r="K23" s="27">
        <v>15197051</v>
      </c>
      <c r="L23" s="27">
        <v>39257164</v>
      </c>
      <c r="M23" s="27">
        <v>15443347</v>
      </c>
      <c r="N23" s="27">
        <v>1</v>
      </c>
    </row>
    <row r="24" spans="1:14" x14ac:dyDescent="0.2">
      <c r="A24" s="2" t="s">
        <v>47</v>
      </c>
      <c r="B24" s="2" t="s">
        <v>55</v>
      </c>
      <c r="C24" s="2" t="s">
        <v>56</v>
      </c>
      <c r="D24" s="4">
        <v>6457825.5</v>
      </c>
      <c r="E24" s="4">
        <v>5390260</v>
      </c>
      <c r="F24" s="4">
        <v>10315671</v>
      </c>
      <c r="G24" s="4">
        <v>6106373.5</v>
      </c>
      <c r="H24" s="4">
        <v>6250474.5</v>
      </c>
      <c r="I24" s="4">
        <v>3990345.75</v>
      </c>
      <c r="J24" s="4">
        <v>9408299</v>
      </c>
      <c r="K24" s="4">
        <v>2912750.25</v>
      </c>
      <c r="L24" s="4">
        <v>7389694.5</v>
      </c>
      <c r="M24" s="4">
        <v>2868995.25</v>
      </c>
      <c r="N24" s="4">
        <v>0</v>
      </c>
    </row>
    <row r="25" spans="1:14" x14ac:dyDescent="0.2">
      <c r="A25" s="2" t="s">
        <v>48</v>
      </c>
      <c r="B25" s="2" t="s">
        <v>55</v>
      </c>
      <c r="C25" s="2" t="s">
        <v>56</v>
      </c>
      <c r="D25" s="4">
        <v>312636.53000000003</v>
      </c>
      <c r="E25" s="4">
        <v>357084.62</v>
      </c>
      <c r="F25" s="4">
        <v>467779.16</v>
      </c>
      <c r="G25" s="4">
        <v>308440.65999999997</v>
      </c>
      <c r="H25" s="4">
        <v>291755.53000000003</v>
      </c>
      <c r="I25" s="4">
        <v>213798.67</v>
      </c>
      <c r="J25" s="4">
        <v>468473.34</v>
      </c>
      <c r="K25" s="4">
        <v>183324.12</v>
      </c>
      <c r="L25" s="4">
        <v>341104.41</v>
      </c>
      <c r="M25" s="4">
        <v>52798.400000000001</v>
      </c>
      <c r="N25" s="4">
        <v>0</v>
      </c>
    </row>
    <row r="26" spans="1:14" x14ac:dyDescent="0.2">
      <c r="A26" s="2" t="s">
        <v>49</v>
      </c>
      <c r="B26" s="2" t="s">
        <v>55</v>
      </c>
      <c r="C26" s="2" t="s">
        <v>56</v>
      </c>
      <c r="D26" s="4">
        <v>10914.31</v>
      </c>
      <c r="E26" s="4">
        <v>16808.240000000002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 x14ac:dyDescent="0.2">
      <c r="A27" s="2" t="s">
        <v>57</v>
      </c>
      <c r="B27" s="2" t="s">
        <v>55</v>
      </c>
      <c r="C27" s="2" t="s">
        <v>56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6318.69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</row>
    <row r="28" spans="1:14" x14ac:dyDescent="0.2">
      <c r="A28" s="2" t="s">
        <v>58</v>
      </c>
      <c r="B28" s="2" t="s">
        <v>55</v>
      </c>
      <c r="C28" s="2" t="s">
        <v>56</v>
      </c>
      <c r="D28" s="4">
        <v>95982.31</v>
      </c>
      <c r="E28" s="4">
        <v>38486.42</v>
      </c>
      <c r="F28" s="4">
        <v>62048.99</v>
      </c>
      <c r="G28" s="4">
        <v>64221.89</v>
      </c>
      <c r="H28" s="4">
        <v>102657.43</v>
      </c>
      <c r="I28" s="4">
        <v>71558.13</v>
      </c>
      <c r="J28" s="4">
        <v>142016.10999999999</v>
      </c>
      <c r="K28" s="4">
        <v>51198.34</v>
      </c>
      <c r="L28" s="4">
        <v>124554.56</v>
      </c>
      <c r="M28" s="4">
        <v>45635.67</v>
      </c>
      <c r="N28" s="4">
        <v>0</v>
      </c>
    </row>
    <row r="29" spans="1:14" x14ac:dyDescent="0.2">
      <c r="A29" s="2" t="s">
        <v>59</v>
      </c>
      <c r="B29" s="2" t="s">
        <v>55</v>
      </c>
      <c r="C29" s="2" t="s">
        <v>56</v>
      </c>
      <c r="D29" s="4">
        <v>255498.5</v>
      </c>
      <c r="E29" s="4">
        <v>100025.19</v>
      </c>
      <c r="F29" s="4">
        <v>133104.35999999999</v>
      </c>
      <c r="G29" s="4">
        <v>176469.83</v>
      </c>
      <c r="H29" s="4">
        <v>252179.27</v>
      </c>
      <c r="I29" s="4">
        <v>176543.61</v>
      </c>
      <c r="J29" s="4">
        <v>291149.03000000003</v>
      </c>
      <c r="K29" s="4">
        <v>92734.5</v>
      </c>
      <c r="L29" s="4">
        <v>196127.19</v>
      </c>
      <c r="M29" s="4">
        <v>81963.429999999993</v>
      </c>
      <c r="N29" s="4">
        <v>0</v>
      </c>
    </row>
    <row r="30" spans="1:14" x14ac:dyDescent="0.2">
      <c r="A30" s="2" t="s">
        <v>60</v>
      </c>
      <c r="B30" s="2" t="s">
        <v>55</v>
      </c>
      <c r="C30" s="2" t="s">
        <v>56</v>
      </c>
      <c r="D30" s="4">
        <v>4438075.5</v>
      </c>
      <c r="E30" s="4">
        <v>1774012</v>
      </c>
      <c r="F30" s="4">
        <v>2500855.75</v>
      </c>
      <c r="G30" s="4">
        <v>2911601.25</v>
      </c>
      <c r="H30" s="4">
        <v>4637922.5</v>
      </c>
      <c r="I30" s="4">
        <v>2924042.25</v>
      </c>
      <c r="J30" s="4">
        <v>4200573.5</v>
      </c>
      <c r="K30" s="4">
        <v>1469676.62</v>
      </c>
      <c r="L30" s="4">
        <v>3756488.25</v>
      </c>
      <c r="M30" s="4">
        <v>1443682.62</v>
      </c>
      <c r="N30" s="4">
        <v>0</v>
      </c>
    </row>
    <row r="31" spans="1:14" s="6" customFormat="1" x14ac:dyDescent="0.2">
      <c r="A31" s="5" t="s">
        <v>45</v>
      </c>
      <c r="B31" s="5" t="s">
        <v>69</v>
      </c>
      <c r="C31" s="5" t="s">
        <v>61</v>
      </c>
      <c r="D31" s="27">
        <v>64829408</v>
      </c>
      <c r="E31" s="27">
        <v>86125992</v>
      </c>
      <c r="F31" s="27">
        <v>80409720</v>
      </c>
      <c r="G31" s="27">
        <v>53774844</v>
      </c>
      <c r="H31" s="27">
        <v>51369152</v>
      </c>
      <c r="I31" s="27">
        <v>62067836</v>
      </c>
      <c r="J31" s="27">
        <v>115092888</v>
      </c>
      <c r="K31" s="27">
        <v>38096192</v>
      </c>
      <c r="L31" s="27">
        <v>65512768</v>
      </c>
      <c r="M31" s="27">
        <v>49002268</v>
      </c>
      <c r="N31" s="27">
        <v>1</v>
      </c>
    </row>
    <row r="32" spans="1:14" x14ac:dyDescent="0.2">
      <c r="A32" s="2" t="s">
        <v>47</v>
      </c>
      <c r="B32" s="2" t="s">
        <v>69</v>
      </c>
      <c r="C32" s="2" t="s">
        <v>61</v>
      </c>
      <c r="D32" s="4">
        <v>4306532</v>
      </c>
      <c r="E32" s="4">
        <v>5839169.5</v>
      </c>
      <c r="F32" s="4">
        <v>5608881.5</v>
      </c>
      <c r="G32" s="4">
        <v>4259379.5</v>
      </c>
      <c r="H32" s="4">
        <v>4017969.25</v>
      </c>
      <c r="I32" s="4">
        <v>4997995.5</v>
      </c>
      <c r="J32" s="4">
        <v>8012206</v>
      </c>
      <c r="K32" s="4">
        <v>2443530.25</v>
      </c>
      <c r="L32" s="4">
        <v>4096101.25</v>
      </c>
      <c r="M32" s="4">
        <v>3168370.25</v>
      </c>
      <c r="N32" s="4">
        <v>0</v>
      </c>
    </row>
    <row r="33" spans="1:14" x14ac:dyDescent="0.2">
      <c r="A33" s="2" t="s">
        <v>48</v>
      </c>
      <c r="B33" s="2" t="s">
        <v>69</v>
      </c>
      <c r="C33" s="2" t="s">
        <v>61</v>
      </c>
      <c r="D33" s="4">
        <v>1051416.3799999999</v>
      </c>
      <c r="E33" s="4">
        <v>1423184.5</v>
      </c>
      <c r="F33" s="4">
        <v>1434533.12</v>
      </c>
      <c r="G33" s="4">
        <v>1636451</v>
      </c>
      <c r="H33" s="4">
        <v>1329289.5</v>
      </c>
      <c r="I33" s="4">
        <v>1834748.5</v>
      </c>
      <c r="J33" s="4">
        <v>1424948.38</v>
      </c>
      <c r="K33" s="4">
        <v>269737.15999999997</v>
      </c>
      <c r="L33" s="4">
        <v>504201.75</v>
      </c>
      <c r="M33" s="4">
        <v>406016.5</v>
      </c>
      <c r="N33" s="4">
        <v>0</v>
      </c>
    </row>
    <row r="34" spans="1:14" x14ac:dyDescent="0.2">
      <c r="A34" s="2" t="s">
        <v>49</v>
      </c>
      <c r="B34" s="2" t="s">
        <v>69</v>
      </c>
      <c r="C34" s="2" t="s">
        <v>61</v>
      </c>
      <c r="D34" s="4">
        <v>52157.71</v>
      </c>
      <c r="E34" s="4">
        <v>61247.040000000001</v>
      </c>
      <c r="F34" s="4">
        <v>57340.7</v>
      </c>
      <c r="G34" s="4">
        <v>106332.34</v>
      </c>
      <c r="H34" s="4">
        <v>62911.16</v>
      </c>
      <c r="I34" s="4">
        <v>97366.84</v>
      </c>
      <c r="J34" s="4">
        <v>66344.83</v>
      </c>
      <c r="K34" s="4">
        <v>8873.4599999999991</v>
      </c>
      <c r="L34" s="4">
        <v>19446.900000000001</v>
      </c>
      <c r="M34" s="4">
        <v>13751.59</v>
      </c>
      <c r="N34" s="4">
        <v>0</v>
      </c>
    </row>
    <row r="35" spans="1:14" x14ac:dyDescent="0.2">
      <c r="A35" s="2" t="s">
        <v>62</v>
      </c>
      <c r="B35" s="2" t="s">
        <v>69</v>
      </c>
      <c r="C35" s="2" t="s">
        <v>61</v>
      </c>
      <c r="D35" s="4">
        <v>0</v>
      </c>
      <c r="E35" s="4">
        <v>0</v>
      </c>
      <c r="F35" s="4">
        <v>0</v>
      </c>
      <c r="G35" s="4">
        <v>4261.93</v>
      </c>
      <c r="H35" s="4">
        <v>1711.42</v>
      </c>
      <c r="I35" s="4">
        <v>3968.39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AC7A3-1AD5-2646-AEFD-75DA4B4393EC}">
  <dimension ref="A1:X9"/>
  <sheetViews>
    <sheetView zoomScale="156" workbookViewId="0">
      <selection activeCell="F6" sqref="F6"/>
    </sheetView>
  </sheetViews>
  <sheetFormatPr baseColWidth="10" defaultRowHeight="16" x14ac:dyDescent="0.2"/>
  <cols>
    <col min="1" max="1" width="12" bestFit="1" customWidth="1"/>
    <col min="2" max="2" width="10" bestFit="1" customWidth="1"/>
    <col min="3" max="3" width="10.33203125" bestFit="1" customWidth="1"/>
    <col min="4" max="4" width="11" bestFit="1" customWidth="1"/>
    <col min="5" max="7" width="11.6640625" bestFit="1" customWidth="1"/>
    <col min="8" max="9" width="10.83203125" bestFit="1" customWidth="1"/>
    <col min="10" max="11" width="11.1640625" bestFit="1" customWidth="1"/>
    <col min="12" max="13" width="10.6640625" bestFit="1" customWidth="1"/>
    <col min="14" max="14" width="10.6640625" style="32" customWidth="1"/>
    <col min="15" max="15" width="14.83203125" style="9" bestFit="1" customWidth="1"/>
    <col min="16" max="16" width="14.83203125" bestFit="1" customWidth="1"/>
    <col min="17" max="18" width="15" bestFit="1" customWidth="1"/>
    <col min="19" max="19" width="14.83203125" bestFit="1" customWidth="1"/>
    <col min="20" max="20" width="14.6640625" bestFit="1" customWidth="1"/>
    <col min="21" max="22" width="15" bestFit="1" customWidth="1"/>
    <col min="23" max="24" width="14.33203125" bestFit="1" customWidth="1"/>
  </cols>
  <sheetData>
    <row r="1" spans="1:24" s="12" customFormat="1" x14ac:dyDescent="0.2">
      <c r="A1" s="10" t="s">
        <v>0</v>
      </c>
      <c r="B1" s="10" t="s">
        <v>1</v>
      </c>
      <c r="C1" s="10" t="s">
        <v>2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30" t="s">
        <v>100</v>
      </c>
      <c r="O1" s="11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0" t="s">
        <v>22</v>
      </c>
      <c r="W1" s="10" t="s">
        <v>23</v>
      </c>
      <c r="X1" s="10" t="s">
        <v>24</v>
      </c>
    </row>
    <row r="2" spans="1:24" x14ac:dyDescent="0.2">
      <c r="A2" s="3" t="s">
        <v>45</v>
      </c>
      <c r="B2" s="3" t="s">
        <v>97</v>
      </c>
      <c r="C2" s="3" t="s">
        <v>56</v>
      </c>
      <c r="D2" s="4">
        <v>666441278.5</v>
      </c>
      <c r="E2" s="4">
        <v>1168182270.5</v>
      </c>
      <c r="F2" s="4">
        <v>1132150526.5</v>
      </c>
      <c r="G2" s="4">
        <v>1512016510.5</v>
      </c>
      <c r="H2" s="4">
        <v>929121598.5</v>
      </c>
      <c r="I2" s="4">
        <v>836961214.5</v>
      </c>
      <c r="J2" s="4">
        <v>934130494.5</v>
      </c>
      <c r="K2" s="4">
        <v>834608254.5</v>
      </c>
      <c r="L2" s="4">
        <v>806255998.5</v>
      </c>
      <c r="M2" s="4">
        <v>980458942.5</v>
      </c>
      <c r="N2" s="31">
        <v>1</v>
      </c>
      <c r="O2" s="8">
        <v>279762176.5</v>
      </c>
      <c r="P2" s="4">
        <v>438078208.5</v>
      </c>
      <c r="Q2" s="4">
        <v>529477856.5</v>
      </c>
      <c r="R2" s="4">
        <v>649375520.5</v>
      </c>
      <c r="S2" s="4">
        <v>353193632.5</v>
      </c>
      <c r="T2" s="4">
        <v>310135104.5</v>
      </c>
      <c r="U2" s="4">
        <v>399967072.5</v>
      </c>
      <c r="V2" s="4">
        <v>364994816.5</v>
      </c>
      <c r="W2" s="4">
        <v>390959712.5</v>
      </c>
      <c r="X2" s="4">
        <v>431449568.5</v>
      </c>
    </row>
    <row r="3" spans="1:24" x14ac:dyDescent="0.2">
      <c r="A3" s="2" t="s">
        <v>47</v>
      </c>
      <c r="B3" s="3" t="s">
        <v>97</v>
      </c>
      <c r="C3" s="2" t="s">
        <v>56</v>
      </c>
      <c r="D3" s="4">
        <v>126425867</v>
      </c>
      <c r="E3" s="4">
        <v>228991771</v>
      </c>
      <c r="F3" s="4">
        <v>218854075</v>
      </c>
      <c r="G3" s="4">
        <v>291971307</v>
      </c>
      <c r="H3" s="4">
        <v>179423579</v>
      </c>
      <c r="I3" s="4">
        <v>162267675</v>
      </c>
      <c r="J3" s="4">
        <v>179862219</v>
      </c>
      <c r="K3" s="4">
        <v>159143387</v>
      </c>
      <c r="L3" s="4">
        <v>154643051</v>
      </c>
      <c r="M3" s="4">
        <v>187011835</v>
      </c>
      <c r="N3" s="31">
        <v>0</v>
      </c>
      <c r="O3" s="8">
        <v>54933473.25</v>
      </c>
      <c r="P3" s="4">
        <v>85614857.25</v>
      </c>
      <c r="Q3" s="4">
        <v>105138825.25</v>
      </c>
      <c r="R3" s="4">
        <v>125228137.25</v>
      </c>
      <c r="S3" s="4">
        <v>68464457.25</v>
      </c>
      <c r="T3" s="4">
        <v>59108397.25</v>
      </c>
      <c r="U3" s="4">
        <v>78351089.25</v>
      </c>
      <c r="V3" s="4">
        <v>70101529.25</v>
      </c>
      <c r="W3" s="4">
        <v>74474217.25</v>
      </c>
      <c r="X3" s="4">
        <v>83423297.25</v>
      </c>
    </row>
    <row r="4" spans="1:24" x14ac:dyDescent="0.2">
      <c r="A4" s="2" t="s">
        <v>48</v>
      </c>
      <c r="B4" s="3" t="s">
        <v>97</v>
      </c>
      <c r="C4" s="2" t="s">
        <v>56</v>
      </c>
      <c r="D4" s="4">
        <v>7331873.5</v>
      </c>
      <c r="E4" s="4">
        <v>11630509</v>
      </c>
      <c r="F4" s="4">
        <v>6726555.5</v>
      </c>
      <c r="G4" s="4">
        <v>12941840</v>
      </c>
      <c r="H4" s="4">
        <v>0</v>
      </c>
      <c r="I4" s="4">
        <v>0</v>
      </c>
      <c r="J4" s="4">
        <v>5267076</v>
      </c>
      <c r="K4" s="4">
        <v>0</v>
      </c>
      <c r="L4" s="4">
        <v>0</v>
      </c>
      <c r="M4" s="4">
        <v>0</v>
      </c>
      <c r="N4" s="31">
        <v>0</v>
      </c>
      <c r="O4" s="8">
        <v>2310665</v>
      </c>
      <c r="P4" s="4">
        <v>4077184</v>
      </c>
      <c r="Q4" s="4">
        <v>3756641.25</v>
      </c>
      <c r="R4" s="4">
        <v>5922334</v>
      </c>
      <c r="S4" s="4">
        <v>0</v>
      </c>
      <c r="T4" s="4">
        <v>0</v>
      </c>
      <c r="U4" s="4">
        <v>3623403.25</v>
      </c>
      <c r="V4" s="4">
        <v>0</v>
      </c>
      <c r="W4" s="4">
        <v>0</v>
      </c>
      <c r="X4" s="4">
        <v>0</v>
      </c>
    </row>
    <row r="5" spans="1:24" x14ac:dyDescent="0.2">
      <c r="A5" s="2" t="s">
        <v>49</v>
      </c>
      <c r="B5" s="3" t="s">
        <v>97</v>
      </c>
      <c r="C5" s="2" t="s">
        <v>56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31">
        <v>0</v>
      </c>
      <c r="O5" s="8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</row>
    <row r="6" spans="1:24" x14ac:dyDescent="0.2">
      <c r="A6" s="2" t="s">
        <v>57</v>
      </c>
      <c r="B6" s="3" t="s">
        <v>97</v>
      </c>
      <c r="C6" s="2" t="s">
        <v>56</v>
      </c>
      <c r="D6" s="4">
        <v>0</v>
      </c>
      <c r="E6" s="4">
        <v>0</v>
      </c>
      <c r="F6" s="4">
        <v>0</v>
      </c>
      <c r="G6" s="4">
        <v>161807.79999999999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264819.46999999997</v>
      </c>
      <c r="N6" s="31">
        <v>0</v>
      </c>
      <c r="O6" s="8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44889.95</v>
      </c>
      <c r="V6" s="4">
        <v>0</v>
      </c>
      <c r="W6" s="4">
        <v>0</v>
      </c>
      <c r="X6" s="4">
        <v>89037.87</v>
      </c>
    </row>
    <row r="7" spans="1:24" x14ac:dyDescent="0.2">
      <c r="A7" s="2" t="s">
        <v>58</v>
      </c>
      <c r="B7" s="3" t="s">
        <v>97</v>
      </c>
      <c r="C7" s="2" t="s">
        <v>56</v>
      </c>
      <c r="D7" s="4">
        <v>1087939.6200000001</v>
      </c>
      <c r="E7" s="4">
        <v>1153488.1200000001</v>
      </c>
      <c r="F7" s="4">
        <v>1174755.6200000001</v>
      </c>
      <c r="G7" s="4">
        <v>3186232</v>
      </c>
      <c r="H7" s="4">
        <v>2430064.75</v>
      </c>
      <c r="I7" s="4">
        <v>1895808.38</v>
      </c>
      <c r="J7" s="4">
        <v>2772849.75</v>
      </c>
      <c r="K7" s="4">
        <v>1643316</v>
      </c>
      <c r="L7" s="4">
        <v>2048221</v>
      </c>
      <c r="M7" s="4">
        <v>2599845.75</v>
      </c>
      <c r="N7" s="31">
        <v>0</v>
      </c>
      <c r="O7" s="8">
        <v>305105</v>
      </c>
      <c r="P7" s="4">
        <v>510153.41</v>
      </c>
      <c r="Q7" s="4">
        <v>337668.22</v>
      </c>
      <c r="R7" s="4">
        <v>1302802</v>
      </c>
      <c r="S7" s="4">
        <v>897020.5</v>
      </c>
      <c r="T7" s="4">
        <v>865218.69</v>
      </c>
      <c r="U7" s="4">
        <v>1270593</v>
      </c>
      <c r="V7" s="4">
        <v>980310.06</v>
      </c>
      <c r="W7" s="4">
        <v>1001911.44</v>
      </c>
      <c r="X7" s="4">
        <v>1113174.75</v>
      </c>
    </row>
    <row r="8" spans="1:24" x14ac:dyDescent="0.2">
      <c r="A8" s="2" t="s">
        <v>59</v>
      </c>
      <c r="B8" s="3" t="s">
        <v>97</v>
      </c>
      <c r="C8" s="2" t="s">
        <v>56</v>
      </c>
      <c r="D8" s="4">
        <v>3029960.75</v>
      </c>
      <c r="E8" s="4">
        <v>2897676</v>
      </c>
      <c r="F8" s="4">
        <v>2016570.38</v>
      </c>
      <c r="G8" s="4">
        <v>7083487.5</v>
      </c>
      <c r="H8" s="4">
        <v>5308013.5</v>
      </c>
      <c r="I8" s="4">
        <v>4978097.5</v>
      </c>
      <c r="J8" s="4">
        <v>5329155.5</v>
      </c>
      <c r="K8" s="4">
        <v>5097258.5</v>
      </c>
      <c r="L8" s="4">
        <v>3931445.25</v>
      </c>
      <c r="M8" s="4">
        <v>5523870.5</v>
      </c>
      <c r="N8" s="31">
        <v>0</v>
      </c>
      <c r="O8" s="8">
        <v>1280559.25</v>
      </c>
      <c r="P8" s="4">
        <v>1252400.5</v>
      </c>
      <c r="Q8" s="4">
        <v>1066118</v>
      </c>
      <c r="R8" s="4">
        <v>2725326.75</v>
      </c>
      <c r="S8" s="4">
        <v>2136345</v>
      </c>
      <c r="T8" s="4">
        <v>2070074</v>
      </c>
      <c r="U8" s="4">
        <v>2422871</v>
      </c>
      <c r="V8" s="4">
        <v>2136287.75</v>
      </c>
      <c r="W8" s="4">
        <v>2314303</v>
      </c>
      <c r="X8" s="4">
        <v>2345476.75</v>
      </c>
    </row>
    <row r="9" spans="1:24" x14ac:dyDescent="0.2">
      <c r="A9" s="2" t="s">
        <v>60</v>
      </c>
      <c r="B9" s="3" t="s">
        <v>97</v>
      </c>
      <c r="C9" s="2" t="s">
        <v>56</v>
      </c>
      <c r="D9" s="4">
        <v>54368151.960000001</v>
      </c>
      <c r="E9" s="4">
        <v>53508367.960000001</v>
      </c>
      <c r="F9" s="4">
        <v>37769143.960000001</v>
      </c>
      <c r="G9" s="4">
        <v>118483995.95999999</v>
      </c>
      <c r="H9" s="4">
        <v>97822939.959999993</v>
      </c>
      <c r="I9" s="4">
        <v>91307979.959999993</v>
      </c>
      <c r="J9" s="4">
        <v>90414859.959999993</v>
      </c>
      <c r="K9" s="4">
        <v>83852835.959999993</v>
      </c>
      <c r="L9" s="4">
        <v>70765595.959999993</v>
      </c>
      <c r="M9" s="4">
        <v>91466219.959999993</v>
      </c>
      <c r="N9" s="31">
        <v>0</v>
      </c>
      <c r="O9" s="8">
        <v>23968747.16</v>
      </c>
      <c r="P9" s="4">
        <v>19109339.16</v>
      </c>
      <c r="Q9" s="4">
        <v>18158541.16</v>
      </c>
      <c r="R9" s="4">
        <v>51112481.159999996</v>
      </c>
      <c r="S9" s="4">
        <v>37514201.159999996</v>
      </c>
      <c r="T9" s="4">
        <v>34283233.159999996</v>
      </c>
      <c r="U9" s="4">
        <v>37220217.159999996</v>
      </c>
      <c r="V9" s="4">
        <v>36497561.159999996</v>
      </c>
      <c r="W9" s="4">
        <v>35168201.159999996</v>
      </c>
      <c r="X9" s="4">
        <v>40910233.159999996</v>
      </c>
    </row>
  </sheetData>
  <phoneticPr fontId="23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E46AA-9BDB-B54C-B5BA-6504E5C3FFBF}">
  <dimension ref="A1:I6"/>
  <sheetViews>
    <sheetView zoomScale="211" workbookViewId="0">
      <selection activeCell="F9" sqref="F9"/>
    </sheetView>
  </sheetViews>
  <sheetFormatPr baseColWidth="10" defaultRowHeight="16" x14ac:dyDescent="0.2"/>
  <cols>
    <col min="1" max="1" width="7" style="2" bestFit="1" customWidth="1"/>
    <col min="2" max="2" width="5.83203125" style="2" bestFit="1" customWidth="1"/>
    <col min="3" max="3" width="6.5" style="2" bestFit="1" customWidth="1"/>
    <col min="4" max="4" width="22.6640625" style="2" bestFit="1" customWidth="1"/>
    <col min="5" max="5" width="10.83203125" style="2"/>
    <col min="6" max="6" width="10.6640625" style="2" bestFit="1" customWidth="1"/>
    <col min="7" max="7" width="14.1640625" style="2" bestFit="1" customWidth="1"/>
    <col min="8" max="8" width="14.33203125" style="2" bestFit="1" customWidth="1"/>
    <col min="9" max="9" width="12.6640625" style="2" bestFit="1" customWidth="1"/>
    <col min="10" max="16384" width="10.83203125" style="2"/>
  </cols>
  <sheetData>
    <row r="1" spans="1:9" x14ac:dyDescent="0.2">
      <c r="A1" s="13" t="s">
        <v>72</v>
      </c>
      <c r="B1" s="14" t="s">
        <v>73</v>
      </c>
      <c r="C1" s="21" t="s">
        <v>74</v>
      </c>
      <c r="D1" s="21" t="s">
        <v>92</v>
      </c>
      <c r="E1" s="21" t="s">
        <v>93</v>
      </c>
      <c r="F1" s="21" t="s">
        <v>94</v>
      </c>
      <c r="G1" s="21" t="s">
        <v>95</v>
      </c>
      <c r="H1" s="21" t="s">
        <v>96</v>
      </c>
      <c r="I1" s="13" t="s">
        <v>77</v>
      </c>
    </row>
    <row r="2" spans="1:9" x14ac:dyDescent="0.2">
      <c r="A2" s="15">
        <v>45987</v>
      </c>
      <c r="B2" s="16">
        <v>1</v>
      </c>
      <c r="C2" s="13" t="s">
        <v>87</v>
      </c>
      <c r="D2" s="20">
        <v>0.81527777777777777</v>
      </c>
      <c r="E2" s="17">
        <v>0.15625</v>
      </c>
      <c r="F2" s="13">
        <v>29.7</v>
      </c>
      <c r="G2" s="14">
        <f>(E2-D2)*24 + 24</f>
        <v>8.1833333333333336</v>
      </c>
      <c r="H2" s="22">
        <v>0.20833333333333334</v>
      </c>
      <c r="I2" s="23">
        <f>(H2-E2)*24</f>
        <v>1.2500000000000002</v>
      </c>
    </row>
    <row r="3" spans="1:9" x14ac:dyDescent="0.2">
      <c r="A3" s="15">
        <v>45987</v>
      </c>
      <c r="B3" s="16">
        <v>1</v>
      </c>
      <c r="C3" s="13" t="s">
        <v>88</v>
      </c>
      <c r="D3" s="20">
        <v>0.81666666666666665</v>
      </c>
      <c r="E3" s="17">
        <v>0.15625</v>
      </c>
      <c r="F3" s="13">
        <v>29.3</v>
      </c>
      <c r="G3" s="14">
        <f t="shared" ref="G3:G5" si="0">(E3-D3)*24 + 24</f>
        <v>8.15</v>
      </c>
      <c r="H3" s="22">
        <v>0.21527777777777779</v>
      </c>
      <c r="I3" s="23">
        <f t="shared" ref="I3:I5" si="1">(H3-E3)*24</f>
        <v>1.416666666666667</v>
      </c>
    </row>
    <row r="4" spans="1:9" x14ac:dyDescent="0.2">
      <c r="A4" s="15">
        <v>45987</v>
      </c>
      <c r="B4" s="16">
        <v>1</v>
      </c>
      <c r="C4" s="13" t="s">
        <v>89</v>
      </c>
      <c r="D4" s="20">
        <v>0.81944444444444442</v>
      </c>
      <c r="E4" s="17">
        <v>0.15625</v>
      </c>
      <c r="F4" s="13">
        <v>28.7</v>
      </c>
      <c r="G4" s="14">
        <f t="shared" si="0"/>
        <v>8.0833333333333339</v>
      </c>
      <c r="H4" s="22">
        <v>0.22222222222222221</v>
      </c>
      <c r="I4" s="23">
        <f t="shared" si="1"/>
        <v>1.583333333333333</v>
      </c>
    </row>
    <row r="5" spans="1:9" x14ac:dyDescent="0.2">
      <c r="A5" s="15">
        <v>45987</v>
      </c>
      <c r="B5" s="16">
        <v>1</v>
      </c>
      <c r="C5" s="13" t="s">
        <v>90</v>
      </c>
      <c r="D5" s="20">
        <v>0.8208333333333333</v>
      </c>
      <c r="E5" s="17">
        <v>0.15625</v>
      </c>
      <c r="F5" s="13">
        <v>29.9</v>
      </c>
      <c r="G5" s="14">
        <f t="shared" si="0"/>
        <v>8.0500000000000007</v>
      </c>
      <c r="H5" s="24">
        <v>0.23055555555555557</v>
      </c>
      <c r="I5" s="23">
        <f t="shared" si="1"/>
        <v>1.7833333333333337</v>
      </c>
    </row>
    <row r="6" spans="1:9" x14ac:dyDescent="0.2">
      <c r="A6" s="13"/>
      <c r="B6" s="14"/>
      <c r="C6" s="13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673AD-2BE2-2D4F-A1C9-BF31717DB16E}">
  <dimension ref="A1:I8"/>
  <sheetViews>
    <sheetView tabSelected="1" zoomScale="233" workbookViewId="0">
      <selection activeCell="D8" sqref="D8"/>
    </sheetView>
  </sheetViews>
  <sheetFormatPr baseColWidth="10" defaultRowHeight="16" x14ac:dyDescent="0.2"/>
  <cols>
    <col min="1" max="1" width="8.5" bestFit="1" customWidth="1"/>
    <col min="2" max="2" width="5.83203125" bestFit="1" customWidth="1"/>
    <col min="3" max="3" width="6.5" bestFit="1" customWidth="1"/>
    <col min="4" max="4" width="10" bestFit="1" customWidth="1"/>
    <col min="5" max="5" width="8.5" bestFit="1" customWidth="1"/>
    <col min="6" max="6" width="7.5" bestFit="1" customWidth="1"/>
    <col min="7" max="7" width="12" bestFit="1" customWidth="1"/>
    <col min="8" max="8" width="14.5" bestFit="1" customWidth="1"/>
    <col min="9" max="9" width="8.6640625" bestFit="1" customWidth="1"/>
  </cols>
  <sheetData>
    <row r="1" spans="1:9" x14ac:dyDescent="0.2">
      <c r="A1" s="13" t="s">
        <v>72</v>
      </c>
      <c r="B1" s="14" t="s">
        <v>73</v>
      </c>
      <c r="C1" s="13" t="s">
        <v>74</v>
      </c>
      <c r="D1" s="13" t="s">
        <v>75</v>
      </c>
      <c r="E1" s="13" t="s">
        <v>76</v>
      </c>
      <c r="F1" s="13" t="s">
        <v>77</v>
      </c>
      <c r="G1" s="13" t="s">
        <v>78</v>
      </c>
      <c r="H1" s="13" t="s">
        <v>79</v>
      </c>
      <c r="I1" s="13" t="s">
        <v>80</v>
      </c>
    </row>
    <row r="2" spans="1:9" x14ac:dyDescent="0.2">
      <c r="A2" s="15">
        <v>45987</v>
      </c>
      <c r="B2" s="16">
        <v>1</v>
      </c>
      <c r="C2" s="13" t="s">
        <v>81</v>
      </c>
      <c r="D2" s="20">
        <v>0.79722222222222228</v>
      </c>
      <c r="E2" s="17">
        <v>0.90277777777777779</v>
      </c>
      <c r="F2" s="14">
        <f>(E2-D2)*24</f>
        <v>2.5333333333333323</v>
      </c>
      <c r="G2" s="13">
        <v>23</v>
      </c>
      <c r="H2" s="13">
        <v>3</v>
      </c>
      <c r="I2" s="13">
        <v>36</v>
      </c>
    </row>
    <row r="3" spans="1:9" x14ac:dyDescent="0.2">
      <c r="A3" s="15">
        <v>45987</v>
      </c>
      <c r="B3" s="16">
        <v>1</v>
      </c>
      <c r="C3" s="13" t="s">
        <v>82</v>
      </c>
      <c r="D3" s="20">
        <v>0.8</v>
      </c>
      <c r="E3" s="17">
        <v>0.90763888888888888</v>
      </c>
      <c r="F3" s="14">
        <f t="shared" ref="F3:F4" si="0">(E3-D3)*24</f>
        <v>2.5833333333333321</v>
      </c>
      <c r="G3" s="13">
        <v>29.1</v>
      </c>
      <c r="H3" s="13">
        <v>3</v>
      </c>
      <c r="I3" s="13">
        <v>36</v>
      </c>
    </row>
    <row r="4" spans="1:9" x14ac:dyDescent="0.2">
      <c r="A4" s="15">
        <v>45987</v>
      </c>
      <c r="B4" s="16">
        <v>1</v>
      </c>
      <c r="C4" s="13" t="s">
        <v>83</v>
      </c>
      <c r="D4" s="20">
        <v>0.80347222222222225</v>
      </c>
      <c r="E4" s="17">
        <v>0.91180555555555554</v>
      </c>
      <c r="F4" s="14">
        <f t="shared" si="0"/>
        <v>2.5999999999999988</v>
      </c>
      <c r="G4" s="13">
        <v>29.8</v>
      </c>
      <c r="H4" s="13">
        <v>3</v>
      </c>
      <c r="I4" s="13">
        <v>36</v>
      </c>
    </row>
    <row r="5" spans="1:9" x14ac:dyDescent="0.2">
      <c r="A5" s="15">
        <v>45987</v>
      </c>
      <c r="B5" s="16">
        <v>1</v>
      </c>
      <c r="C5" s="13" t="s">
        <v>84</v>
      </c>
      <c r="D5" s="20">
        <v>0.80694444444444446</v>
      </c>
      <c r="E5" s="17">
        <v>0.14722222222222223</v>
      </c>
      <c r="F5" s="14">
        <f>(E5-D5)*24 + 24</f>
        <v>8.1666666666666679</v>
      </c>
      <c r="G5" s="13">
        <v>31</v>
      </c>
      <c r="H5" s="13">
        <v>3</v>
      </c>
      <c r="I5" s="13">
        <v>36</v>
      </c>
    </row>
    <row r="6" spans="1:9" x14ac:dyDescent="0.2">
      <c r="A6" s="15">
        <v>45987</v>
      </c>
      <c r="B6" s="16">
        <v>1</v>
      </c>
      <c r="C6" s="13" t="s">
        <v>85</v>
      </c>
      <c r="D6" s="20">
        <v>0.80902777777777779</v>
      </c>
      <c r="E6" s="17">
        <v>0.15069444444444444</v>
      </c>
      <c r="F6" s="14">
        <f t="shared" ref="F6:F7" si="1">(E6-D6)*24 + 24</f>
        <v>8.1999999999999993</v>
      </c>
      <c r="G6" s="13">
        <v>28.3</v>
      </c>
      <c r="H6" s="13">
        <v>3</v>
      </c>
      <c r="I6" s="13">
        <v>36</v>
      </c>
    </row>
    <row r="7" spans="1:9" x14ac:dyDescent="0.2">
      <c r="A7" s="15">
        <v>45987</v>
      </c>
      <c r="B7" s="16">
        <v>1</v>
      </c>
      <c r="C7" s="13" t="s">
        <v>86</v>
      </c>
      <c r="D7" s="20">
        <v>0.81180555555555556</v>
      </c>
      <c r="E7" s="17">
        <v>0.15625</v>
      </c>
      <c r="F7" s="14">
        <f t="shared" si="1"/>
        <v>8.2666666666666657</v>
      </c>
      <c r="G7" s="13">
        <v>27.8</v>
      </c>
      <c r="H7" s="13">
        <v>3</v>
      </c>
      <c r="I7" s="13">
        <v>36</v>
      </c>
    </row>
    <row r="8" spans="1:9" x14ac:dyDescent="0.2">
      <c r="A8" s="18"/>
      <c r="B8" s="19"/>
      <c r="C8" s="18" t="s">
        <v>91</v>
      </c>
      <c r="D8" s="18"/>
      <c r="E8" s="18"/>
      <c r="F8" s="18">
        <v>0</v>
      </c>
      <c r="G8" s="18"/>
      <c r="H8" s="18"/>
      <c r="I8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data</vt:lpstr>
      <vt:lpstr>serum</vt:lpstr>
      <vt:lpstr>liver</vt:lpstr>
      <vt:lpstr>saponification</vt:lpstr>
      <vt:lpstr>sampleID_chase</vt:lpstr>
      <vt:lpstr>sampleID_pulse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Yuan, Bo</cp:lastModifiedBy>
  <dcterms:created xsi:type="dcterms:W3CDTF">2025-11-28T01:36:24Z</dcterms:created>
  <dcterms:modified xsi:type="dcterms:W3CDTF">2025-12-20T07:16:25Z</dcterms:modified>
</cp:coreProperties>
</file>