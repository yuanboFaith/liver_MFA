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yuan/Desktop/Harvard/Research/Energy Metabolism Atlas/"/>
    </mc:Choice>
  </mc:AlternateContent>
  <xr:revisionPtr revIDLastSave="0" documentId="13_ncr:1_{FB3D8CC1-69B3-5A4E-A62F-BA10AA630E2A}" xr6:coauthVersionLast="47" xr6:coauthVersionMax="47" xr10:uidLastSave="{00000000-0000-0000-0000-000000000000}"/>
  <bookViews>
    <workbookView xWindow="4080" yWindow="22340" windowWidth="30240" windowHeight="18900" activeTab="4" xr2:uid="{C27F82BD-D1C2-DF4B-9AB6-A06FDDA3A96C}"/>
  </bookViews>
  <sheets>
    <sheet name="Fasted base " sheetId="1" r:id="rId1"/>
    <sheet name="Fasted TAGkinetics" sheetId="2" r:id="rId2"/>
    <sheet name="Refed base" sheetId="3" r:id="rId3"/>
    <sheet name="Refed TAGkinetics" sheetId="4" r:id="rId4"/>
    <sheet name="Refed TAGkinetics_portalAAs" sheetId="5" r:id="rId5"/>
    <sheet name="flux_size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" i="5" l="1"/>
  <c r="T5" i="5"/>
  <c r="T6" i="5"/>
  <c r="T7" i="5"/>
  <c r="T8" i="5"/>
  <c r="T9" i="5"/>
  <c r="T10" i="5"/>
  <c r="T3" i="5"/>
  <c r="T4" i="5"/>
  <c r="T2" i="5"/>
  <c r="Q10" i="5"/>
  <c r="U8" i="5" s="1"/>
  <c r="R10" i="5"/>
  <c r="V8" i="5" s="1"/>
  <c r="M13" i="5"/>
  <c r="L13" i="5"/>
  <c r="R11" i="5"/>
  <c r="V9" i="5" s="1"/>
  <c r="Q11" i="5"/>
  <c r="U9" i="5" s="1"/>
  <c r="R8" i="5"/>
  <c r="V7" i="5" s="1"/>
  <c r="Q8" i="5"/>
  <c r="U7" i="5" s="1"/>
  <c r="R4" i="5"/>
  <c r="V4" i="5" s="1"/>
  <c r="Q4" i="5"/>
  <c r="U4" i="5" s="1"/>
  <c r="K4" i="5"/>
  <c r="M4" i="5" s="1"/>
  <c r="K3" i="5"/>
  <c r="L3" i="5" s="1"/>
  <c r="M12" i="4"/>
  <c r="L12" i="4"/>
  <c r="R10" i="4"/>
  <c r="Q10" i="4"/>
  <c r="R8" i="4"/>
  <c r="Q8" i="4"/>
  <c r="Q4" i="4"/>
  <c r="R4" i="4"/>
  <c r="R10" i="2"/>
  <c r="Q10" i="2"/>
  <c r="M13" i="2"/>
  <c r="N6" i="2"/>
  <c r="L6" i="2"/>
  <c r="M12" i="2"/>
  <c r="L13" i="2"/>
  <c r="L12" i="2"/>
  <c r="R9" i="2"/>
  <c r="R11" i="2" s="1"/>
  <c r="R5" i="2"/>
  <c r="Q9" i="2"/>
  <c r="Q11" i="2" s="1"/>
  <c r="Q5" i="2"/>
  <c r="R8" i="2"/>
  <c r="Q8" i="2"/>
  <c r="R7" i="2"/>
  <c r="Q7" i="2"/>
  <c r="R6" i="2"/>
  <c r="Q6" i="2"/>
  <c r="R4" i="2"/>
  <c r="Q4" i="2"/>
  <c r="R3" i="2"/>
  <c r="Q3" i="2"/>
  <c r="R2" i="2"/>
  <c r="Q2" i="2"/>
  <c r="K5" i="2"/>
  <c r="K3" i="2" s="1"/>
  <c r="Q3" i="5" l="1"/>
  <c r="U3" i="5" s="1"/>
  <c r="Q2" i="5"/>
  <c r="M3" i="5"/>
  <c r="N3" i="5" s="1"/>
  <c r="R6" i="5" s="1"/>
  <c r="V5" i="5" s="1"/>
  <c r="M6" i="5"/>
  <c r="Q7" i="5"/>
  <c r="U6" i="5" s="1"/>
  <c r="N4" i="5"/>
  <c r="R7" i="5" s="1"/>
  <c r="K6" i="5"/>
  <c r="R2" i="5"/>
  <c r="V2" i="5" s="1"/>
  <c r="L4" i="5"/>
  <c r="R3" i="5" s="1"/>
  <c r="V3" i="5" s="1"/>
  <c r="K4" i="4"/>
  <c r="K3" i="4"/>
  <c r="L3" i="2"/>
  <c r="M3" i="2"/>
  <c r="K4" i="2"/>
  <c r="L14" i="5" l="1"/>
  <c r="U2" i="5"/>
  <c r="Q5" i="5"/>
  <c r="Q6" i="5"/>
  <c r="R9" i="5"/>
  <c r="V6" i="5"/>
  <c r="R5" i="5"/>
  <c r="R12" i="5" s="1"/>
  <c r="V10" i="5" s="1"/>
  <c r="L6" i="5"/>
  <c r="N6" i="5"/>
  <c r="M3" i="4"/>
  <c r="L3" i="4"/>
  <c r="K6" i="4"/>
  <c r="Q2" i="4"/>
  <c r="M4" i="4"/>
  <c r="Q3" i="4"/>
  <c r="L4" i="4"/>
  <c r="R3" i="4" s="1"/>
  <c r="L4" i="2"/>
  <c r="M4" i="2"/>
  <c r="N4" i="2" s="1"/>
  <c r="M6" i="2"/>
  <c r="N3" i="2"/>
  <c r="K6" i="2"/>
  <c r="U5" i="5" l="1"/>
  <c r="Q9" i="5"/>
  <c r="M14" i="5"/>
  <c r="Q5" i="4"/>
  <c r="L6" i="4"/>
  <c r="R2" i="4"/>
  <c r="N4" i="4"/>
  <c r="R7" i="4" s="1"/>
  <c r="Q7" i="4"/>
  <c r="M6" i="4"/>
  <c r="L13" i="4" s="1"/>
  <c r="Q6" i="4"/>
  <c r="N3" i="4"/>
  <c r="Q12" i="5" l="1"/>
  <c r="R5" i="4"/>
  <c r="N6" i="4"/>
  <c r="M13" i="4" s="1"/>
  <c r="R6" i="4"/>
  <c r="R9" i="4" s="1"/>
  <c r="Q9" i="4"/>
  <c r="Q11" i="4" s="1"/>
  <c r="R11" i="4" l="1"/>
</calcChain>
</file>

<file path=xl/sharedStrings.xml><?xml version="1.0" encoding="utf-8"?>
<sst xmlns="http://schemas.openxmlformats.org/spreadsheetml/2006/main" count="462" uniqueCount="127">
  <si>
    <t>flux.index</t>
  </si>
  <si>
    <t>reactions</t>
  </si>
  <si>
    <t>flux.center</t>
  </si>
  <si>
    <t>SEM</t>
  </si>
  <si>
    <t>Pyr.Lvc-&gt;Lac.Blood</t>
  </si>
  <si>
    <t>Pyr.Lvc-&gt;Pyr.Lvm</t>
  </si>
  <si>
    <t>Pyr.Lvm-&gt;AcCoA.Lv+CO2.Blood</t>
  </si>
  <si>
    <t>srcAcCoA-&gt;AcCoA.Lv</t>
  </si>
  <si>
    <t>Palm.Blood-&gt;AcCoA.Lv</t>
  </si>
  <si>
    <t>Ole.Blood-&gt;AcCoA.Lv</t>
  </si>
  <si>
    <t>Lino.Blood-&gt;AcCoA.Lv</t>
  </si>
  <si>
    <t>OAA.Lv+AcCoA.Lv-&gt;Cit.Lv</t>
  </si>
  <si>
    <t>Cit.Lv-&gt;aKG.Lv+CO2.Blood</t>
  </si>
  <si>
    <t>aKG.Lv-&gt;Suc.Lv+CO2.Blood</t>
  </si>
  <si>
    <t>Mal.Lv-&gt;Pyr.Lvm+CO2.Blood</t>
  </si>
  <si>
    <t>Pyr.Lvm+CO2.Blood-&gt;OAA.Lv</t>
  </si>
  <si>
    <t>OAA.Lv-&gt;PEP.Lv+CO2.Blood</t>
  </si>
  <si>
    <t>PEP.Lv-&gt;GAP.Lv</t>
  </si>
  <si>
    <t>PEP.Lv-&gt;Pyr.Lvc</t>
  </si>
  <si>
    <t>Glycerol.Blood-&gt;DHAP.Lv</t>
  </si>
  <si>
    <t>GAP.Lv+DHAP.Lv-&gt;Glc.Lv</t>
  </si>
  <si>
    <t>Glycogen.Lv-&gt;Glc.Lv</t>
  </si>
  <si>
    <t>Glc.Lv-&gt;Glc.Blood</t>
  </si>
  <si>
    <t>Pyr.Lvc-&gt;Ala.Blood</t>
  </si>
  <si>
    <t>Ala.Blood-&gt;Pyr.Lvc</t>
  </si>
  <si>
    <t>62-60</t>
  </si>
  <si>
    <t>(Ala.Blood-&gt;Pyr.Lvc) - (Pyr.Lvc-&gt;Ala.Blood)</t>
  </si>
  <si>
    <t>aKG.Lv-&gt;Gln.Blood</t>
  </si>
  <si>
    <t>Gln.Blood-&gt;aKG.Lv</t>
  </si>
  <si>
    <t>68-66</t>
  </si>
  <si>
    <t>(Gln.Blood-&gt;aKG.Lv) - (aKG.Lv-&gt;Gln.Blood)</t>
  </si>
  <si>
    <t>AcCoA.Lv-&gt;AcCoA2.Lv</t>
  </si>
  <si>
    <t>AcCoA.Lv+AcCoA2.Lv-&gt;AACoA.Lv</t>
  </si>
  <si>
    <t>AACoA.Lv+AcCoA.Lv-&gt;HMGCoA.Lv</t>
  </si>
  <si>
    <t>NA</t>
  </si>
  <si>
    <t>HMGCoA.Lv-&gt;AcAct.Lv+AcCoA.Lv</t>
  </si>
  <si>
    <t>AcAct.Lv-&gt;HB.Blood</t>
  </si>
  <si>
    <t>74-76</t>
  </si>
  <si>
    <t>(AcAct.Lv-&gt;HB.Blood) - (HB.Blood-&gt;AcAct.Lv)</t>
  </si>
  <si>
    <t>HB.Blood-&gt;AcAct.Lv</t>
  </si>
  <si>
    <t>AcAct.Lv-&gt;AACoA.Lv</t>
  </si>
  <si>
    <t>AACoA.Lv-&gt;AcCoA.Lv+AcCoA3.Lv</t>
  </si>
  <si>
    <t>AcCoA3.Lv-&gt;AcCoA.Lv</t>
  </si>
  <si>
    <t>Lac.Blood-&gt;Pyr.Lvc</t>
  </si>
  <si>
    <t>(Lac.Blood-&gt;Pyr.Lvc) - (Pyr.Lvc-&gt;Lac.Blood)</t>
  </si>
  <si>
    <t>9-10</t>
  </si>
  <si>
    <t>flux.center.norm</t>
  </si>
  <si>
    <t>SEM.norm</t>
  </si>
  <si>
    <t>TAGLino.Lv-&gt;AcCoA.Lv</t>
  </si>
  <si>
    <t>63-61</t>
  </si>
  <si>
    <t>69-67</t>
  </si>
  <si>
    <t>75-77</t>
  </si>
  <si>
    <t>Showing 1 to 25 of 37 entries, 6 total columns</t>
  </si>
  <si>
    <t>(Lac.Blood-&gt;Pyr.Lvc) -  (Pyr.Lvc-&gt;Lac.Blood)</t>
  </si>
  <si>
    <t>56-54</t>
  </si>
  <si>
    <t>(Gln.Blood-&gt;aKG.Lv) -  (aKG.Lv-&gt;Gln.Blood)</t>
  </si>
  <si>
    <t>62-64</t>
  </si>
  <si>
    <t>(AcAct.Lv-&gt;HB.Blood) -  (HB.Blood-&gt;AcAct.Lv)</t>
  </si>
  <si>
    <t>55-53</t>
  </si>
  <si>
    <t>(Ala.Blood-&gt;Pyr.Lvc) -  (Pyr.Lvc-&gt;Ala.Blood)</t>
  </si>
  <si>
    <t>61-59</t>
  </si>
  <si>
    <t>67-69</t>
  </si>
  <si>
    <t>5-6</t>
  </si>
  <si>
    <t>3-4</t>
  </si>
  <si>
    <t>Ala.hp-&gt;Pyr.Lvm</t>
  </si>
  <si>
    <t>Ser.hp-&gt;Pyr.Lvm</t>
  </si>
  <si>
    <t>52+53+54</t>
  </si>
  <si>
    <t>(Ser.hp-&gt;Pyr.Lvm)+(Thr.hp-&gt;Pyr.Lvm)+(Trp.hp-&gt;Pyr.Lvm)</t>
  </si>
  <si>
    <t>Thr.hp-&gt;Pyr.Lvm</t>
  </si>
  <si>
    <t>Trp.hp-&gt;Pyr.Lvm</t>
  </si>
  <si>
    <t>Ile.hp-&gt;AcCoA.Lv</t>
  </si>
  <si>
    <t>55+56+57+58+59+60+61</t>
  </si>
  <si>
    <t>(Ile.hp-&gt;AcCoA.Lv)+(Leu.hp-&gt;AcCoA.Lv)+(Lys.hp-&gt;AcCoA.Lv)+(Thr.hp-&gt;AcCoA.Lv)+(Phe.hp-&gt;AcCoA.Lv)+(Trp.hp-&gt;AcCoA.Lv)+(Tyr.hp-&gt;AcCoA.Lv)</t>
  </si>
  <si>
    <t>Leu.hp-&gt;AcCoA.Lv</t>
  </si>
  <si>
    <t>Lys.hp-&gt;AcCoA.Lv</t>
  </si>
  <si>
    <t>Thr.hp-&gt;AcCoA.Lv</t>
  </si>
  <si>
    <t>Phe.hp-&gt;AcCoA.Lv</t>
  </si>
  <si>
    <t>Trp.hp-&gt;AcCoA.Lv</t>
  </si>
  <si>
    <t>Tyr.hp-&gt;AcCoA.Lv</t>
  </si>
  <si>
    <t>Arg.hp-&gt;aKG.Lv</t>
  </si>
  <si>
    <t>Glu.hp-&gt;aKG.Lv</t>
  </si>
  <si>
    <t>Gln.hp-&gt;aKG.Lv</t>
  </si>
  <si>
    <t>Ile.hp-&gt;Suc.Lv</t>
  </si>
  <si>
    <t>65+66+67+68+69+70</t>
  </si>
  <si>
    <t>(Ile.hp-&gt;Suc.Lv)+(Val.hp-&gt;Suc.Lv)+(Asp.hp-&gt;Mal.Lv)+(Phe.hp-&gt;Mal.Lv)+(Tyr.hp-&gt;Mal.Lv)+(Asp.hp-&gt;OAA.Lv)</t>
  </si>
  <si>
    <t>Val.hp-&gt;Suc.Lv</t>
  </si>
  <si>
    <t>Asp.hp-&gt;Mal.Lv</t>
  </si>
  <si>
    <t>Phe.hp-&gt;Mal.Lv</t>
  </si>
  <si>
    <t>Tyr.hp-&gt;Mal.Lv</t>
  </si>
  <si>
    <t>Asp.hp-&gt;OAA.Lv</t>
  </si>
  <si>
    <t>75-73</t>
  </si>
  <si>
    <t>81-79</t>
  </si>
  <si>
    <t>87-89</t>
  </si>
  <si>
    <t>flux</t>
  </si>
  <si>
    <t>size</t>
  </si>
  <si>
    <t>free</t>
  </si>
  <si>
    <t>TAG</t>
  </si>
  <si>
    <t>free CI</t>
  </si>
  <si>
    <t>TAG CI</t>
  </si>
  <si>
    <t>others</t>
  </si>
  <si>
    <t>CS</t>
  </si>
  <si>
    <t>mean</t>
  </si>
  <si>
    <t>error</t>
  </si>
  <si>
    <t>PDH</t>
  </si>
  <si>
    <t>3HB</t>
  </si>
  <si>
    <t>total others</t>
  </si>
  <si>
    <t>Palm</t>
  </si>
  <si>
    <t>Ole</t>
  </si>
  <si>
    <t>Lino</t>
  </si>
  <si>
    <t>Fast TAGkinetics</t>
  </si>
  <si>
    <t>Fast base free FAs</t>
  </si>
  <si>
    <t>fuels</t>
  </si>
  <si>
    <t>other TAGs</t>
  </si>
  <si>
    <t>other NEFAs</t>
  </si>
  <si>
    <t>total AcCoA</t>
  </si>
  <si>
    <t>carbs</t>
  </si>
  <si>
    <t>NEFA-Palm</t>
  </si>
  <si>
    <t>NEFA-Ole</t>
  </si>
  <si>
    <t>NEFA-Lino</t>
  </si>
  <si>
    <t>TAG-Palm</t>
  </si>
  <si>
    <t>TAG-Ole</t>
  </si>
  <si>
    <t>TAG-Lino</t>
  </si>
  <si>
    <t>50-48</t>
  </si>
  <si>
    <t>amino acids</t>
  </si>
  <si>
    <t>Amino Acids</t>
  </si>
  <si>
    <t>All data put together</t>
  </si>
  <si>
    <t>remove other NEFA and other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</si>
</sst>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11" x14ac:knownFonts="1">
    <font>
      <sz val="12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i/>
      <sz val="11"/>
      <color rgb="FFB0B0B0"/>
      <name val="Lucida Grande"/>
      <family val="2"/>
    </font>
    <font>
      <sz val="11"/>
      <color rgb="FF333333"/>
      <name val="Lucida Grande"/>
      <family val="2"/>
    </font>
    <font>
      <b/>
      <sz val="11"/>
      <color theme="1"/>
      <name val="Lucida Grande"/>
      <family val="2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sz val="12"/>
      <color rgb="FF7030A0"/>
      <name val="Aptos Narrow"/>
      <scheme val="minor"/>
    </font>
    <font>
      <b/>
      <sz val="11"/>
      <color rgb="FF333333"/>
      <name val="Lucida Grande"/>
      <family val="2"/>
    </font>
    <font>
      <sz val="11"/>
      <color rgb="FF000000"/>
      <name val="Lucida Grande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1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1" fillId="2" borderId="0" xfId="0" applyFont="1" applyFill="1"/>
    <xf numFmtId="49" fontId="0" fillId="2" borderId="0" xfId="0" applyNumberFormat="1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1" fontId="2" fillId="2" borderId="0" xfId="0" applyNumberFormat="1" applyFont="1" applyFill="1" applyAlignment="1">
      <alignment horizontal="left"/>
    </xf>
    <xf numFmtId="1" fontId="2" fillId="0" borderId="0" xfId="0" applyNumberFormat="1" applyFont="1" applyAlignment="1">
      <alignment horizontal="left"/>
    </xf>
    <xf numFmtId="1" fontId="3" fillId="2" borderId="0" xfId="0" applyNumberFormat="1" applyFont="1" applyFill="1" applyAlignment="1">
      <alignment horizontal="left"/>
    </xf>
    <xf numFmtId="1" fontId="3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" fontId="5" fillId="2" borderId="0" xfId="0" applyNumberFormat="1" applyFont="1" applyFill="1" applyAlignment="1">
      <alignment horizontal="left"/>
    </xf>
    <xf numFmtId="1" fontId="2" fillId="2" borderId="0" xfId="0" applyNumberFormat="1" applyFont="1" applyFill="1"/>
    <xf numFmtId="1" fontId="3" fillId="2" borderId="0" xfId="0" applyNumberFormat="1" applyFont="1" applyFill="1"/>
    <xf numFmtId="0" fontId="5" fillId="0" borderId="0" xfId="0" applyFont="1"/>
    <xf numFmtId="1" fontId="5" fillId="2" borderId="0" xfId="0" applyNumberFormat="1" applyFont="1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5" xfId="0" applyBorder="1"/>
    <xf numFmtId="0" fontId="0" fillId="0" borderId="4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0" fillId="0" borderId="5" xfId="0" applyNumberFormat="1" applyBorder="1"/>
    <xf numFmtId="0" fontId="0" fillId="0" borderId="6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7" xfId="0" applyNumberFormat="1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6" xfId="0" applyBorder="1" applyAlignment="1">
      <alignment horizontal="center" vertical="center" wrapText="1"/>
    </xf>
    <xf numFmtId="1" fontId="0" fillId="0" borderId="4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4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" fontId="8" fillId="0" borderId="6" xfId="0" applyNumberFormat="1" applyFont="1" applyBorder="1" applyAlignment="1">
      <alignment horizontal="center"/>
    </xf>
    <xf numFmtId="1" fontId="8" fillId="0" borderId="7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8" fillId="0" borderId="0" xfId="0" applyFont="1" applyBorder="1"/>
    <xf numFmtId="0" fontId="8" fillId="0" borderId="5" xfId="0" applyFont="1" applyBorder="1"/>
    <xf numFmtId="0" fontId="0" fillId="0" borderId="6" xfId="0" applyBorder="1"/>
    <xf numFmtId="1" fontId="0" fillId="0" borderId="8" xfId="0" applyNumberFormat="1" applyBorder="1"/>
    <xf numFmtId="0" fontId="0" fillId="0" borderId="0" xfId="0" applyFill="1" applyBorder="1"/>
    <xf numFmtId="0" fontId="0" fillId="0" borderId="4" xfId="0" applyFill="1" applyBorder="1"/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9" fillId="0" borderId="0" xfId="0" applyFont="1" applyAlignment="1">
      <alignment horizontal="left"/>
    </xf>
    <xf numFmtId="1" fontId="9" fillId="2" borderId="0" xfId="0" applyNumberFormat="1" applyFont="1" applyFill="1" applyAlignment="1">
      <alignment horizontal="left"/>
    </xf>
    <xf numFmtId="1" fontId="8" fillId="3" borderId="6" xfId="0" applyNumberFormat="1" applyFont="1" applyFill="1" applyBorder="1" applyAlignment="1">
      <alignment horizontal="center"/>
    </xf>
    <xf numFmtId="1" fontId="8" fillId="3" borderId="7" xfId="0" applyNumberFormat="1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0" xfId="0" applyFont="1" applyFill="1" applyBorder="1"/>
    <xf numFmtId="0" fontId="8" fillId="3" borderId="5" xfId="0" applyFont="1" applyFill="1" applyBorder="1"/>
    <xf numFmtId="0" fontId="8" fillId="4" borderId="4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10" fillId="0" borderId="0" xfId="0" applyFont="1"/>
    <xf numFmtId="0" fontId="0" fillId="0" borderId="12" xfId="0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171" fontId="0" fillId="0" borderId="12" xfId="0" applyNumberFormat="1" applyBorder="1" applyAlignment="1">
      <alignment horizontal="center"/>
    </xf>
    <xf numFmtId="0" fontId="6" fillId="0" borderId="1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50E0C-1969-0348-9DD2-F6F428AE80DC}">
  <dimension ref="A1:G39"/>
  <sheetViews>
    <sheetView zoomScale="200" workbookViewId="0">
      <selection activeCell="C7" sqref="C7"/>
    </sheetView>
  </sheetViews>
  <sheetFormatPr baseColWidth="10" defaultRowHeight="16" x14ac:dyDescent="0.2"/>
  <cols>
    <col min="1" max="2" width="10.83203125" style="9"/>
    <col min="3" max="3" width="43.33203125" style="9" bestFit="1" customWidth="1"/>
    <col min="4" max="5" width="10.83203125" style="17"/>
    <col min="6" max="16384" width="10.83203125" style="9"/>
  </cols>
  <sheetData>
    <row r="1" spans="1:7" x14ac:dyDescent="0.2">
      <c r="A1" s="8"/>
      <c r="B1" s="14" t="s">
        <v>0</v>
      </c>
      <c r="C1" s="8" t="s">
        <v>1</v>
      </c>
      <c r="D1" s="18" t="s">
        <v>2</v>
      </c>
      <c r="E1" s="18" t="s">
        <v>3</v>
      </c>
      <c r="F1" s="8" t="s">
        <v>46</v>
      </c>
      <c r="G1" s="8" t="s">
        <v>47</v>
      </c>
    </row>
    <row r="2" spans="1:7" x14ac:dyDescent="0.2">
      <c r="A2" s="8">
        <v>1</v>
      </c>
      <c r="B2" s="15">
        <v>10</v>
      </c>
      <c r="C2" s="10" t="s">
        <v>4</v>
      </c>
      <c r="D2" s="20">
        <v>184.4</v>
      </c>
      <c r="E2" s="20">
        <v>32.5</v>
      </c>
      <c r="F2" s="21">
        <v>56.8</v>
      </c>
      <c r="G2" s="21">
        <v>9.8000000000000007</v>
      </c>
    </row>
    <row r="3" spans="1:7" x14ac:dyDescent="0.2">
      <c r="A3" s="8">
        <v>2</v>
      </c>
      <c r="B3" s="15">
        <v>11</v>
      </c>
      <c r="C3" s="10" t="s">
        <v>5</v>
      </c>
      <c r="D3" s="20">
        <v>675.5</v>
      </c>
      <c r="E3" s="20">
        <v>132.4</v>
      </c>
      <c r="F3" s="21">
        <v>208.1</v>
      </c>
      <c r="G3" s="21">
        <v>39.950000000000003</v>
      </c>
    </row>
    <row r="4" spans="1:7" x14ac:dyDescent="0.2">
      <c r="A4" s="8">
        <v>3</v>
      </c>
      <c r="B4" s="15">
        <v>12</v>
      </c>
      <c r="C4" s="24" t="s">
        <v>6</v>
      </c>
      <c r="D4" s="25">
        <v>5.6</v>
      </c>
      <c r="E4" s="25">
        <v>2.8</v>
      </c>
      <c r="F4" s="21">
        <v>1.7</v>
      </c>
      <c r="G4" s="21">
        <v>0.85</v>
      </c>
    </row>
    <row r="5" spans="1:7" x14ac:dyDescent="0.2">
      <c r="A5" s="8">
        <v>4</v>
      </c>
      <c r="B5" s="15">
        <v>13</v>
      </c>
      <c r="C5" s="24" t="s">
        <v>7</v>
      </c>
      <c r="D5" s="25">
        <v>170.4</v>
      </c>
      <c r="E5" s="25">
        <v>17.7</v>
      </c>
      <c r="F5" s="21">
        <v>52.5</v>
      </c>
      <c r="G5" s="21">
        <v>5.35</v>
      </c>
    </row>
    <row r="6" spans="1:7" x14ac:dyDescent="0.2">
      <c r="A6" s="8">
        <v>5</v>
      </c>
      <c r="B6" s="15">
        <v>14</v>
      </c>
      <c r="C6" s="24" t="s">
        <v>8</v>
      </c>
      <c r="D6" s="25">
        <v>38.9</v>
      </c>
      <c r="E6" s="25">
        <v>5.0999999999999996</v>
      </c>
      <c r="F6" s="21">
        <v>12</v>
      </c>
      <c r="G6" s="21">
        <v>1.55</v>
      </c>
    </row>
    <row r="7" spans="1:7" x14ac:dyDescent="0.2">
      <c r="A7" s="8">
        <v>6</v>
      </c>
      <c r="B7" s="15">
        <v>15</v>
      </c>
      <c r="C7" s="24" t="s">
        <v>9</v>
      </c>
      <c r="D7" s="25">
        <v>77.7</v>
      </c>
      <c r="E7" s="25">
        <v>10.1</v>
      </c>
      <c r="F7" s="21">
        <v>23.9</v>
      </c>
      <c r="G7" s="21">
        <v>3.05</v>
      </c>
    </row>
    <row r="8" spans="1:7" x14ac:dyDescent="0.2">
      <c r="A8" s="8">
        <v>7</v>
      </c>
      <c r="B8" s="15">
        <v>16</v>
      </c>
      <c r="C8" s="24" t="s">
        <v>10</v>
      </c>
      <c r="D8" s="25">
        <v>104.1</v>
      </c>
      <c r="E8" s="25">
        <v>8.9</v>
      </c>
      <c r="F8" s="21">
        <v>32.1</v>
      </c>
      <c r="G8" s="21">
        <v>2.65</v>
      </c>
    </row>
    <row r="9" spans="1:7" x14ac:dyDescent="0.2">
      <c r="A9" s="8">
        <v>8</v>
      </c>
      <c r="B9" s="15">
        <v>17</v>
      </c>
      <c r="C9" s="24" t="s">
        <v>11</v>
      </c>
      <c r="D9" s="25">
        <v>324.60000000000002</v>
      </c>
      <c r="E9" s="25">
        <v>20.7</v>
      </c>
      <c r="F9" s="21">
        <v>100</v>
      </c>
      <c r="G9" s="21">
        <v>6.25</v>
      </c>
    </row>
    <row r="10" spans="1:7" x14ac:dyDescent="0.2">
      <c r="A10" s="8">
        <v>9</v>
      </c>
      <c r="B10" s="15">
        <v>18</v>
      </c>
      <c r="C10" s="24" t="s">
        <v>12</v>
      </c>
      <c r="D10" s="25">
        <v>324.60000000000002</v>
      </c>
      <c r="E10" s="25">
        <v>20.7</v>
      </c>
      <c r="F10" s="21">
        <v>100</v>
      </c>
      <c r="G10" s="21">
        <v>6.25</v>
      </c>
    </row>
    <row r="11" spans="1:7" x14ac:dyDescent="0.2">
      <c r="A11" s="8">
        <v>10</v>
      </c>
      <c r="B11" s="15">
        <v>19</v>
      </c>
      <c r="C11" s="24" t="s">
        <v>13</v>
      </c>
      <c r="D11" s="25">
        <v>350.6</v>
      </c>
      <c r="E11" s="25">
        <v>21.2</v>
      </c>
      <c r="F11" s="21">
        <v>108</v>
      </c>
      <c r="G11" s="21">
        <v>6.4</v>
      </c>
    </row>
    <row r="12" spans="1:7" x14ac:dyDescent="0.2">
      <c r="A12" s="8">
        <v>11</v>
      </c>
      <c r="B12" s="15">
        <v>24</v>
      </c>
      <c r="C12" s="24" t="s">
        <v>14</v>
      </c>
      <c r="D12" s="25">
        <v>29.7</v>
      </c>
      <c r="E12" s="25">
        <v>15.1</v>
      </c>
      <c r="F12" s="21">
        <v>9.1</v>
      </c>
      <c r="G12" s="21">
        <v>4.5999999999999996</v>
      </c>
    </row>
    <row r="13" spans="1:7" x14ac:dyDescent="0.2">
      <c r="A13" s="8">
        <v>12</v>
      </c>
      <c r="B13" s="15">
        <v>25</v>
      </c>
      <c r="C13" s="24" t="s">
        <v>15</v>
      </c>
      <c r="D13" s="25">
        <v>671.6</v>
      </c>
      <c r="E13" s="25">
        <v>132.4</v>
      </c>
      <c r="F13" s="21">
        <v>206.9</v>
      </c>
      <c r="G13" s="21">
        <v>40</v>
      </c>
    </row>
    <row r="14" spans="1:7" x14ac:dyDescent="0.2">
      <c r="A14" s="8">
        <v>13</v>
      </c>
      <c r="B14" s="15">
        <v>26</v>
      </c>
      <c r="C14" s="24" t="s">
        <v>16</v>
      </c>
      <c r="D14" s="25">
        <v>697.4</v>
      </c>
      <c r="E14" s="25">
        <v>133.4</v>
      </c>
      <c r="F14" s="21">
        <v>214.8</v>
      </c>
      <c r="G14" s="21">
        <v>40.299999999999997</v>
      </c>
    </row>
    <row r="15" spans="1:7" x14ac:dyDescent="0.2">
      <c r="A15" s="8">
        <v>14</v>
      </c>
      <c r="B15" s="15">
        <v>27</v>
      </c>
      <c r="C15" s="24" t="s">
        <v>17</v>
      </c>
      <c r="D15" s="25">
        <v>193.7</v>
      </c>
      <c r="E15" s="25">
        <v>7.9</v>
      </c>
      <c r="F15" s="21">
        <v>59.7</v>
      </c>
      <c r="G15" s="21">
        <v>2.35</v>
      </c>
    </row>
    <row r="16" spans="1:7" x14ac:dyDescent="0.2">
      <c r="A16" s="8">
        <v>15</v>
      </c>
      <c r="B16" s="15">
        <v>28</v>
      </c>
      <c r="C16" s="24" t="s">
        <v>18</v>
      </c>
      <c r="D16" s="25">
        <v>504</v>
      </c>
      <c r="E16" s="25">
        <v>136.69999999999999</v>
      </c>
      <c r="F16" s="21">
        <v>155.30000000000001</v>
      </c>
      <c r="G16" s="21">
        <v>41.25</v>
      </c>
    </row>
    <row r="17" spans="1:7" x14ac:dyDescent="0.2">
      <c r="A17" s="8">
        <v>16</v>
      </c>
      <c r="B17" s="15">
        <v>30</v>
      </c>
      <c r="C17" s="24" t="s">
        <v>19</v>
      </c>
      <c r="D17" s="25">
        <v>72</v>
      </c>
      <c r="E17" s="25">
        <v>2.5</v>
      </c>
      <c r="F17" s="21">
        <v>22.2</v>
      </c>
      <c r="G17" s="21">
        <v>0.75</v>
      </c>
    </row>
    <row r="18" spans="1:7" x14ac:dyDescent="0.2">
      <c r="A18" s="8">
        <v>17</v>
      </c>
      <c r="B18" s="15">
        <v>32</v>
      </c>
      <c r="C18" s="24" t="s">
        <v>20</v>
      </c>
      <c r="D18" s="25">
        <v>133.19999999999999</v>
      </c>
      <c r="E18" s="25">
        <v>4.2</v>
      </c>
      <c r="F18" s="21">
        <v>41</v>
      </c>
      <c r="G18" s="21">
        <v>1.3</v>
      </c>
    </row>
    <row r="19" spans="1:7" x14ac:dyDescent="0.2">
      <c r="A19" s="8">
        <v>18</v>
      </c>
      <c r="B19" s="15">
        <v>33</v>
      </c>
      <c r="C19" s="24" t="s">
        <v>21</v>
      </c>
      <c r="D19" s="25">
        <v>9.4</v>
      </c>
      <c r="E19" s="25">
        <v>3</v>
      </c>
      <c r="F19" s="21">
        <v>2.9</v>
      </c>
      <c r="G19" s="21">
        <v>0.9</v>
      </c>
    </row>
    <row r="20" spans="1:7" x14ac:dyDescent="0.2">
      <c r="A20" s="8">
        <v>19</v>
      </c>
      <c r="B20" s="15">
        <v>34</v>
      </c>
      <c r="C20" s="24" t="s">
        <v>22</v>
      </c>
      <c r="D20" s="25">
        <v>142.5</v>
      </c>
      <c r="E20" s="25">
        <v>3.8</v>
      </c>
      <c r="F20" s="21">
        <v>43.9</v>
      </c>
      <c r="G20" s="21">
        <v>1.1499999999999999</v>
      </c>
    </row>
    <row r="21" spans="1:7" x14ac:dyDescent="0.2">
      <c r="A21" s="8">
        <v>20</v>
      </c>
      <c r="B21" s="15">
        <v>60</v>
      </c>
      <c r="C21" s="10" t="s">
        <v>23</v>
      </c>
      <c r="D21" s="20">
        <v>23.2</v>
      </c>
      <c r="E21" s="20">
        <v>11.8</v>
      </c>
      <c r="F21" s="21">
        <v>7.2</v>
      </c>
      <c r="G21" s="21">
        <v>3.55</v>
      </c>
    </row>
    <row r="22" spans="1:7" x14ac:dyDescent="0.2">
      <c r="A22" s="8">
        <v>21</v>
      </c>
      <c r="B22" s="15">
        <v>62</v>
      </c>
      <c r="C22" s="10" t="s">
        <v>24</v>
      </c>
      <c r="D22" s="20">
        <v>117.2</v>
      </c>
      <c r="E22" s="20">
        <v>5.7</v>
      </c>
      <c r="F22" s="21">
        <v>36.1</v>
      </c>
      <c r="G22" s="21">
        <v>1.75</v>
      </c>
    </row>
    <row r="23" spans="1:7" x14ac:dyDescent="0.2">
      <c r="A23" s="8">
        <v>22</v>
      </c>
      <c r="B23" s="15" t="s">
        <v>25</v>
      </c>
      <c r="C23" s="24" t="s">
        <v>26</v>
      </c>
      <c r="D23" s="25">
        <v>100.3</v>
      </c>
      <c r="E23" s="25">
        <v>11.1</v>
      </c>
      <c r="F23" s="21">
        <v>30.9</v>
      </c>
      <c r="G23" s="21">
        <v>3.35</v>
      </c>
    </row>
    <row r="24" spans="1:7" x14ac:dyDescent="0.2">
      <c r="A24" s="8">
        <v>23</v>
      </c>
      <c r="B24" s="15">
        <v>66</v>
      </c>
      <c r="C24" s="10" t="s">
        <v>27</v>
      </c>
      <c r="D24" s="20">
        <v>17.399999999999999</v>
      </c>
      <c r="E24" s="20">
        <v>5.3</v>
      </c>
      <c r="F24" s="21">
        <v>5.3</v>
      </c>
      <c r="G24" s="21">
        <v>1.65</v>
      </c>
    </row>
    <row r="25" spans="1:7" x14ac:dyDescent="0.2">
      <c r="A25" s="8">
        <v>24</v>
      </c>
      <c r="B25" s="15">
        <v>68</v>
      </c>
      <c r="C25" s="10" t="s">
        <v>28</v>
      </c>
      <c r="D25" s="20">
        <v>40.700000000000003</v>
      </c>
      <c r="E25" s="20">
        <v>3</v>
      </c>
      <c r="F25" s="21">
        <v>12.5</v>
      </c>
      <c r="G25" s="21">
        <v>0.95</v>
      </c>
    </row>
    <row r="26" spans="1:7" x14ac:dyDescent="0.2">
      <c r="A26" s="8">
        <v>25</v>
      </c>
      <c r="B26" s="15" t="s">
        <v>29</v>
      </c>
      <c r="C26" s="24" t="s">
        <v>30</v>
      </c>
      <c r="D26" s="25">
        <v>23.3</v>
      </c>
      <c r="E26" s="25">
        <v>4.9000000000000004</v>
      </c>
      <c r="F26" s="21">
        <v>7.2</v>
      </c>
      <c r="G26" s="21">
        <v>1.45</v>
      </c>
    </row>
    <row r="27" spans="1:7" x14ac:dyDescent="0.2">
      <c r="A27" s="8">
        <v>26</v>
      </c>
      <c r="B27" s="15">
        <v>70</v>
      </c>
      <c r="C27" s="10" t="s">
        <v>31</v>
      </c>
      <c r="D27" s="20">
        <v>378083.4</v>
      </c>
      <c r="E27" s="20">
        <v>192711.4</v>
      </c>
      <c r="F27" s="21">
        <v>116466.9</v>
      </c>
      <c r="G27" s="21">
        <v>58176.65</v>
      </c>
    </row>
    <row r="28" spans="1:7" x14ac:dyDescent="0.2">
      <c r="A28" s="8">
        <v>27</v>
      </c>
      <c r="B28" s="15">
        <v>71</v>
      </c>
      <c r="C28" s="10" t="s">
        <v>32</v>
      </c>
      <c r="D28" s="20">
        <v>378083.4</v>
      </c>
      <c r="E28" s="20">
        <v>192711.4</v>
      </c>
      <c r="F28" s="21">
        <v>116466.9</v>
      </c>
      <c r="G28" s="21">
        <v>58176.65</v>
      </c>
    </row>
    <row r="29" spans="1:7" x14ac:dyDescent="0.2">
      <c r="A29" s="8">
        <v>28</v>
      </c>
      <c r="B29" s="15">
        <v>72</v>
      </c>
      <c r="C29" s="10" t="s">
        <v>33</v>
      </c>
      <c r="D29" s="22" t="s">
        <v>34</v>
      </c>
      <c r="E29" s="22" t="s">
        <v>34</v>
      </c>
      <c r="F29" s="23" t="s">
        <v>34</v>
      </c>
      <c r="G29" s="23" t="s">
        <v>34</v>
      </c>
    </row>
    <row r="30" spans="1:7" x14ac:dyDescent="0.2">
      <c r="A30" s="8">
        <v>29</v>
      </c>
      <c r="B30" s="15">
        <v>73</v>
      </c>
      <c r="C30" s="10" t="s">
        <v>35</v>
      </c>
      <c r="D30" s="22" t="s">
        <v>34</v>
      </c>
      <c r="E30" s="22" t="s">
        <v>34</v>
      </c>
      <c r="F30" s="23" t="s">
        <v>34</v>
      </c>
      <c r="G30" s="23" t="s">
        <v>34</v>
      </c>
    </row>
    <row r="31" spans="1:7" x14ac:dyDescent="0.2">
      <c r="A31" s="8">
        <v>30</v>
      </c>
      <c r="B31" s="15">
        <v>74</v>
      </c>
      <c r="C31" s="10" t="s">
        <v>36</v>
      </c>
      <c r="D31" s="20">
        <v>201.1</v>
      </c>
      <c r="E31" s="20">
        <v>82.5</v>
      </c>
      <c r="F31" s="21">
        <v>61.9</v>
      </c>
      <c r="G31" s="21">
        <v>24.95</v>
      </c>
    </row>
    <row r="32" spans="1:7" x14ac:dyDescent="0.2">
      <c r="A32" s="8">
        <v>31</v>
      </c>
      <c r="B32" s="15" t="s">
        <v>37</v>
      </c>
      <c r="C32" s="24" t="s">
        <v>38</v>
      </c>
      <c r="D32" s="25">
        <v>33.700000000000003</v>
      </c>
      <c r="E32" s="25">
        <v>3.7</v>
      </c>
      <c r="F32" s="21">
        <v>10.4</v>
      </c>
      <c r="G32" s="21">
        <v>1.1000000000000001</v>
      </c>
    </row>
    <row r="33" spans="1:7" x14ac:dyDescent="0.2">
      <c r="A33" s="8">
        <v>32</v>
      </c>
      <c r="B33" s="15">
        <v>76</v>
      </c>
      <c r="C33" s="10" t="s">
        <v>39</v>
      </c>
      <c r="D33" s="20">
        <v>23.9</v>
      </c>
      <c r="E33" s="20">
        <v>11</v>
      </c>
      <c r="F33" s="21">
        <v>7.4</v>
      </c>
      <c r="G33" s="21">
        <v>3.3</v>
      </c>
    </row>
    <row r="34" spans="1:7" x14ac:dyDescent="0.2">
      <c r="A34" s="8">
        <v>33</v>
      </c>
      <c r="B34" s="15">
        <v>78</v>
      </c>
      <c r="C34" s="10" t="s">
        <v>40</v>
      </c>
      <c r="D34" s="22" t="s">
        <v>34</v>
      </c>
      <c r="E34" s="22" t="s">
        <v>34</v>
      </c>
      <c r="F34" s="23" t="s">
        <v>34</v>
      </c>
      <c r="G34" s="23" t="s">
        <v>34</v>
      </c>
    </row>
    <row r="35" spans="1:7" x14ac:dyDescent="0.2">
      <c r="A35" s="8">
        <v>34</v>
      </c>
      <c r="B35" s="15">
        <v>79</v>
      </c>
      <c r="C35" s="10" t="s">
        <v>41</v>
      </c>
      <c r="D35" s="22" t="s">
        <v>34</v>
      </c>
      <c r="E35" s="22" t="s">
        <v>34</v>
      </c>
      <c r="F35" s="23" t="s">
        <v>34</v>
      </c>
      <c r="G35" s="23" t="s">
        <v>34</v>
      </c>
    </row>
    <row r="36" spans="1:7" x14ac:dyDescent="0.2">
      <c r="A36" s="8">
        <v>35</v>
      </c>
      <c r="B36" s="15">
        <v>80</v>
      </c>
      <c r="C36" s="10" t="s">
        <v>42</v>
      </c>
      <c r="D36" s="22" t="s">
        <v>34</v>
      </c>
      <c r="E36" s="22" t="s">
        <v>34</v>
      </c>
      <c r="F36" s="23" t="s">
        <v>34</v>
      </c>
      <c r="G36" s="23" t="s">
        <v>34</v>
      </c>
    </row>
    <row r="37" spans="1:7" x14ac:dyDescent="0.2">
      <c r="A37" s="8">
        <v>36</v>
      </c>
      <c r="B37" s="15">
        <v>9</v>
      </c>
      <c r="C37" s="10" t="s">
        <v>43</v>
      </c>
      <c r="D37" s="20">
        <v>252.5</v>
      </c>
      <c r="E37" s="20">
        <v>30.3</v>
      </c>
      <c r="F37" s="21">
        <v>77.8</v>
      </c>
      <c r="G37" s="21">
        <v>9.15</v>
      </c>
    </row>
    <row r="38" spans="1:7" x14ac:dyDescent="0.2">
      <c r="A38" s="8">
        <v>37</v>
      </c>
      <c r="B38" s="15" t="s">
        <v>45</v>
      </c>
      <c r="C38" s="24" t="s">
        <v>44</v>
      </c>
      <c r="D38" s="25">
        <v>69.400000000000006</v>
      </c>
      <c r="E38" s="25">
        <v>17</v>
      </c>
      <c r="F38" s="21">
        <v>21.4</v>
      </c>
      <c r="G38" s="21">
        <v>5.0999999999999996</v>
      </c>
    </row>
    <row r="39" spans="1:7" x14ac:dyDescent="0.2">
      <c r="A39" s="12" t="s">
        <v>52</v>
      </c>
      <c r="C39" s="13"/>
      <c r="D39" s="19"/>
      <c r="E39" s="19"/>
      <c r="F39" s="13"/>
      <c r="G39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AF21C-815A-004F-A49D-F0F71F8C22C6}">
  <dimension ref="A1:R40"/>
  <sheetViews>
    <sheetView topLeftCell="G1" zoomScale="183" workbookViewId="0">
      <selection activeCell="I1" sqref="I1:R13"/>
    </sheetView>
  </sheetViews>
  <sheetFormatPr baseColWidth="10" defaultColWidth="10.6640625" defaultRowHeight="16" x14ac:dyDescent="0.2"/>
  <cols>
    <col min="1" max="1" width="3.5" bestFit="1" customWidth="1"/>
    <col min="2" max="2" width="10.33203125" style="6" bestFit="1" customWidth="1"/>
    <col min="3" max="3" width="29.83203125" customWidth="1"/>
    <col min="4" max="4" width="11" bestFit="1" customWidth="1"/>
    <col min="5" max="5" width="11.6640625" bestFit="1" customWidth="1"/>
    <col min="6" max="6" width="16.6640625" bestFit="1" customWidth="1"/>
    <col min="7" max="7" width="10.6640625" bestFit="1" customWidth="1"/>
    <col min="8" max="8" width="10.5" customWidth="1"/>
    <col min="10" max="10" width="9" bestFit="1" customWidth="1"/>
    <col min="11" max="11" width="10.6640625" bestFit="1" customWidth="1"/>
    <col min="12" max="12" width="6.6640625" bestFit="1" customWidth="1"/>
    <col min="13" max="13" width="4.83203125" bestFit="1" customWidth="1"/>
    <col min="14" max="14" width="6.6640625" bestFit="1" customWidth="1"/>
    <col min="16" max="16" width="14.1640625" bestFit="1" customWidth="1"/>
  </cols>
  <sheetData>
    <row r="1" spans="1:18" ht="17" thickBot="1" x14ac:dyDescent="0.25">
      <c r="A1" s="1"/>
      <c r="B1" s="5" t="s">
        <v>0</v>
      </c>
      <c r="C1" s="1" t="s">
        <v>1</v>
      </c>
      <c r="D1" s="16" t="s">
        <v>2</v>
      </c>
      <c r="E1" s="16" t="s">
        <v>3</v>
      </c>
      <c r="F1" s="1" t="s">
        <v>46</v>
      </c>
      <c r="G1" s="1" t="s">
        <v>47</v>
      </c>
      <c r="H1" s="1"/>
      <c r="J1" s="31" t="s">
        <v>110</v>
      </c>
      <c r="K1" s="46" t="s">
        <v>109</v>
      </c>
      <c r="L1" s="47"/>
      <c r="M1" s="47"/>
      <c r="N1" s="48"/>
      <c r="O1" s="51"/>
      <c r="P1" s="78" t="s">
        <v>111</v>
      </c>
      <c r="Q1" s="79" t="s">
        <v>2</v>
      </c>
      <c r="R1" s="80" t="s">
        <v>3</v>
      </c>
    </row>
    <row r="2" spans="1:18" ht="17" thickBot="1" x14ac:dyDescent="0.25">
      <c r="A2" s="1">
        <v>1</v>
      </c>
      <c r="B2" s="7">
        <v>10</v>
      </c>
      <c r="C2" s="2" t="s">
        <v>4</v>
      </c>
      <c r="D2" s="26">
        <v>167.2</v>
      </c>
      <c r="E2" s="26">
        <v>28.721048</v>
      </c>
      <c r="F2" s="2">
        <v>43.9</v>
      </c>
      <c r="G2" s="2">
        <v>7.55</v>
      </c>
      <c r="H2" s="2"/>
      <c r="J2" s="43"/>
      <c r="K2" s="38" t="s">
        <v>95</v>
      </c>
      <c r="L2" s="41" t="s">
        <v>97</v>
      </c>
      <c r="M2" s="38" t="s">
        <v>96</v>
      </c>
      <c r="N2" s="49" t="s">
        <v>98</v>
      </c>
      <c r="O2" s="51"/>
      <c r="P2" s="71" t="s">
        <v>116</v>
      </c>
      <c r="Q2" s="72">
        <f>K3</f>
        <v>28.875</v>
      </c>
      <c r="R2" s="73">
        <f>L3</f>
        <v>2.25</v>
      </c>
    </row>
    <row r="3" spans="1:18" x14ac:dyDescent="0.2">
      <c r="A3" s="1">
        <v>2</v>
      </c>
      <c r="B3" s="7">
        <v>11</v>
      </c>
      <c r="C3" s="2" t="s">
        <v>5</v>
      </c>
      <c r="D3" s="26">
        <v>497.7</v>
      </c>
      <c r="E3" s="26">
        <v>58.570087000000001</v>
      </c>
      <c r="F3" s="2">
        <v>130.6</v>
      </c>
      <c r="G3" s="2">
        <v>15.4</v>
      </c>
      <c r="H3" s="2"/>
      <c r="I3" s="30" t="s">
        <v>106</v>
      </c>
      <c r="J3" s="54">
        <v>39</v>
      </c>
      <c r="K3" s="44">
        <f>J3/J5*K5</f>
        <v>28.875</v>
      </c>
      <c r="L3" s="36">
        <f>K3/K5*L5</f>
        <v>2.25</v>
      </c>
      <c r="M3" s="35">
        <f>K3/K5*M5</f>
        <v>21</v>
      </c>
      <c r="N3" s="50">
        <f>M3/M5*N5</f>
        <v>2.25</v>
      </c>
      <c r="P3" s="35" t="s">
        <v>117</v>
      </c>
      <c r="Q3" s="36">
        <f>K4</f>
        <v>57.75</v>
      </c>
      <c r="R3" s="50">
        <f>L4</f>
        <v>4.5</v>
      </c>
    </row>
    <row r="4" spans="1:18" ht="17" thickBot="1" x14ac:dyDescent="0.25">
      <c r="A4" s="1">
        <v>3</v>
      </c>
      <c r="B4" s="7">
        <v>12</v>
      </c>
      <c r="C4" s="2" t="s">
        <v>6</v>
      </c>
      <c r="D4" s="26">
        <v>5.0999999999999996</v>
      </c>
      <c r="E4" s="26">
        <v>2.5388389999999998</v>
      </c>
      <c r="F4" s="2">
        <v>1.3</v>
      </c>
      <c r="G4" s="2">
        <v>0.7</v>
      </c>
      <c r="H4" s="2"/>
      <c r="I4" s="30" t="s">
        <v>107</v>
      </c>
      <c r="J4" s="54">
        <v>78</v>
      </c>
      <c r="K4" s="44">
        <f>J4/J5*K5</f>
        <v>57.75</v>
      </c>
      <c r="L4" s="36">
        <f>K4/K5*L5</f>
        <v>4.5</v>
      </c>
      <c r="M4" s="35">
        <f>K4/K5*M5</f>
        <v>42</v>
      </c>
      <c r="N4" s="50">
        <f>M4/M5*N5</f>
        <v>4.5</v>
      </c>
      <c r="P4" s="38" t="s">
        <v>118</v>
      </c>
      <c r="Q4" s="39">
        <f>K5</f>
        <v>77</v>
      </c>
      <c r="R4" s="74">
        <f>L5</f>
        <v>6</v>
      </c>
    </row>
    <row r="5" spans="1:18" ht="17" thickBot="1" x14ac:dyDescent="0.25">
      <c r="A5" s="1">
        <v>4</v>
      </c>
      <c r="B5" s="7">
        <v>13</v>
      </c>
      <c r="C5" s="28" t="s">
        <v>7</v>
      </c>
      <c r="D5" s="29">
        <v>180.3</v>
      </c>
      <c r="E5" s="29">
        <v>16.291257000000002</v>
      </c>
      <c r="F5" s="2">
        <v>47.3</v>
      </c>
      <c r="G5" s="2">
        <v>4.3</v>
      </c>
      <c r="H5" s="2"/>
      <c r="I5" s="30" t="s">
        <v>108</v>
      </c>
      <c r="J5" s="55">
        <v>104</v>
      </c>
      <c r="K5" s="56">
        <f>77</f>
        <v>77</v>
      </c>
      <c r="L5" s="57">
        <v>6</v>
      </c>
      <c r="M5" s="55">
        <v>56</v>
      </c>
      <c r="N5" s="58">
        <v>6</v>
      </c>
      <c r="P5" s="71" t="s">
        <v>113</v>
      </c>
      <c r="Q5" s="72">
        <f>SUM(Q2:Q4) * 1/3</f>
        <v>54.541666666666664</v>
      </c>
      <c r="R5" s="73">
        <f>SQRT(R2^2 + R3^2 + R4^2 ) * 1/3</f>
        <v>2.6100766272276377</v>
      </c>
    </row>
    <row r="6" spans="1:18" x14ac:dyDescent="0.2">
      <c r="A6" s="1">
        <v>5</v>
      </c>
      <c r="B6" s="7">
        <v>14</v>
      </c>
      <c r="C6" s="28" t="s">
        <v>8</v>
      </c>
      <c r="D6" s="29">
        <v>43.6</v>
      </c>
      <c r="E6" s="29">
        <v>4.2512999999999996</v>
      </c>
      <c r="F6" s="2">
        <v>11.4</v>
      </c>
      <c r="G6" s="2">
        <v>1.1499999999999999</v>
      </c>
      <c r="H6" s="2"/>
      <c r="K6" s="52">
        <f>SUM(K3:K5)</f>
        <v>163.625</v>
      </c>
      <c r="L6" s="52">
        <f>SQRT(L3^2 + L4^2 +L5^2)</f>
        <v>7.8302298816829126</v>
      </c>
      <c r="M6" s="53">
        <f>SUM(M3:M5)</f>
        <v>119</v>
      </c>
      <c r="N6" s="52">
        <f>SQRT(N3^2 + N4^2 +N5^2)</f>
        <v>7.8302298816829126</v>
      </c>
      <c r="P6" s="71" t="s">
        <v>119</v>
      </c>
      <c r="Q6" s="75">
        <f>M3</f>
        <v>21</v>
      </c>
      <c r="R6" s="73">
        <f>N3</f>
        <v>2.25</v>
      </c>
    </row>
    <row r="7" spans="1:18" ht="17" thickBot="1" x14ac:dyDescent="0.25">
      <c r="A7" s="1">
        <v>6</v>
      </c>
      <c r="B7" s="7">
        <v>15</v>
      </c>
      <c r="C7" s="28" t="s">
        <v>9</v>
      </c>
      <c r="D7" s="29">
        <v>85.4</v>
      </c>
      <c r="E7" s="29">
        <v>8.8495830000000009</v>
      </c>
      <c r="F7" s="2">
        <v>22.4</v>
      </c>
      <c r="G7" s="2">
        <v>2.35</v>
      </c>
      <c r="H7" s="2"/>
      <c r="P7" s="35" t="s">
        <v>120</v>
      </c>
      <c r="Q7" s="32">
        <f>M4</f>
        <v>42</v>
      </c>
      <c r="R7" s="50">
        <f>N4</f>
        <v>4.5</v>
      </c>
    </row>
    <row r="8" spans="1:18" ht="17" thickBot="1" x14ac:dyDescent="0.25">
      <c r="A8" s="1">
        <v>7</v>
      </c>
      <c r="B8" s="7">
        <v>16</v>
      </c>
      <c r="C8" s="28" t="s">
        <v>10</v>
      </c>
      <c r="D8" s="29">
        <v>77.3</v>
      </c>
      <c r="E8" s="29">
        <v>5.613175</v>
      </c>
      <c r="F8" s="2">
        <v>20.3</v>
      </c>
      <c r="G8" s="2">
        <v>1.45</v>
      </c>
      <c r="H8" s="2"/>
      <c r="K8" s="59"/>
      <c r="L8" s="60" t="s">
        <v>101</v>
      </c>
      <c r="M8" s="61" t="s">
        <v>102</v>
      </c>
      <c r="P8" s="38" t="s">
        <v>121</v>
      </c>
      <c r="Q8" s="41">
        <f>M5</f>
        <v>56</v>
      </c>
      <c r="R8" s="74">
        <f>N5</f>
        <v>6</v>
      </c>
    </row>
    <row r="9" spans="1:18" ht="17" thickBot="1" x14ac:dyDescent="0.25">
      <c r="A9" s="1">
        <v>8</v>
      </c>
      <c r="B9" s="7">
        <v>17</v>
      </c>
      <c r="C9" s="28" t="s">
        <v>48</v>
      </c>
      <c r="D9" s="29">
        <v>56.2</v>
      </c>
      <c r="E9" s="29">
        <v>5.5693320000000002</v>
      </c>
      <c r="F9" s="2">
        <v>14.7</v>
      </c>
      <c r="G9" s="2">
        <v>1.5</v>
      </c>
      <c r="H9" s="2"/>
      <c r="K9" s="62" t="s">
        <v>100</v>
      </c>
      <c r="L9" s="63">
        <v>381</v>
      </c>
      <c r="M9" s="64">
        <v>20</v>
      </c>
      <c r="P9" s="38" t="s">
        <v>112</v>
      </c>
      <c r="Q9" s="39">
        <f>SUM(Q6:Q8) * 1/3</f>
        <v>39.666666666666664</v>
      </c>
      <c r="R9" s="74">
        <f>SQRT(R6^2 +R7^2 + R8^2 ) * 1/3</f>
        <v>2.6100766272276377</v>
      </c>
    </row>
    <row r="10" spans="1:18" ht="17" thickBot="1" x14ac:dyDescent="0.25">
      <c r="A10" s="1">
        <v>9</v>
      </c>
      <c r="B10" s="7">
        <v>18</v>
      </c>
      <c r="C10" s="28" t="s">
        <v>11</v>
      </c>
      <c r="D10" s="29">
        <v>381</v>
      </c>
      <c r="E10" s="29">
        <v>19.994171999999999</v>
      </c>
      <c r="F10" s="2">
        <v>100</v>
      </c>
      <c r="G10" s="2">
        <v>5.25</v>
      </c>
      <c r="H10" s="2"/>
      <c r="K10" s="62" t="s">
        <v>103</v>
      </c>
      <c r="L10" s="63">
        <v>6</v>
      </c>
      <c r="M10" s="64">
        <v>3</v>
      </c>
      <c r="P10" s="45" t="s">
        <v>115</v>
      </c>
      <c r="Q10" s="69">
        <f>L10</f>
        <v>6</v>
      </c>
      <c r="R10" s="70">
        <f>M10</f>
        <v>3</v>
      </c>
    </row>
    <row r="11" spans="1:18" ht="17" thickBot="1" x14ac:dyDescent="0.25">
      <c r="A11" s="1">
        <v>10</v>
      </c>
      <c r="B11" s="7">
        <v>19</v>
      </c>
      <c r="C11" s="2" t="s">
        <v>12</v>
      </c>
      <c r="D11" s="26">
        <v>381</v>
      </c>
      <c r="E11" s="26">
        <v>19.994171999999999</v>
      </c>
      <c r="F11" s="2">
        <v>100</v>
      </c>
      <c r="G11" s="2">
        <v>5.25</v>
      </c>
      <c r="H11" s="2"/>
      <c r="K11" s="62" t="s">
        <v>104</v>
      </c>
      <c r="L11" s="63">
        <v>32</v>
      </c>
      <c r="M11" s="64">
        <v>4</v>
      </c>
      <c r="P11" s="45" t="s">
        <v>99</v>
      </c>
      <c r="Q11" s="76">
        <f>L12-SUM(Q2:Q9)-Q10</f>
        <v>62.166666666666686</v>
      </c>
      <c r="R11" s="77">
        <f>SQRT(M12^2 + R2^2 + R3^2 + R4^2 +R6^2 +R7^2 +R8^2 + R5^2 + R9^2 +R10^2 )</f>
        <v>24.682990094394967</v>
      </c>
    </row>
    <row r="12" spans="1:18" x14ac:dyDescent="0.2">
      <c r="A12" s="1">
        <v>11</v>
      </c>
      <c r="B12" s="7">
        <v>20</v>
      </c>
      <c r="C12" s="28" t="s">
        <v>13</v>
      </c>
      <c r="D12" s="29">
        <v>393.9</v>
      </c>
      <c r="E12" s="29">
        <v>18.452649000000001</v>
      </c>
      <c r="F12" s="2">
        <v>103.4</v>
      </c>
      <c r="G12" s="2">
        <v>4.8499999999999996</v>
      </c>
      <c r="H12" s="2"/>
      <c r="K12" s="68" t="s">
        <v>114</v>
      </c>
      <c r="L12" s="33">
        <f>L9+L11*2</f>
        <v>445</v>
      </c>
      <c r="M12" s="34">
        <f>SQRT(M9^2+4*M11^2)</f>
        <v>21.540659228538015</v>
      </c>
    </row>
    <row r="13" spans="1:18" ht="17" thickBot="1" x14ac:dyDescent="0.25">
      <c r="A13" s="1">
        <v>12</v>
      </c>
      <c r="B13" s="7">
        <v>25</v>
      </c>
      <c r="C13" s="28" t="s">
        <v>14</v>
      </c>
      <c r="D13" s="29">
        <v>26.2</v>
      </c>
      <c r="E13" s="29">
        <v>13.076874999999999</v>
      </c>
      <c r="F13" s="2">
        <v>6.9</v>
      </c>
      <c r="G13" s="2">
        <v>3.4</v>
      </c>
      <c r="H13" s="2"/>
      <c r="K13" s="65" t="s">
        <v>105</v>
      </c>
      <c r="L13" s="40">
        <f>L12-L10-K6-M6</f>
        <v>156.375</v>
      </c>
      <c r="M13" s="42">
        <f>SQRT(M12^2 + M10^2 + L6^2 + N6^2 )</f>
        <v>24.405429723731562</v>
      </c>
    </row>
    <row r="14" spans="1:18" x14ac:dyDescent="0.2">
      <c r="A14" s="1">
        <v>13</v>
      </c>
      <c r="B14" s="7">
        <v>26</v>
      </c>
      <c r="C14" s="28" t="s">
        <v>15</v>
      </c>
      <c r="D14" s="29">
        <v>495</v>
      </c>
      <c r="E14" s="29">
        <v>58.839813999999997</v>
      </c>
      <c r="F14" s="2">
        <v>129.9</v>
      </c>
      <c r="G14" s="2">
        <v>15.45</v>
      </c>
      <c r="H14" s="2"/>
    </row>
    <row r="15" spans="1:18" x14ac:dyDescent="0.2">
      <c r="A15" s="1">
        <v>14</v>
      </c>
      <c r="B15" s="7">
        <v>27</v>
      </c>
      <c r="C15" s="28" t="s">
        <v>16</v>
      </c>
      <c r="D15" s="29">
        <v>511.8</v>
      </c>
      <c r="E15" s="29">
        <v>59.656280000000002</v>
      </c>
      <c r="F15" s="2">
        <v>134.30000000000001</v>
      </c>
      <c r="G15" s="2">
        <v>15.7</v>
      </c>
      <c r="H15" s="2"/>
    </row>
    <row r="16" spans="1:18" x14ac:dyDescent="0.2">
      <c r="A16" s="1">
        <v>15</v>
      </c>
      <c r="B16" s="7">
        <v>28</v>
      </c>
      <c r="C16" s="28" t="s">
        <v>17</v>
      </c>
      <c r="D16" s="29">
        <v>206.9</v>
      </c>
      <c r="E16" s="29">
        <v>6.8906700000000001</v>
      </c>
      <c r="F16" s="2">
        <v>54.3</v>
      </c>
      <c r="G16" s="2">
        <v>1.8</v>
      </c>
      <c r="H16" s="2"/>
    </row>
    <row r="17" spans="1:8" x14ac:dyDescent="0.2">
      <c r="A17" s="1">
        <v>16</v>
      </c>
      <c r="B17" s="7">
        <v>29</v>
      </c>
      <c r="C17" s="28" t="s">
        <v>18</v>
      </c>
      <c r="D17" s="29">
        <v>304.3</v>
      </c>
      <c r="E17" s="29">
        <v>61.506678999999998</v>
      </c>
      <c r="F17" s="2">
        <v>79.900000000000006</v>
      </c>
      <c r="G17" s="2">
        <v>16.149999999999999</v>
      </c>
      <c r="H17" s="2"/>
    </row>
    <row r="18" spans="1:8" x14ac:dyDescent="0.2">
      <c r="A18" s="1">
        <v>17</v>
      </c>
      <c r="B18" s="7">
        <v>31</v>
      </c>
      <c r="C18" s="28" t="s">
        <v>19</v>
      </c>
      <c r="D18" s="29">
        <v>72</v>
      </c>
      <c r="E18" s="29">
        <v>2.4024260000000002</v>
      </c>
      <c r="F18" s="2">
        <v>18.899999999999999</v>
      </c>
      <c r="G18" s="2">
        <v>0.65</v>
      </c>
      <c r="H18" s="2"/>
    </row>
    <row r="19" spans="1:8" x14ac:dyDescent="0.2">
      <c r="A19" s="1">
        <v>18</v>
      </c>
      <c r="B19" s="7">
        <v>33</v>
      </c>
      <c r="C19" s="28" t="s">
        <v>20</v>
      </c>
      <c r="D19" s="29">
        <v>139.19999999999999</v>
      </c>
      <c r="E19" s="29">
        <v>3.677848</v>
      </c>
      <c r="F19" s="2">
        <v>36.5</v>
      </c>
      <c r="G19" s="2">
        <v>1</v>
      </c>
      <c r="H19" s="2"/>
    </row>
    <row r="20" spans="1:8" x14ac:dyDescent="0.2">
      <c r="A20" s="1">
        <v>19</v>
      </c>
      <c r="B20" s="7">
        <v>34</v>
      </c>
      <c r="C20" s="28" t="s">
        <v>21</v>
      </c>
      <c r="D20" s="29">
        <v>4.7</v>
      </c>
      <c r="E20" s="29">
        <v>2.3119909999999999</v>
      </c>
      <c r="F20" s="2">
        <v>1.2</v>
      </c>
      <c r="G20" s="2">
        <v>0.6</v>
      </c>
      <c r="H20" s="2"/>
    </row>
    <row r="21" spans="1:8" x14ac:dyDescent="0.2">
      <c r="A21" s="1">
        <v>20</v>
      </c>
      <c r="B21" s="7">
        <v>35</v>
      </c>
      <c r="C21" s="28" t="s">
        <v>22</v>
      </c>
      <c r="D21" s="29">
        <v>143.9</v>
      </c>
      <c r="E21" s="29">
        <v>3.826676</v>
      </c>
      <c r="F21" s="2">
        <v>37.799999999999997</v>
      </c>
      <c r="G21" s="2">
        <v>1</v>
      </c>
      <c r="H21" s="2"/>
    </row>
    <row r="22" spans="1:8" x14ac:dyDescent="0.2">
      <c r="A22" s="1">
        <v>21</v>
      </c>
      <c r="B22" s="7">
        <v>61</v>
      </c>
      <c r="C22" s="2" t="s">
        <v>23</v>
      </c>
      <c r="D22" s="26">
        <v>6.5</v>
      </c>
      <c r="E22" s="26">
        <v>3.200313</v>
      </c>
      <c r="F22" s="2">
        <v>1.7</v>
      </c>
      <c r="G22" s="2">
        <v>0.85</v>
      </c>
      <c r="H22" s="2"/>
    </row>
    <row r="23" spans="1:8" x14ac:dyDescent="0.2">
      <c r="A23" s="1">
        <v>22</v>
      </c>
      <c r="B23" s="7">
        <v>63</v>
      </c>
      <c r="C23" s="2" t="s">
        <v>24</v>
      </c>
      <c r="D23" s="26">
        <v>111.1</v>
      </c>
      <c r="E23" s="26">
        <v>4.6236600000000001</v>
      </c>
      <c r="F23" s="2">
        <v>29.2</v>
      </c>
      <c r="G23" s="2">
        <v>1.2</v>
      </c>
      <c r="H23" s="2"/>
    </row>
    <row r="24" spans="1:8" x14ac:dyDescent="0.2">
      <c r="A24" s="1">
        <v>23</v>
      </c>
      <c r="B24" s="7" t="s">
        <v>49</v>
      </c>
      <c r="C24" s="28" t="s">
        <v>26</v>
      </c>
      <c r="D24" s="29">
        <v>110.4</v>
      </c>
      <c r="E24" s="29">
        <v>4.9683479999999998</v>
      </c>
      <c r="F24" s="2">
        <v>29</v>
      </c>
      <c r="G24" s="2">
        <v>1.3</v>
      </c>
      <c r="H24" s="2"/>
    </row>
    <row r="25" spans="1:8" x14ac:dyDescent="0.2">
      <c r="A25" s="1">
        <v>24</v>
      </c>
      <c r="B25" s="7">
        <v>67</v>
      </c>
      <c r="C25" s="2" t="s">
        <v>27</v>
      </c>
      <c r="D25" s="26">
        <v>29.7</v>
      </c>
      <c r="E25" s="26">
        <v>4.3097409999999998</v>
      </c>
      <c r="F25" s="2">
        <v>7.8</v>
      </c>
      <c r="G25" s="2">
        <v>1.1499999999999999</v>
      </c>
      <c r="H25" s="2"/>
    </row>
    <row r="26" spans="1:8" x14ac:dyDescent="0.2">
      <c r="A26" s="1">
        <v>25</v>
      </c>
      <c r="B26" s="7">
        <v>69</v>
      </c>
      <c r="C26" s="2" t="s">
        <v>28</v>
      </c>
      <c r="D26" s="26">
        <v>43.4</v>
      </c>
      <c r="E26" s="26">
        <v>2.5290599999999999</v>
      </c>
      <c r="F26" s="2">
        <v>11.4</v>
      </c>
      <c r="G26" s="2">
        <v>0.65</v>
      </c>
      <c r="H26" s="2"/>
    </row>
    <row r="27" spans="1:8" x14ac:dyDescent="0.2">
      <c r="A27" s="1">
        <v>26</v>
      </c>
      <c r="B27" s="7" t="s">
        <v>50</v>
      </c>
      <c r="C27" s="28" t="s">
        <v>30</v>
      </c>
      <c r="D27" s="29">
        <v>13.6</v>
      </c>
      <c r="E27" s="29">
        <v>3.997509</v>
      </c>
      <c r="F27" s="2">
        <v>3.6</v>
      </c>
      <c r="G27" s="2">
        <v>1.05</v>
      </c>
      <c r="H27" s="2"/>
    </row>
    <row r="28" spans="1:8" x14ac:dyDescent="0.2">
      <c r="A28" s="1">
        <v>27</v>
      </c>
      <c r="B28" s="7">
        <v>71</v>
      </c>
      <c r="C28" s="2" t="s">
        <v>31</v>
      </c>
      <c r="D28" s="27" t="s">
        <v>34</v>
      </c>
      <c r="E28" s="27" t="s">
        <v>34</v>
      </c>
      <c r="F28" s="3" t="s">
        <v>34</v>
      </c>
      <c r="G28" s="3" t="s">
        <v>34</v>
      </c>
      <c r="H28" s="3"/>
    </row>
    <row r="29" spans="1:8" x14ac:dyDescent="0.2">
      <c r="A29" s="1">
        <v>28</v>
      </c>
      <c r="B29" s="7">
        <v>72</v>
      </c>
      <c r="C29" s="2" t="s">
        <v>32</v>
      </c>
      <c r="D29" s="27" t="s">
        <v>34</v>
      </c>
      <c r="E29" s="27" t="s">
        <v>34</v>
      </c>
      <c r="F29" s="3" t="s">
        <v>34</v>
      </c>
      <c r="G29" s="3" t="s">
        <v>34</v>
      </c>
      <c r="H29" s="3"/>
    </row>
    <row r="30" spans="1:8" x14ac:dyDescent="0.2">
      <c r="A30" s="1">
        <v>29</v>
      </c>
      <c r="B30" s="7">
        <v>73</v>
      </c>
      <c r="C30" s="2" t="s">
        <v>33</v>
      </c>
      <c r="D30" s="27" t="s">
        <v>34</v>
      </c>
      <c r="E30" s="27" t="s">
        <v>34</v>
      </c>
      <c r="F30" s="3" t="s">
        <v>34</v>
      </c>
      <c r="G30" s="3" t="s">
        <v>34</v>
      </c>
      <c r="H30" s="3"/>
    </row>
    <row r="31" spans="1:8" x14ac:dyDescent="0.2">
      <c r="A31" s="1">
        <v>30</v>
      </c>
      <c r="B31" s="7">
        <v>74</v>
      </c>
      <c r="C31" s="2" t="s">
        <v>35</v>
      </c>
      <c r="D31" s="27" t="s">
        <v>34</v>
      </c>
      <c r="E31" s="27" t="s">
        <v>34</v>
      </c>
      <c r="F31" s="3" t="s">
        <v>34</v>
      </c>
      <c r="G31" s="3" t="s">
        <v>34</v>
      </c>
      <c r="H31" s="3"/>
    </row>
    <row r="32" spans="1:8" x14ac:dyDescent="0.2">
      <c r="A32" s="1">
        <v>31</v>
      </c>
      <c r="B32" s="7">
        <v>75</v>
      </c>
      <c r="C32" s="2" t="s">
        <v>36</v>
      </c>
      <c r="D32" s="26">
        <v>44.5</v>
      </c>
      <c r="E32" s="26">
        <v>2.534583</v>
      </c>
      <c r="F32" s="2">
        <v>11.7</v>
      </c>
      <c r="G32" s="2">
        <v>0.65</v>
      </c>
      <c r="H32" s="2"/>
    </row>
    <row r="33" spans="1:8" x14ac:dyDescent="0.2">
      <c r="A33" s="1">
        <v>32</v>
      </c>
      <c r="B33" s="7" t="s">
        <v>51</v>
      </c>
      <c r="C33" s="28" t="s">
        <v>38</v>
      </c>
      <c r="D33" s="29">
        <v>32</v>
      </c>
      <c r="E33" s="29">
        <v>3.507701</v>
      </c>
      <c r="F33" s="2">
        <v>8.4</v>
      </c>
      <c r="G33" s="2">
        <v>0.9</v>
      </c>
      <c r="H33" s="2"/>
    </row>
    <row r="34" spans="1:8" x14ac:dyDescent="0.2">
      <c r="A34" s="1">
        <v>33</v>
      </c>
      <c r="B34" s="7">
        <v>77</v>
      </c>
      <c r="C34" s="2" t="s">
        <v>39</v>
      </c>
      <c r="D34" s="26">
        <v>12</v>
      </c>
      <c r="E34" s="26">
        <v>3.860382</v>
      </c>
      <c r="F34" s="2">
        <v>3.1</v>
      </c>
      <c r="G34" s="2">
        <v>1.05</v>
      </c>
      <c r="H34" s="2"/>
    </row>
    <row r="35" spans="1:8" x14ac:dyDescent="0.2">
      <c r="A35" s="1">
        <v>34</v>
      </c>
      <c r="B35" s="7">
        <v>79</v>
      </c>
      <c r="C35" s="2" t="s">
        <v>40</v>
      </c>
      <c r="D35" s="27" t="s">
        <v>34</v>
      </c>
      <c r="E35" s="27" t="s">
        <v>34</v>
      </c>
      <c r="F35" s="3" t="s">
        <v>34</v>
      </c>
      <c r="G35" s="3" t="s">
        <v>34</v>
      </c>
      <c r="H35" s="3"/>
    </row>
    <row r="36" spans="1:8" x14ac:dyDescent="0.2">
      <c r="A36" s="1">
        <v>35</v>
      </c>
      <c r="B36" s="7">
        <v>80</v>
      </c>
      <c r="C36" s="2" t="s">
        <v>41</v>
      </c>
      <c r="D36" s="27" t="s">
        <v>34</v>
      </c>
      <c r="E36" s="27" t="s">
        <v>34</v>
      </c>
      <c r="F36" s="3" t="s">
        <v>34</v>
      </c>
      <c r="G36" s="3" t="s">
        <v>34</v>
      </c>
      <c r="H36" s="3"/>
    </row>
    <row r="37" spans="1:8" x14ac:dyDescent="0.2">
      <c r="A37" s="1">
        <v>36</v>
      </c>
      <c r="B37" s="7">
        <v>81</v>
      </c>
      <c r="C37" s="2" t="s">
        <v>42</v>
      </c>
      <c r="D37" s="27" t="s">
        <v>34</v>
      </c>
      <c r="E37" s="27" t="s">
        <v>34</v>
      </c>
      <c r="F37" s="3" t="s">
        <v>34</v>
      </c>
      <c r="G37" s="3" t="s">
        <v>34</v>
      </c>
      <c r="H37" s="3"/>
    </row>
    <row r="38" spans="1:8" x14ac:dyDescent="0.2">
      <c r="A38" s="1">
        <v>37</v>
      </c>
      <c r="B38" s="7">
        <v>9</v>
      </c>
      <c r="C38" s="2" t="s">
        <v>43</v>
      </c>
      <c r="D38" s="26">
        <v>251.4</v>
      </c>
      <c r="E38" s="26">
        <v>28.251892999999999</v>
      </c>
      <c r="F38" s="2">
        <v>66</v>
      </c>
      <c r="G38" s="2">
        <v>7.4</v>
      </c>
      <c r="H38" s="2"/>
    </row>
    <row r="39" spans="1:8" x14ac:dyDescent="0.2">
      <c r="A39" s="1">
        <v>38</v>
      </c>
      <c r="B39" s="7" t="s">
        <v>45</v>
      </c>
      <c r="C39" s="28" t="s">
        <v>44</v>
      </c>
      <c r="D39" s="29">
        <v>81.7</v>
      </c>
      <c r="E39" s="29">
        <v>10.238512</v>
      </c>
      <c r="F39" s="2">
        <v>21.5</v>
      </c>
      <c r="G39" s="2">
        <v>2.65</v>
      </c>
      <c r="H39" s="2"/>
    </row>
    <row r="40" spans="1:8" x14ac:dyDescent="0.2">
      <c r="A40" s="4"/>
    </row>
  </sheetData>
  <mergeCells count="3">
    <mergeCell ref="J1:J2"/>
    <mergeCell ref="K1:N1"/>
    <mergeCell ref="O1:O2"/>
  </mergeCells>
  <pageMargins left="0.7" right="0.7" top="0.75" bottom="0.75" header="0.3" footer="0.3"/>
  <ignoredErrors>
    <ignoredError sqref="M3:M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1DD20-3D25-164E-BAC5-B098050CD534}">
  <dimension ref="A1:G36"/>
  <sheetViews>
    <sheetView topLeftCell="E1" zoomScale="187" workbookViewId="0">
      <selection activeCell="F10" sqref="F10"/>
    </sheetView>
  </sheetViews>
  <sheetFormatPr baseColWidth="10" defaultRowHeight="16" x14ac:dyDescent="0.2"/>
  <cols>
    <col min="1" max="1" width="3.5" bestFit="1" customWidth="1"/>
    <col min="2" max="2" width="10.33203125" style="6" bestFit="1" customWidth="1"/>
    <col min="3" max="3" width="43.5" bestFit="1" customWidth="1"/>
    <col min="4" max="4" width="11" bestFit="1" customWidth="1"/>
    <col min="5" max="5" width="12.83203125" bestFit="1" customWidth="1"/>
    <col min="6" max="6" width="16.6640625" bestFit="1" customWidth="1"/>
    <col min="7" max="7" width="10.5" bestFit="1" customWidth="1"/>
  </cols>
  <sheetData>
    <row r="1" spans="1:7" x14ac:dyDescent="0.2">
      <c r="A1" s="8"/>
      <c r="B1" s="14" t="s">
        <v>0</v>
      </c>
      <c r="C1" s="8" t="s">
        <v>1</v>
      </c>
      <c r="D1" s="8" t="s">
        <v>2</v>
      </c>
      <c r="E1" s="8" t="s">
        <v>3</v>
      </c>
      <c r="F1" s="8" t="s">
        <v>46</v>
      </c>
      <c r="G1" s="8" t="s">
        <v>47</v>
      </c>
    </row>
    <row r="2" spans="1:7" x14ac:dyDescent="0.2">
      <c r="A2" s="8">
        <v>1</v>
      </c>
      <c r="B2" s="15">
        <v>10</v>
      </c>
      <c r="C2" s="24" t="s">
        <v>13</v>
      </c>
      <c r="D2" s="25">
        <v>558.70000000000005</v>
      </c>
      <c r="E2" s="25">
        <v>25.670586</v>
      </c>
      <c r="F2" s="10">
        <v>107.6</v>
      </c>
      <c r="G2" s="10">
        <v>4.95</v>
      </c>
    </row>
    <row r="3" spans="1:7" x14ac:dyDescent="0.2">
      <c r="A3" s="8">
        <v>2</v>
      </c>
      <c r="B3" s="15">
        <v>15</v>
      </c>
      <c r="C3" s="24" t="s">
        <v>14</v>
      </c>
      <c r="D3" s="25">
        <v>179.2</v>
      </c>
      <c r="E3" s="25">
        <v>89.493733000000006</v>
      </c>
      <c r="F3" s="10">
        <v>34.5</v>
      </c>
      <c r="G3" s="10">
        <v>17.25</v>
      </c>
    </row>
    <row r="4" spans="1:7" x14ac:dyDescent="0.2">
      <c r="A4" s="8">
        <v>3</v>
      </c>
      <c r="B4" s="15">
        <v>16</v>
      </c>
      <c r="C4" s="24" t="s">
        <v>15</v>
      </c>
      <c r="D4" s="25">
        <v>2057.1</v>
      </c>
      <c r="E4" s="25">
        <v>580.82280500000002</v>
      </c>
      <c r="F4" s="10">
        <v>396.1</v>
      </c>
      <c r="G4" s="10">
        <v>111.85</v>
      </c>
    </row>
    <row r="5" spans="1:7" x14ac:dyDescent="0.2">
      <c r="A5" s="8">
        <v>4</v>
      </c>
      <c r="B5" s="15">
        <v>17</v>
      </c>
      <c r="C5" s="24" t="s">
        <v>16</v>
      </c>
      <c r="D5" s="25">
        <v>1922.8</v>
      </c>
      <c r="E5" s="25">
        <v>664.96525599999995</v>
      </c>
      <c r="F5" s="10">
        <v>370.3</v>
      </c>
      <c r="G5" s="10">
        <v>128.05000000000001</v>
      </c>
    </row>
    <row r="6" spans="1:7" x14ac:dyDescent="0.2">
      <c r="A6" s="8">
        <v>5</v>
      </c>
      <c r="B6" s="15">
        <v>18</v>
      </c>
      <c r="C6" s="24" t="s">
        <v>17</v>
      </c>
      <c r="D6" s="25">
        <v>263.7</v>
      </c>
      <c r="E6" s="25">
        <v>12.919886999999999</v>
      </c>
      <c r="F6" s="10">
        <v>50.8</v>
      </c>
      <c r="G6" s="10">
        <v>2.5</v>
      </c>
    </row>
    <row r="7" spans="1:7" x14ac:dyDescent="0.2">
      <c r="A7" s="8">
        <v>6</v>
      </c>
      <c r="B7" s="15">
        <v>19</v>
      </c>
      <c r="C7" s="24" t="s">
        <v>18</v>
      </c>
      <c r="D7" s="25">
        <v>1656.1</v>
      </c>
      <c r="E7" s="25">
        <v>666.57203100000004</v>
      </c>
      <c r="F7" s="10">
        <v>318.89999999999998</v>
      </c>
      <c r="G7" s="10">
        <v>128.35</v>
      </c>
    </row>
    <row r="8" spans="1:7" x14ac:dyDescent="0.2">
      <c r="A8" s="8">
        <v>7</v>
      </c>
      <c r="B8" s="15">
        <v>21</v>
      </c>
      <c r="C8" s="24" t="s">
        <v>19</v>
      </c>
      <c r="D8" s="25">
        <v>45.3</v>
      </c>
      <c r="E8" s="25">
        <v>6.309793</v>
      </c>
      <c r="F8" s="10">
        <v>8.6999999999999993</v>
      </c>
      <c r="G8" s="10">
        <v>1.25</v>
      </c>
    </row>
    <row r="9" spans="1:7" x14ac:dyDescent="0.2">
      <c r="A9" s="8">
        <v>8</v>
      </c>
      <c r="B9" s="15">
        <v>23</v>
      </c>
      <c r="C9" s="24" t="s">
        <v>20</v>
      </c>
      <c r="D9" s="25">
        <v>155.19999999999999</v>
      </c>
      <c r="E9" s="25">
        <v>7.454853</v>
      </c>
      <c r="F9" s="10">
        <v>29.9</v>
      </c>
      <c r="G9" s="10">
        <v>1.45</v>
      </c>
    </row>
    <row r="10" spans="1:7" x14ac:dyDescent="0.2">
      <c r="A10" s="8">
        <v>9</v>
      </c>
      <c r="B10" s="15">
        <v>24</v>
      </c>
      <c r="C10" s="24" t="s">
        <v>21</v>
      </c>
      <c r="D10" s="25">
        <v>247.4</v>
      </c>
      <c r="E10" s="25">
        <v>6.2837100000000001</v>
      </c>
      <c r="F10" s="10">
        <v>47.6</v>
      </c>
      <c r="G10" s="10">
        <v>1.25</v>
      </c>
    </row>
    <row r="11" spans="1:7" x14ac:dyDescent="0.2">
      <c r="A11" s="8">
        <v>10</v>
      </c>
      <c r="B11" s="15">
        <v>25</v>
      </c>
      <c r="C11" s="24" t="s">
        <v>22</v>
      </c>
      <c r="D11" s="25">
        <v>402.3</v>
      </c>
      <c r="E11" s="25">
        <v>7.0882300000000003</v>
      </c>
      <c r="F11" s="10">
        <v>77.5</v>
      </c>
      <c r="G11" s="10">
        <v>1.35</v>
      </c>
    </row>
    <row r="12" spans="1:7" x14ac:dyDescent="0.2">
      <c r="A12" s="8">
        <v>11</v>
      </c>
      <c r="B12" s="15">
        <v>3</v>
      </c>
      <c r="C12" s="10" t="s">
        <v>43</v>
      </c>
      <c r="D12" s="20">
        <v>432</v>
      </c>
      <c r="E12" s="20">
        <v>58.460115999999999</v>
      </c>
      <c r="F12" s="10">
        <v>83.2</v>
      </c>
      <c r="G12" s="10">
        <v>11.25</v>
      </c>
    </row>
    <row r="13" spans="1:7" x14ac:dyDescent="0.2">
      <c r="A13" s="8">
        <v>12</v>
      </c>
      <c r="B13" s="15" t="s">
        <v>63</v>
      </c>
      <c r="C13" s="24" t="s">
        <v>53</v>
      </c>
      <c r="D13" s="25">
        <v>183.6</v>
      </c>
      <c r="E13" s="25">
        <v>21.207661999999999</v>
      </c>
      <c r="F13" s="10">
        <v>35.4</v>
      </c>
      <c r="G13" s="10">
        <v>4.05</v>
      </c>
    </row>
    <row r="14" spans="1:7" x14ac:dyDescent="0.2">
      <c r="A14" s="8">
        <v>13</v>
      </c>
      <c r="B14" s="15">
        <v>4</v>
      </c>
      <c r="C14" s="10" t="s">
        <v>4</v>
      </c>
      <c r="D14" s="20">
        <v>236.9</v>
      </c>
      <c r="E14" s="20">
        <v>61.136339</v>
      </c>
      <c r="F14" s="10">
        <v>45.6</v>
      </c>
      <c r="G14" s="10">
        <v>11.8</v>
      </c>
    </row>
    <row r="15" spans="1:7" x14ac:dyDescent="0.2">
      <c r="A15" s="8">
        <v>14</v>
      </c>
      <c r="B15" s="15">
        <v>48</v>
      </c>
      <c r="C15" s="10" t="s">
        <v>23</v>
      </c>
      <c r="D15" s="20">
        <v>43.7</v>
      </c>
      <c r="E15" s="20">
        <v>14.918723</v>
      </c>
      <c r="F15" s="10">
        <v>8.4</v>
      </c>
      <c r="G15" s="10">
        <v>2.9</v>
      </c>
    </row>
    <row r="16" spans="1:7" x14ac:dyDescent="0.2">
      <c r="A16" s="8">
        <v>15</v>
      </c>
      <c r="B16" s="15">
        <v>5</v>
      </c>
      <c r="C16" s="10" t="s">
        <v>5</v>
      </c>
      <c r="D16" s="20">
        <v>1912.2</v>
      </c>
      <c r="E16" s="20">
        <v>663.65426100000002</v>
      </c>
      <c r="F16" s="10">
        <v>368.2</v>
      </c>
      <c r="G16" s="10">
        <v>127.8</v>
      </c>
    </row>
    <row r="17" spans="1:7" x14ac:dyDescent="0.2">
      <c r="A17" s="8">
        <v>16</v>
      </c>
      <c r="B17" s="15">
        <v>50</v>
      </c>
      <c r="C17" s="10" t="s">
        <v>24</v>
      </c>
      <c r="D17" s="20">
        <v>97.4</v>
      </c>
      <c r="E17" s="20">
        <v>10.900262</v>
      </c>
      <c r="F17" s="10">
        <v>18.8</v>
      </c>
      <c r="G17" s="10">
        <v>2.1</v>
      </c>
    </row>
    <row r="18" spans="1:7" x14ac:dyDescent="0.2">
      <c r="A18" s="8">
        <v>17</v>
      </c>
      <c r="B18" s="12" t="s">
        <v>122</v>
      </c>
      <c r="C18" s="81" t="s">
        <v>59</v>
      </c>
      <c r="D18" s="82">
        <v>68.400000000000006</v>
      </c>
      <c r="E18" s="82">
        <v>12.13232</v>
      </c>
      <c r="F18" s="12">
        <v>13.2</v>
      </c>
      <c r="G18" s="12">
        <v>2.2999999999999998</v>
      </c>
    </row>
    <row r="19" spans="1:7" x14ac:dyDescent="0.2">
      <c r="A19" s="8">
        <v>18</v>
      </c>
      <c r="B19" s="15">
        <v>54</v>
      </c>
      <c r="C19" s="10" t="s">
        <v>27</v>
      </c>
      <c r="D19" s="20">
        <v>28.7</v>
      </c>
      <c r="E19" s="20">
        <v>8.5986840000000004</v>
      </c>
      <c r="F19" s="10">
        <v>5.5</v>
      </c>
      <c r="G19" s="10">
        <v>1.65</v>
      </c>
    </row>
    <row r="20" spans="1:7" x14ac:dyDescent="0.2">
      <c r="A20" s="8">
        <v>19</v>
      </c>
      <c r="B20" s="15">
        <v>56</v>
      </c>
      <c r="C20" s="10" t="s">
        <v>28</v>
      </c>
      <c r="D20" s="20">
        <v>68.400000000000006</v>
      </c>
      <c r="E20" s="20">
        <v>6.4882270000000002</v>
      </c>
      <c r="F20" s="10">
        <v>13.2</v>
      </c>
      <c r="G20" s="10">
        <v>1.25</v>
      </c>
    </row>
    <row r="21" spans="1:7" x14ac:dyDescent="0.2">
      <c r="A21" s="8">
        <v>20</v>
      </c>
      <c r="B21" s="15" t="s">
        <v>54</v>
      </c>
      <c r="C21" s="24" t="s">
        <v>55</v>
      </c>
      <c r="D21" s="25">
        <v>39</v>
      </c>
      <c r="E21" s="25">
        <v>9.0553570000000008</v>
      </c>
      <c r="F21" s="10">
        <v>7.5</v>
      </c>
      <c r="G21" s="10">
        <v>1.75</v>
      </c>
    </row>
    <row r="22" spans="1:7" x14ac:dyDescent="0.2">
      <c r="A22" s="8">
        <v>21</v>
      </c>
      <c r="B22" s="15">
        <v>58</v>
      </c>
      <c r="C22" s="10" t="s">
        <v>31</v>
      </c>
      <c r="D22" s="22" t="s">
        <v>34</v>
      </c>
      <c r="E22" s="22" t="s">
        <v>34</v>
      </c>
      <c r="F22" s="11" t="s">
        <v>34</v>
      </c>
      <c r="G22" s="11" t="s">
        <v>34</v>
      </c>
    </row>
    <row r="23" spans="1:7" x14ac:dyDescent="0.2">
      <c r="A23" s="8">
        <v>22</v>
      </c>
      <c r="B23" s="15">
        <v>59</v>
      </c>
      <c r="C23" s="10" t="s">
        <v>32</v>
      </c>
      <c r="D23" s="22" t="s">
        <v>34</v>
      </c>
      <c r="E23" s="22" t="s">
        <v>34</v>
      </c>
      <c r="F23" s="11" t="s">
        <v>34</v>
      </c>
      <c r="G23" s="11" t="s">
        <v>34</v>
      </c>
    </row>
    <row r="24" spans="1:7" x14ac:dyDescent="0.2">
      <c r="A24" s="8">
        <v>23</v>
      </c>
      <c r="B24" s="15">
        <v>6</v>
      </c>
      <c r="C24" s="24" t="s">
        <v>6</v>
      </c>
      <c r="D24" s="25">
        <v>33.700000000000003</v>
      </c>
      <c r="E24" s="25">
        <v>6.6882419999999998</v>
      </c>
      <c r="F24" s="10">
        <v>6.5</v>
      </c>
      <c r="G24" s="10">
        <v>1.3</v>
      </c>
    </row>
    <row r="25" spans="1:7" x14ac:dyDescent="0.2">
      <c r="A25" s="8">
        <v>24</v>
      </c>
      <c r="B25" s="15">
        <v>60</v>
      </c>
      <c r="C25" s="10" t="s">
        <v>33</v>
      </c>
      <c r="D25" s="20">
        <v>66</v>
      </c>
      <c r="E25" s="20">
        <v>26.371046</v>
      </c>
      <c r="F25" s="10">
        <v>12.7</v>
      </c>
      <c r="G25" s="10">
        <v>5.0999999999999996</v>
      </c>
    </row>
    <row r="26" spans="1:7" x14ac:dyDescent="0.2">
      <c r="A26" s="8">
        <v>25</v>
      </c>
      <c r="B26" s="15">
        <v>61</v>
      </c>
      <c r="C26" s="10" t="s">
        <v>35</v>
      </c>
      <c r="D26" s="20">
        <v>66</v>
      </c>
      <c r="E26" s="20">
        <v>26.371046</v>
      </c>
      <c r="F26" s="10">
        <v>12.7</v>
      </c>
      <c r="G26" s="10">
        <v>5.0999999999999996</v>
      </c>
    </row>
    <row r="27" spans="1:7" x14ac:dyDescent="0.2">
      <c r="A27" s="8">
        <v>26</v>
      </c>
      <c r="B27" s="15">
        <v>62</v>
      </c>
      <c r="C27" s="10" t="s">
        <v>36</v>
      </c>
      <c r="D27" s="22" t="s">
        <v>34</v>
      </c>
      <c r="E27" s="22" t="s">
        <v>34</v>
      </c>
      <c r="F27" s="11" t="s">
        <v>34</v>
      </c>
      <c r="G27" s="11" t="s">
        <v>34</v>
      </c>
    </row>
    <row r="28" spans="1:7" x14ac:dyDescent="0.2">
      <c r="A28" s="8">
        <v>27</v>
      </c>
      <c r="B28" s="15" t="s">
        <v>56</v>
      </c>
      <c r="C28" s="24" t="s">
        <v>57</v>
      </c>
      <c r="D28" s="25">
        <v>10.3</v>
      </c>
      <c r="E28" s="25">
        <v>2.0389729999999999</v>
      </c>
      <c r="F28" s="10">
        <v>2</v>
      </c>
      <c r="G28" s="10">
        <v>0.4</v>
      </c>
    </row>
    <row r="29" spans="1:7" x14ac:dyDescent="0.2">
      <c r="A29" s="8">
        <v>28</v>
      </c>
      <c r="B29" s="15">
        <v>64</v>
      </c>
      <c r="C29" s="10" t="s">
        <v>39</v>
      </c>
      <c r="D29" s="22" t="s">
        <v>34</v>
      </c>
      <c r="E29" s="22" t="s">
        <v>34</v>
      </c>
      <c r="F29" s="11" t="s">
        <v>34</v>
      </c>
      <c r="G29" s="11" t="s">
        <v>34</v>
      </c>
    </row>
    <row r="30" spans="1:7" x14ac:dyDescent="0.2">
      <c r="A30" s="8">
        <v>29</v>
      </c>
      <c r="B30" s="15">
        <v>66</v>
      </c>
      <c r="C30" s="10" t="s">
        <v>40</v>
      </c>
      <c r="D30" s="20">
        <v>3.9</v>
      </c>
      <c r="E30" s="20">
        <v>1.9381360000000001</v>
      </c>
      <c r="F30" s="10">
        <v>0.8</v>
      </c>
      <c r="G30" s="10">
        <v>0.35</v>
      </c>
    </row>
    <row r="31" spans="1:7" x14ac:dyDescent="0.2">
      <c r="A31" s="8">
        <v>30</v>
      </c>
      <c r="B31" s="15">
        <v>67</v>
      </c>
      <c r="C31" s="10" t="s">
        <v>41</v>
      </c>
      <c r="D31" s="22" t="s">
        <v>34</v>
      </c>
      <c r="E31" s="22" t="s">
        <v>34</v>
      </c>
      <c r="F31" s="11" t="s">
        <v>34</v>
      </c>
      <c r="G31" s="11" t="s">
        <v>34</v>
      </c>
    </row>
    <row r="32" spans="1:7" x14ac:dyDescent="0.2">
      <c r="A32" s="8">
        <v>31</v>
      </c>
      <c r="B32" s="15">
        <v>68</v>
      </c>
      <c r="C32" s="10" t="s">
        <v>42</v>
      </c>
      <c r="D32" s="22" t="s">
        <v>34</v>
      </c>
      <c r="E32" s="22" t="s">
        <v>34</v>
      </c>
      <c r="F32" s="11" t="s">
        <v>34</v>
      </c>
      <c r="G32" s="11" t="s">
        <v>34</v>
      </c>
    </row>
    <row r="33" spans="1:7" x14ac:dyDescent="0.2">
      <c r="A33" s="8">
        <v>32</v>
      </c>
      <c r="B33" s="15">
        <v>7</v>
      </c>
      <c r="C33" s="10" t="s">
        <v>7</v>
      </c>
      <c r="D33" s="20">
        <v>505.4</v>
      </c>
      <c r="E33" s="20">
        <v>25.314012000000002</v>
      </c>
      <c r="F33" s="10">
        <v>97.3</v>
      </c>
      <c r="G33" s="10">
        <v>4.9000000000000004</v>
      </c>
    </row>
    <row r="34" spans="1:7" x14ac:dyDescent="0.2">
      <c r="A34" s="8">
        <v>33</v>
      </c>
      <c r="B34" s="15">
        <v>8</v>
      </c>
      <c r="C34" s="24" t="s">
        <v>11</v>
      </c>
      <c r="D34" s="25">
        <v>519.29999999999995</v>
      </c>
      <c r="E34" s="25">
        <v>28.960552</v>
      </c>
      <c r="F34" s="10">
        <v>100</v>
      </c>
      <c r="G34" s="10">
        <v>5.6</v>
      </c>
    </row>
    <row r="35" spans="1:7" x14ac:dyDescent="0.2">
      <c r="A35" s="8">
        <v>34</v>
      </c>
      <c r="B35" s="15">
        <v>9</v>
      </c>
      <c r="C35" s="10" t="s">
        <v>12</v>
      </c>
      <c r="D35" s="20">
        <v>519.29999999999995</v>
      </c>
      <c r="E35" s="20">
        <v>28.960552</v>
      </c>
      <c r="F35" s="10">
        <v>100</v>
      </c>
      <c r="G35" s="10">
        <v>5.6</v>
      </c>
    </row>
    <row r="36" spans="1:7" x14ac:dyDescent="0.2">
      <c r="A36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C644-8496-5A44-B0FE-2B566BCCFFC0}">
  <dimension ref="A1:R38"/>
  <sheetViews>
    <sheetView topLeftCell="I1" zoomScale="165" workbookViewId="0">
      <selection activeCell="R11" sqref="R11"/>
    </sheetView>
  </sheetViews>
  <sheetFormatPr baseColWidth="10" defaultRowHeight="16" x14ac:dyDescent="0.2"/>
  <cols>
    <col min="1" max="1" width="3.5" bestFit="1" customWidth="1"/>
    <col min="2" max="2" width="10.33203125" style="6" bestFit="1" customWidth="1"/>
    <col min="3" max="3" width="32.1640625" customWidth="1"/>
    <col min="4" max="4" width="11" bestFit="1" customWidth="1"/>
    <col min="5" max="5" width="10" bestFit="1" customWidth="1"/>
    <col min="6" max="6" width="16.6640625" bestFit="1" customWidth="1"/>
    <col min="7" max="7" width="10.5" bestFit="1" customWidth="1"/>
  </cols>
  <sheetData>
    <row r="1" spans="1:18" ht="17" customHeight="1" thickBot="1" x14ac:dyDescent="0.25">
      <c r="A1" s="8"/>
      <c r="B1" s="14" t="s">
        <v>0</v>
      </c>
      <c r="C1" s="8" t="s">
        <v>1</v>
      </c>
      <c r="D1" s="18" t="s">
        <v>2</v>
      </c>
      <c r="E1" s="18" t="s">
        <v>3</v>
      </c>
      <c r="F1" s="8" t="s">
        <v>46</v>
      </c>
      <c r="G1" s="8" t="s">
        <v>47</v>
      </c>
      <c r="J1" s="31" t="s">
        <v>110</v>
      </c>
      <c r="K1" s="46" t="s">
        <v>109</v>
      </c>
      <c r="L1" s="47"/>
      <c r="M1" s="47"/>
      <c r="N1" s="48"/>
      <c r="O1" s="51"/>
      <c r="P1" s="78" t="s">
        <v>111</v>
      </c>
      <c r="Q1" s="79" t="s">
        <v>2</v>
      </c>
      <c r="R1" s="80" t="s">
        <v>3</v>
      </c>
    </row>
    <row r="2" spans="1:18" ht="17" thickBot="1" x14ac:dyDescent="0.25">
      <c r="A2" s="8">
        <v>1</v>
      </c>
      <c r="B2" s="15">
        <v>10</v>
      </c>
      <c r="C2" s="24" t="s">
        <v>10</v>
      </c>
      <c r="D2" s="25">
        <v>10.9</v>
      </c>
      <c r="E2" s="25">
        <v>5.4911209999999997</v>
      </c>
      <c r="F2" s="10">
        <v>2.1</v>
      </c>
      <c r="G2" s="10">
        <v>1.05</v>
      </c>
      <c r="J2" s="43"/>
      <c r="K2" s="38" t="s">
        <v>95</v>
      </c>
      <c r="L2" s="41" t="s">
        <v>97</v>
      </c>
      <c r="M2" s="38" t="s">
        <v>96</v>
      </c>
      <c r="N2" s="49" t="s">
        <v>98</v>
      </c>
      <c r="O2" s="51"/>
      <c r="P2" s="71" t="s">
        <v>116</v>
      </c>
      <c r="Q2" s="72">
        <f>K3</f>
        <v>4.125</v>
      </c>
      <c r="R2" s="73">
        <f>L3</f>
        <v>1.875</v>
      </c>
    </row>
    <row r="3" spans="1:18" x14ac:dyDescent="0.2">
      <c r="A3" s="8">
        <v>2</v>
      </c>
      <c r="B3" s="15">
        <v>11</v>
      </c>
      <c r="C3" s="24" t="s">
        <v>48</v>
      </c>
      <c r="D3" s="25">
        <v>53.6</v>
      </c>
      <c r="E3" s="25">
        <v>9.3041319999999992</v>
      </c>
      <c r="F3" s="10">
        <v>10.199999999999999</v>
      </c>
      <c r="G3" s="10">
        <v>1.8</v>
      </c>
      <c r="I3" s="30" t="s">
        <v>106</v>
      </c>
      <c r="J3" s="88">
        <v>39</v>
      </c>
      <c r="K3" s="44">
        <f>J3/J5*K5</f>
        <v>4.125</v>
      </c>
      <c r="L3" s="36">
        <f>K3/K5*L5</f>
        <v>1.875</v>
      </c>
      <c r="M3" s="44">
        <f>K3/K5*M5</f>
        <v>20.25</v>
      </c>
      <c r="N3" s="50">
        <f>M3/M5*N5</f>
        <v>3.375</v>
      </c>
      <c r="P3" s="35" t="s">
        <v>117</v>
      </c>
      <c r="Q3" s="36">
        <f>K4</f>
        <v>8.25</v>
      </c>
      <c r="R3" s="50">
        <f>L4</f>
        <v>3.75</v>
      </c>
    </row>
    <row r="4" spans="1:18" ht="17" thickBot="1" x14ac:dyDescent="0.25">
      <c r="A4" s="8">
        <v>3</v>
      </c>
      <c r="B4" s="15">
        <v>12</v>
      </c>
      <c r="C4" s="24" t="s">
        <v>11</v>
      </c>
      <c r="D4" s="25">
        <v>524.4</v>
      </c>
      <c r="E4" s="25">
        <v>47.296599999999998</v>
      </c>
      <c r="F4" s="10">
        <v>100</v>
      </c>
      <c r="G4" s="10">
        <v>9</v>
      </c>
      <c r="I4" s="30" t="s">
        <v>107</v>
      </c>
      <c r="J4" s="88">
        <v>78</v>
      </c>
      <c r="K4" s="44">
        <f>J4/J5*K5</f>
        <v>8.25</v>
      </c>
      <c r="L4" s="36">
        <f>K4/K5*L5</f>
        <v>3.75</v>
      </c>
      <c r="M4" s="44">
        <f>K4/K5*M5</f>
        <v>40.5</v>
      </c>
      <c r="N4" s="50">
        <f>M4/M5*N5</f>
        <v>6.75</v>
      </c>
      <c r="P4" s="38" t="s">
        <v>118</v>
      </c>
      <c r="Q4" s="39">
        <f>K5</f>
        <v>11</v>
      </c>
      <c r="R4" s="74">
        <f>L5</f>
        <v>5</v>
      </c>
    </row>
    <row r="5" spans="1:18" ht="17" thickBot="1" x14ac:dyDescent="0.25">
      <c r="A5" s="8">
        <v>4</v>
      </c>
      <c r="B5" s="15">
        <v>13</v>
      </c>
      <c r="C5" s="10" t="s">
        <v>12</v>
      </c>
      <c r="D5" s="20">
        <v>524.4</v>
      </c>
      <c r="E5" s="20">
        <v>47.296599999999998</v>
      </c>
      <c r="F5" s="10">
        <v>100</v>
      </c>
      <c r="G5" s="10">
        <v>9</v>
      </c>
      <c r="I5" s="30" t="s">
        <v>108</v>
      </c>
      <c r="J5" s="89">
        <v>104</v>
      </c>
      <c r="K5" s="83">
        <v>11</v>
      </c>
      <c r="L5" s="84">
        <v>5</v>
      </c>
      <c r="M5" s="83">
        <v>54</v>
      </c>
      <c r="N5" s="85">
        <v>9</v>
      </c>
      <c r="P5" s="71" t="s">
        <v>113</v>
      </c>
      <c r="Q5" s="72">
        <f>SUM(Q2:Q4) * 1/3</f>
        <v>7.791666666666667</v>
      </c>
      <c r="R5" s="73">
        <f>SQRT(R2^2 + R3^2 + R4^2 ) * 1/3</f>
        <v>2.1750638560230313</v>
      </c>
    </row>
    <row r="6" spans="1:18" x14ac:dyDescent="0.2">
      <c r="A6" s="8">
        <v>5</v>
      </c>
      <c r="B6" s="15">
        <v>14</v>
      </c>
      <c r="C6" s="24" t="s">
        <v>13</v>
      </c>
      <c r="D6" s="25">
        <v>525.5</v>
      </c>
      <c r="E6" s="25">
        <v>27.628579999999999</v>
      </c>
      <c r="F6" s="10">
        <v>100.2</v>
      </c>
      <c r="G6" s="10">
        <v>5.25</v>
      </c>
      <c r="K6" s="52">
        <f>SUM(K3:K5)</f>
        <v>23.375</v>
      </c>
      <c r="L6" s="52">
        <f>SQRT(L3^2 + L4^2 +L5^2)</f>
        <v>6.5251915680690935</v>
      </c>
      <c r="M6" s="53">
        <f>SUM(M3:M5)</f>
        <v>114.75</v>
      </c>
      <c r="N6" s="52">
        <f>SQRT(N3^2 + N4^2 +N5^2)</f>
        <v>11.74534482252437</v>
      </c>
      <c r="P6" s="71" t="s">
        <v>119</v>
      </c>
      <c r="Q6" s="75">
        <f>M3</f>
        <v>20.25</v>
      </c>
      <c r="R6" s="73">
        <f>N3</f>
        <v>3.375</v>
      </c>
    </row>
    <row r="7" spans="1:18" ht="17" thickBot="1" x14ac:dyDescent="0.25">
      <c r="A7" s="8">
        <v>6</v>
      </c>
      <c r="B7" s="15">
        <v>19</v>
      </c>
      <c r="C7" s="24" t="s">
        <v>14</v>
      </c>
      <c r="D7" s="25">
        <v>192.3</v>
      </c>
      <c r="E7" s="25">
        <v>96.031289999999998</v>
      </c>
      <c r="F7" s="10">
        <v>36.700000000000003</v>
      </c>
      <c r="G7" s="10">
        <v>18.3</v>
      </c>
      <c r="P7" s="35" t="s">
        <v>120</v>
      </c>
      <c r="Q7" s="32">
        <f>M4</f>
        <v>40.5</v>
      </c>
      <c r="R7" s="50">
        <f>N4</f>
        <v>6.75</v>
      </c>
    </row>
    <row r="8" spans="1:18" ht="17" thickBot="1" x14ac:dyDescent="0.25">
      <c r="A8" s="8">
        <v>7</v>
      </c>
      <c r="B8" s="15">
        <v>20</v>
      </c>
      <c r="C8" s="24" t="s">
        <v>15</v>
      </c>
      <c r="D8" s="25">
        <v>1904.4</v>
      </c>
      <c r="E8" s="25">
        <v>503.93889999999999</v>
      </c>
      <c r="F8" s="10">
        <v>363.1</v>
      </c>
      <c r="G8" s="10">
        <v>96.1</v>
      </c>
      <c r="K8" s="59"/>
      <c r="L8" s="60" t="s">
        <v>101</v>
      </c>
      <c r="M8" s="61" t="s">
        <v>102</v>
      </c>
      <c r="P8" s="38" t="s">
        <v>121</v>
      </c>
      <c r="Q8" s="41">
        <f>M5</f>
        <v>54</v>
      </c>
      <c r="R8" s="74">
        <f>N5</f>
        <v>9</v>
      </c>
    </row>
    <row r="9" spans="1:18" ht="17" thickBot="1" x14ac:dyDescent="0.25">
      <c r="A9" s="8">
        <v>8</v>
      </c>
      <c r="B9" s="15">
        <v>21</v>
      </c>
      <c r="C9" s="24" t="s">
        <v>16</v>
      </c>
      <c r="D9" s="25">
        <v>1762</v>
      </c>
      <c r="E9" s="25">
        <v>582.39369999999997</v>
      </c>
      <c r="F9" s="10">
        <v>336</v>
      </c>
      <c r="G9" s="10">
        <v>111.05</v>
      </c>
      <c r="K9" s="62" t="s">
        <v>100</v>
      </c>
      <c r="L9" s="86">
        <v>524</v>
      </c>
      <c r="M9" s="87">
        <v>47</v>
      </c>
      <c r="P9" s="38" t="s">
        <v>112</v>
      </c>
      <c r="Q9" s="39">
        <f>SUM(Q6:Q8) * 1/3</f>
        <v>38.25</v>
      </c>
      <c r="R9" s="74">
        <f>SQRT(R6^2 +R7^2 + R8^2 ) * 1/3</f>
        <v>3.9151149408414567</v>
      </c>
    </row>
    <row r="10" spans="1:18" ht="17" thickBot="1" x14ac:dyDescent="0.25">
      <c r="A10" s="8">
        <v>9</v>
      </c>
      <c r="B10" s="15">
        <v>22</v>
      </c>
      <c r="C10" s="24" t="s">
        <v>17</v>
      </c>
      <c r="D10" s="25">
        <v>265.7</v>
      </c>
      <c r="E10" s="25">
        <v>12.163489999999999</v>
      </c>
      <c r="F10" s="10">
        <v>50.7</v>
      </c>
      <c r="G10" s="10">
        <v>2.2999999999999998</v>
      </c>
      <c r="K10" s="62" t="s">
        <v>103</v>
      </c>
      <c r="L10" s="86">
        <v>31</v>
      </c>
      <c r="M10" s="87">
        <v>6</v>
      </c>
      <c r="P10" s="45" t="s">
        <v>115</v>
      </c>
      <c r="Q10" s="69">
        <f>L10</f>
        <v>31</v>
      </c>
      <c r="R10" s="70">
        <f>M10</f>
        <v>6</v>
      </c>
    </row>
    <row r="11" spans="1:18" ht="17" thickBot="1" x14ac:dyDescent="0.25">
      <c r="A11" s="8">
        <v>10</v>
      </c>
      <c r="B11" s="15">
        <v>23</v>
      </c>
      <c r="C11" s="24" t="s">
        <v>18</v>
      </c>
      <c r="D11" s="25">
        <v>1503.1</v>
      </c>
      <c r="E11" s="25">
        <v>586.49839999999995</v>
      </c>
      <c r="F11" s="10">
        <v>286.60000000000002</v>
      </c>
      <c r="G11" s="10">
        <v>111.85</v>
      </c>
      <c r="K11" s="62" t="s">
        <v>104</v>
      </c>
      <c r="L11" s="86">
        <v>10</v>
      </c>
      <c r="M11" s="87">
        <v>2</v>
      </c>
      <c r="P11" s="45" t="s">
        <v>99</v>
      </c>
      <c r="Q11" s="76">
        <f>L12-SUM(Q2:Q9)-Q10</f>
        <v>328.83333333333331</v>
      </c>
      <c r="R11" s="77">
        <f>SQRT(M12^2 + R2^2 + R3^2 + R4^2 +R6^2 +R7^2 +R8^2 + R5^2 + R9^2 +R10^2 )</f>
        <v>49.614416027781459</v>
      </c>
    </row>
    <row r="12" spans="1:18" x14ac:dyDescent="0.2">
      <c r="A12" s="8">
        <v>11</v>
      </c>
      <c r="B12" s="15">
        <v>25</v>
      </c>
      <c r="C12" s="24" t="s">
        <v>19</v>
      </c>
      <c r="D12" s="25">
        <v>23.1</v>
      </c>
      <c r="E12" s="25">
        <v>4.1323939999999997</v>
      </c>
      <c r="F12" s="10">
        <v>4.4000000000000004</v>
      </c>
      <c r="G12" s="10">
        <v>0.8</v>
      </c>
      <c r="K12" s="68" t="s">
        <v>114</v>
      </c>
      <c r="L12" s="33">
        <f>L9+L11*2</f>
        <v>544</v>
      </c>
      <c r="M12" s="37">
        <f>SQRT(M9^2+4*M11^2)</f>
        <v>47.169905660283021</v>
      </c>
    </row>
    <row r="13" spans="1:18" ht="17" thickBot="1" x14ac:dyDescent="0.25">
      <c r="A13" s="8">
        <v>12</v>
      </c>
      <c r="B13" s="15">
        <v>27</v>
      </c>
      <c r="C13" s="24" t="s">
        <v>20</v>
      </c>
      <c r="D13" s="25">
        <v>143.5</v>
      </c>
      <c r="E13" s="25">
        <v>6.0861429999999999</v>
      </c>
      <c r="F13" s="10">
        <v>27.4</v>
      </c>
      <c r="G13" s="10">
        <v>1.1499999999999999</v>
      </c>
      <c r="K13" s="65" t="s">
        <v>105</v>
      </c>
      <c r="L13" s="40">
        <f>L12-L10-K6-M6</f>
        <v>374.875</v>
      </c>
      <c r="M13" s="66">
        <f>SQRT(M12^2 + M10^2 + L6^2 + N6^2 )</f>
        <v>49.411853335004544</v>
      </c>
    </row>
    <row r="14" spans="1:18" x14ac:dyDescent="0.2">
      <c r="A14" s="8">
        <v>13</v>
      </c>
      <c r="B14" s="15">
        <v>28</v>
      </c>
      <c r="C14" s="24" t="s">
        <v>21</v>
      </c>
      <c r="D14" s="25">
        <v>259</v>
      </c>
      <c r="E14" s="25">
        <v>4.8382860000000001</v>
      </c>
      <c r="F14" s="10">
        <v>49.4</v>
      </c>
      <c r="G14" s="10">
        <v>0.9</v>
      </c>
    </row>
    <row r="15" spans="1:18" x14ac:dyDescent="0.2">
      <c r="A15" s="8">
        <v>14</v>
      </c>
      <c r="B15" s="15">
        <v>29</v>
      </c>
      <c r="C15" s="24" t="s">
        <v>22</v>
      </c>
      <c r="D15" s="25">
        <v>403.3</v>
      </c>
      <c r="E15" s="25">
        <v>7.1402489999999998</v>
      </c>
      <c r="F15" s="10">
        <v>76.900000000000006</v>
      </c>
      <c r="G15" s="10">
        <v>1.35</v>
      </c>
    </row>
    <row r="16" spans="1:18" x14ac:dyDescent="0.2">
      <c r="A16" s="8">
        <v>15</v>
      </c>
      <c r="B16" s="15">
        <v>5</v>
      </c>
      <c r="C16" s="10" t="s">
        <v>43</v>
      </c>
      <c r="D16" s="20">
        <v>414.5</v>
      </c>
      <c r="E16" s="20">
        <v>51.236780000000003</v>
      </c>
      <c r="F16" s="10">
        <v>79</v>
      </c>
      <c r="G16" s="10">
        <v>9.8000000000000007</v>
      </c>
    </row>
    <row r="17" spans="1:7" x14ac:dyDescent="0.2">
      <c r="A17" s="8">
        <v>16</v>
      </c>
      <c r="B17" s="15" t="s">
        <v>62</v>
      </c>
      <c r="C17" s="24" t="s">
        <v>53</v>
      </c>
      <c r="D17" s="25">
        <v>184.6</v>
      </c>
      <c r="E17" s="25">
        <v>18.904820000000001</v>
      </c>
      <c r="F17" s="10">
        <v>35.200000000000003</v>
      </c>
      <c r="G17" s="10">
        <v>3.6</v>
      </c>
    </row>
    <row r="18" spans="1:7" x14ac:dyDescent="0.2">
      <c r="A18" s="8">
        <v>17</v>
      </c>
      <c r="B18" s="15">
        <v>53</v>
      </c>
      <c r="C18" s="10" t="s">
        <v>23</v>
      </c>
      <c r="D18" s="20">
        <v>40.299999999999997</v>
      </c>
      <c r="E18" s="20">
        <v>13.239470000000001</v>
      </c>
      <c r="F18" s="10">
        <v>7.7</v>
      </c>
      <c r="G18" s="10">
        <v>2.5</v>
      </c>
    </row>
    <row r="19" spans="1:7" x14ac:dyDescent="0.2">
      <c r="A19" s="8">
        <v>18</v>
      </c>
      <c r="B19" s="15">
        <v>55</v>
      </c>
      <c r="C19" s="10" t="s">
        <v>24</v>
      </c>
      <c r="D19" s="20">
        <v>98.4</v>
      </c>
      <c r="E19" s="20">
        <v>10.233790000000001</v>
      </c>
      <c r="F19" s="10">
        <v>18.8</v>
      </c>
      <c r="G19" s="10">
        <v>1.95</v>
      </c>
    </row>
    <row r="20" spans="1:7" x14ac:dyDescent="0.2">
      <c r="A20" s="8">
        <v>19</v>
      </c>
      <c r="B20" s="15" t="s">
        <v>58</v>
      </c>
      <c r="C20" s="24" t="s">
        <v>59</v>
      </c>
      <c r="D20" s="25">
        <v>69.8</v>
      </c>
      <c r="E20" s="25">
        <v>10.789680000000001</v>
      </c>
      <c r="F20" s="10">
        <v>13.3</v>
      </c>
      <c r="G20" s="10">
        <v>2.0499999999999998</v>
      </c>
    </row>
    <row r="21" spans="1:7" x14ac:dyDescent="0.2">
      <c r="A21" s="8">
        <v>20</v>
      </c>
      <c r="B21" s="15">
        <v>59</v>
      </c>
      <c r="C21" s="10" t="s">
        <v>27</v>
      </c>
      <c r="D21" s="20">
        <v>41.5</v>
      </c>
      <c r="E21" s="20">
        <v>13.183339999999999</v>
      </c>
      <c r="F21" s="10">
        <v>7.9</v>
      </c>
      <c r="G21" s="10">
        <v>2.5</v>
      </c>
    </row>
    <row r="22" spans="1:7" x14ac:dyDescent="0.2">
      <c r="A22" s="8">
        <v>21</v>
      </c>
      <c r="B22" s="15">
        <v>6</v>
      </c>
      <c r="C22" s="10" t="s">
        <v>4</v>
      </c>
      <c r="D22" s="20">
        <v>220.2</v>
      </c>
      <c r="E22" s="20">
        <v>53.713419999999999</v>
      </c>
      <c r="F22" s="10">
        <v>42</v>
      </c>
      <c r="G22" s="10">
        <v>10.25</v>
      </c>
    </row>
    <row r="23" spans="1:7" x14ac:dyDescent="0.2">
      <c r="A23" s="8">
        <v>22</v>
      </c>
      <c r="B23" s="15">
        <v>61</v>
      </c>
      <c r="C23" s="10" t="s">
        <v>28</v>
      </c>
      <c r="D23" s="20">
        <v>66.599999999999994</v>
      </c>
      <c r="E23" s="20">
        <v>5.8595480000000002</v>
      </c>
      <c r="F23" s="10">
        <v>12.7</v>
      </c>
      <c r="G23" s="10">
        <v>1.1000000000000001</v>
      </c>
    </row>
    <row r="24" spans="1:7" x14ac:dyDescent="0.2">
      <c r="A24" s="8">
        <v>23</v>
      </c>
      <c r="B24" s="15" t="s">
        <v>60</v>
      </c>
      <c r="C24" s="24" t="s">
        <v>55</v>
      </c>
      <c r="D24" s="25">
        <v>25.8</v>
      </c>
      <c r="E24" s="25">
        <v>12.37598</v>
      </c>
      <c r="F24" s="10">
        <v>4.9000000000000004</v>
      </c>
      <c r="G24" s="10">
        <v>2.35</v>
      </c>
    </row>
    <row r="25" spans="1:7" x14ac:dyDescent="0.2">
      <c r="A25" s="8">
        <v>24</v>
      </c>
      <c r="B25" s="15">
        <v>63</v>
      </c>
      <c r="C25" s="10" t="s">
        <v>31</v>
      </c>
      <c r="D25" s="20">
        <v>159180.1</v>
      </c>
      <c r="E25" s="20">
        <v>79512.36</v>
      </c>
      <c r="F25" s="10">
        <v>30353.3</v>
      </c>
      <c r="G25" s="10">
        <v>15161.8</v>
      </c>
    </row>
    <row r="26" spans="1:7" x14ac:dyDescent="0.2">
      <c r="A26" s="8">
        <v>25</v>
      </c>
      <c r="B26" s="15">
        <v>64</v>
      </c>
      <c r="C26" s="10" t="s">
        <v>32</v>
      </c>
      <c r="D26" s="20">
        <v>159180.1</v>
      </c>
      <c r="E26" s="20">
        <v>79512.36</v>
      </c>
      <c r="F26" s="10">
        <v>30353.3</v>
      </c>
      <c r="G26" s="10">
        <v>15161.8</v>
      </c>
    </row>
    <row r="27" spans="1:7" x14ac:dyDescent="0.2">
      <c r="A27" s="8">
        <v>26</v>
      </c>
      <c r="B27" s="15">
        <v>65</v>
      </c>
      <c r="C27" s="10" t="s">
        <v>33</v>
      </c>
      <c r="D27" s="22" t="s">
        <v>34</v>
      </c>
      <c r="E27" s="22" t="s">
        <v>34</v>
      </c>
      <c r="F27" s="11" t="s">
        <v>34</v>
      </c>
      <c r="G27" s="11" t="s">
        <v>34</v>
      </c>
    </row>
    <row r="28" spans="1:7" x14ac:dyDescent="0.2">
      <c r="A28" s="8">
        <v>27</v>
      </c>
      <c r="B28" s="15">
        <v>66</v>
      </c>
      <c r="C28" s="10" t="s">
        <v>35</v>
      </c>
      <c r="D28" s="22" t="s">
        <v>34</v>
      </c>
      <c r="E28" s="22" t="s">
        <v>34</v>
      </c>
      <c r="F28" s="11" t="s">
        <v>34</v>
      </c>
      <c r="G28" s="11" t="s">
        <v>34</v>
      </c>
    </row>
    <row r="29" spans="1:7" x14ac:dyDescent="0.2">
      <c r="A29" s="8">
        <v>28</v>
      </c>
      <c r="B29" s="15">
        <v>67</v>
      </c>
      <c r="C29" s="10" t="s">
        <v>36</v>
      </c>
      <c r="D29" s="20">
        <v>14.3</v>
      </c>
      <c r="E29" s="20">
        <v>0.51727420000000002</v>
      </c>
      <c r="F29" s="10">
        <v>2.7</v>
      </c>
      <c r="G29" s="10">
        <v>0.1</v>
      </c>
    </row>
    <row r="30" spans="1:7" x14ac:dyDescent="0.2">
      <c r="A30" s="8">
        <v>29</v>
      </c>
      <c r="B30" s="15" t="s">
        <v>61</v>
      </c>
      <c r="C30" s="24" t="s">
        <v>57</v>
      </c>
      <c r="D30" s="25">
        <v>10.1</v>
      </c>
      <c r="E30" s="25">
        <v>1.8357140000000001</v>
      </c>
      <c r="F30" s="10">
        <v>1.9</v>
      </c>
      <c r="G30" s="10">
        <v>0.35</v>
      </c>
    </row>
    <row r="31" spans="1:7" x14ac:dyDescent="0.2">
      <c r="A31" s="8">
        <v>30</v>
      </c>
      <c r="B31" s="15">
        <v>69</v>
      </c>
      <c r="C31" s="10" t="s">
        <v>39</v>
      </c>
      <c r="D31" s="20">
        <v>3.8</v>
      </c>
      <c r="E31" s="20">
        <v>1.8859870000000001</v>
      </c>
      <c r="F31" s="10">
        <v>0.7</v>
      </c>
      <c r="G31" s="10">
        <v>0.35</v>
      </c>
    </row>
    <row r="32" spans="1:7" x14ac:dyDescent="0.2">
      <c r="A32" s="8">
        <v>31</v>
      </c>
      <c r="B32" s="15">
        <v>7</v>
      </c>
      <c r="C32" s="10" t="s">
        <v>5</v>
      </c>
      <c r="D32" s="20">
        <v>1754.6</v>
      </c>
      <c r="E32" s="20">
        <v>582.21900000000005</v>
      </c>
      <c r="F32" s="10">
        <v>334.6</v>
      </c>
      <c r="G32" s="10">
        <v>111</v>
      </c>
    </row>
    <row r="33" spans="1:7" x14ac:dyDescent="0.2">
      <c r="A33" s="8">
        <v>32</v>
      </c>
      <c r="B33" s="15">
        <v>71</v>
      </c>
      <c r="C33" s="10" t="s">
        <v>40</v>
      </c>
      <c r="D33" s="22" t="s">
        <v>34</v>
      </c>
      <c r="E33" s="22" t="s">
        <v>34</v>
      </c>
      <c r="F33" s="11" t="s">
        <v>34</v>
      </c>
      <c r="G33" s="11" t="s">
        <v>34</v>
      </c>
    </row>
    <row r="34" spans="1:7" x14ac:dyDescent="0.2">
      <c r="A34" s="8">
        <v>33</v>
      </c>
      <c r="B34" s="15">
        <v>72</v>
      </c>
      <c r="C34" s="10" t="s">
        <v>41</v>
      </c>
      <c r="D34" s="22" t="s">
        <v>34</v>
      </c>
      <c r="E34" s="22" t="s">
        <v>34</v>
      </c>
      <c r="F34" s="11" t="s">
        <v>34</v>
      </c>
      <c r="G34" s="11" t="s">
        <v>34</v>
      </c>
    </row>
    <row r="35" spans="1:7" x14ac:dyDescent="0.2">
      <c r="A35" s="8">
        <v>34</v>
      </c>
      <c r="B35" s="15">
        <v>73</v>
      </c>
      <c r="C35" s="10" t="s">
        <v>42</v>
      </c>
      <c r="D35" s="22" t="s">
        <v>34</v>
      </c>
      <c r="E35" s="22" t="s">
        <v>34</v>
      </c>
      <c r="F35" s="11" t="s">
        <v>34</v>
      </c>
      <c r="G35" s="11" t="s">
        <v>34</v>
      </c>
    </row>
    <row r="36" spans="1:7" x14ac:dyDescent="0.2">
      <c r="A36" s="8">
        <v>35</v>
      </c>
      <c r="B36" s="15">
        <v>8</v>
      </c>
      <c r="C36" s="24" t="s">
        <v>6</v>
      </c>
      <c r="D36" s="25">
        <v>30.6</v>
      </c>
      <c r="E36" s="25">
        <v>5.8554680000000001</v>
      </c>
      <c r="F36" s="10">
        <v>5.8</v>
      </c>
      <c r="G36" s="10">
        <v>1.1499999999999999</v>
      </c>
    </row>
    <row r="37" spans="1:7" x14ac:dyDescent="0.2">
      <c r="A37" s="8">
        <v>36</v>
      </c>
      <c r="B37" s="15">
        <v>9</v>
      </c>
      <c r="C37" s="24" t="s">
        <v>7</v>
      </c>
      <c r="D37" s="25">
        <v>422.3</v>
      </c>
      <c r="E37" s="25">
        <v>25.020689999999998</v>
      </c>
      <c r="F37" s="10">
        <v>80.5</v>
      </c>
      <c r="G37" s="10">
        <v>4.8</v>
      </c>
    </row>
    <row r="38" spans="1:7" x14ac:dyDescent="0.2">
      <c r="A38" s="4"/>
    </row>
  </sheetData>
  <mergeCells count="3">
    <mergeCell ref="J1:J2"/>
    <mergeCell ref="K1:N1"/>
    <mergeCell ref="O1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49D5F-4772-B346-B98A-E126A1629A65}">
  <dimension ref="A1:V61"/>
  <sheetViews>
    <sheetView tabSelected="1" topLeftCell="O1" zoomScale="200" workbookViewId="0">
      <selection activeCell="S9" sqref="S9"/>
    </sheetView>
  </sheetViews>
  <sheetFormatPr baseColWidth="10" defaultRowHeight="16" x14ac:dyDescent="0.2"/>
  <cols>
    <col min="1" max="1" width="3.5" bestFit="1" customWidth="1"/>
    <col min="2" max="2" width="27" style="6" bestFit="1" customWidth="1"/>
    <col min="3" max="3" width="39.83203125" style="13" customWidth="1"/>
    <col min="4" max="4" width="11.1640625" style="13" bestFit="1" customWidth="1"/>
    <col min="5" max="5" width="14" style="13" bestFit="1" customWidth="1"/>
    <col min="6" max="6" width="17" bestFit="1" customWidth="1"/>
    <col min="7" max="7" width="10.6640625" bestFit="1" customWidth="1"/>
  </cols>
  <sheetData>
    <row r="1" spans="1:22" ht="17" thickBot="1" x14ac:dyDescent="0.25">
      <c r="A1" s="1"/>
      <c r="B1" s="5" t="s">
        <v>0</v>
      </c>
      <c r="C1" s="8" t="s">
        <v>1</v>
      </c>
      <c r="D1" s="18" t="s">
        <v>2</v>
      </c>
      <c r="E1" s="18" t="s">
        <v>3</v>
      </c>
      <c r="F1" s="1" t="s">
        <v>46</v>
      </c>
      <c r="G1" s="1" t="s">
        <v>47</v>
      </c>
      <c r="J1" s="31" t="s">
        <v>110</v>
      </c>
      <c r="K1" s="46" t="s">
        <v>109</v>
      </c>
      <c r="L1" s="47"/>
      <c r="M1" s="47"/>
      <c r="N1" s="48"/>
      <c r="O1" s="51"/>
      <c r="P1" s="94" t="s">
        <v>111</v>
      </c>
      <c r="Q1" s="94" t="s">
        <v>2</v>
      </c>
      <c r="R1" s="94" t="s">
        <v>3</v>
      </c>
      <c r="T1" s="94" t="s">
        <v>111</v>
      </c>
      <c r="U1" s="94" t="s">
        <v>2</v>
      </c>
      <c r="V1" s="94" t="s">
        <v>3</v>
      </c>
    </row>
    <row r="2" spans="1:22" ht="17" thickBot="1" x14ac:dyDescent="0.25">
      <c r="A2" s="1">
        <v>1</v>
      </c>
      <c r="B2" s="7">
        <v>10</v>
      </c>
      <c r="C2" s="24" t="s">
        <v>10</v>
      </c>
      <c r="D2" s="25">
        <v>14.1</v>
      </c>
      <c r="E2" s="25">
        <v>7.0356459999999998</v>
      </c>
      <c r="F2" s="2">
        <v>4.3</v>
      </c>
      <c r="G2" s="2">
        <v>2.1</v>
      </c>
      <c r="J2" s="43"/>
      <c r="K2" s="38" t="s">
        <v>95</v>
      </c>
      <c r="L2" s="41" t="s">
        <v>97</v>
      </c>
      <c r="M2" s="38" t="s">
        <v>96</v>
      </c>
      <c r="N2" s="49" t="s">
        <v>98</v>
      </c>
      <c r="O2" s="51"/>
      <c r="P2" s="91" t="s">
        <v>116</v>
      </c>
      <c r="Q2" s="92">
        <f>K3</f>
        <v>5.25</v>
      </c>
      <c r="R2" s="92">
        <f>L3</f>
        <v>2.625</v>
      </c>
      <c r="T2" s="91" t="str">
        <f>P2</f>
        <v>NEFA-Palm</v>
      </c>
      <c r="U2" s="95">
        <f t="shared" ref="U2:V2" si="0">Q2</f>
        <v>5.25</v>
      </c>
      <c r="V2" s="95">
        <f t="shared" si="0"/>
        <v>2.625</v>
      </c>
    </row>
    <row r="3" spans="1:22" x14ac:dyDescent="0.2">
      <c r="A3" s="1">
        <v>2</v>
      </c>
      <c r="B3" s="7">
        <v>11</v>
      </c>
      <c r="C3" s="24" t="s">
        <v>48</v>
      </c>
      <c r="D3" s="25">
        <v>56.4</v>
      </c>
      <c r="E3" s="25">
        <v>8.7241769999999992</v>
      </c>
      <c r="F3" s="2">
        <v>17</v>
      </c>
      <c r="G3" s="2">
        <v>2.65</v>
      </c>
      <c r="I3" s="30" t="s">
        <v>106</v>
      </c>
      <c r="J3" s="88">
        <v>39</v>
      </c>
      <c r="K3" s="44">
        <f>J3/J5*K5</f>
        <v>5.25</v>
      </c>
      <c r="L3" s="36">
        <f>K3/K5*L5</f>
        <v>2.625</v>
      </c>
      <c r="M3" s="44">
        <f>K3/K5*M5</f>
        <v>21</v>
      </c>
      <c r="N3" s="50">
        <f>M3/M5*N5</f>
        <v>3.375</v>
      </c>
      <c r="P3" s="91" t="s">
        <v>117</v>
      </c>
      <c r="Q3" s="92">
        <f>K4</f>
        <v>10.5</v>
      </c>
      <c r="R3" s="92">
        <f>L4</f>
        <v>5.25</v>
      </c>
      <c r="T3" s="91" t="str">
        <f t="shared" ref="T3:T4" si="1">P3</f>
        <v>NEFA-Ole</v>
      </c>
      <c r="U3" s="95">
        <f t="shared" ref="U3:U4" si="2">Q3</f>
        <v>10.5</v>
      </c>
      <c r="V3" s="95">
        <f t="shared" ref="V3:V4" si="3">R3</f>
        <v>5.25</v>
      </c>
    </row>
    <row r="4" spans="1:22" x14ac:dyDescent="0.2">
      <c r="A4" s="90">
        <v>3</v>
      </c>
      <c r="B4" s="7">
        <v>12</v>
      </c>
      <c r="C4" s="24" t="s">
        <v>11</v>
      </c>
      <c r="D4" s="25">
        <v>330.8</v>
      </c>
      <c r="E4" s="25">
        <v>37.764268999999999</v>
      </c>
      <c r="F4" s="2">
        <v>100</v>
      </c>
      <c r="G4" s="2">
        <v>11.4</v>
      </c>
      <c r="I4" s="30" t="s">
        <v>107</v>
      </c>
      <c r="J4" s="88">
        <v>78</v>
      </c>
      <c r="K4" s="44">
        <f>J4/J5*K5</f>
        <v>10.5</v>
      </c>
      <c r="L4" s="36">
        <f>K4/K5*L5</f>
        <v>5.25</v>
      </c>
      <c r="M4" s="44">
        <f>K4/K5*M5</f>
        <v>42</v>
      </c>
      <c r="N4" s="50">
        <f>M4/M5*N5</f>
        <v>6.75</v>
      </c>
      <c r="P4" s="91" t="s">
        <v>118</v>
      </c>
      <c r="Q4" s="92">
        <f>K5</f>
        <v>14</v>
      </c>
      <c r="R4" s="92">
        <f>L5</f>
        <v>7</v>
      </c>
      <c r="T4" s="91" t="str">
        <f t="shared" si="1"/>
        <v>NEFA-Lino</v>
      </c>
      <c r="U4" s="95">
        <f t="shared" si="2"/>
        <v>14</v>
      </c>
      <c r="V4" s="95">
        <f t="shared" si="3"/>
        <v>7</v>
      </c>
    </row>
    <row r="5" spans="1:22" ht="17" thickBot="1" x14ac:dyDescent="0.25">
      <c r="A5" s="90">
        <v>4</v>
      </c>
      <c r="B5" s="7">
        <v>13</v>
      </c>
      <c r="C5" s="10" t="s">
        <v>12</v>
      </c>
      <c r="D5" s="20">
        <v>330.8</v>
      </c>
      <c r="E5" s="20">
        <v>37.764268999999999</v>
      </c>
      <c r="F5" s="2">
        <v>100</v>
      </c>
      <c r="G5" s="2">
        <v>11.4</v>
      </c>
      <c r="I5" s="30" t="s">
        <v>108</v>
      </c>
      <c r="J5" s="89">
        <v>104</v>
      </c>
      <c r="K5" s="83">
        <v>14</v>
      </c>
      <c r="L5" s="84">
        <v>7</v>
      </c>
      <c r="M5" s="83">
        <v>56</v>
      </c>
      <c r="N5" s="85">
        <v>9</v>
      </c>
      <c r="P5" s="91" t="s">
        <v>113</v>
      </c>
      <c r="Q5" s="92">
        <f>SUM(Q2:Q4) * 1/3</f>
        <v>9.9166666666666661</v>
      </c>
      <c r="R5" s="92">
        <f>SQRT(R2^2 + R3^2 + R4^2 ) * 1/3</f>
        <v>3.045089398432244</v>
      </c>
      <c r="T5" s="91" t="str">
        <f>P6</f>
        <v>TAG-Palm</v>
      </c>
      <c r="U5" s="95">
        <f t="shared" ref="U5:U7" si="4">Q6</f>
        <v>21</v>
      </c>
      <c r="V5" s="95">
        <f t="shared" ref="V5:V7" si="5">R6</f>
        <v>3.375</v>
      </c>
    </row>
    <row r="6" spans="1:22" x14ac:dyDescent="0.2">
      <c r="A6" s="90">
        <v>5</v>
      </c>
      <c r="B6" s="7">
        <v>14</v>
      </c>
      <c r="C6" s="24" t="s">
        <v>13</v>
      </c>
      <c r="D6" s="25">
        <v>352.8</v>
      </c>
      <c r="E6" s="25">
        <v>37.760859000000004</v>
      </c>
      <c r="F6" s="2">
        <v>106.7</v>
      </c>
      <c r="G6" s="2">
        <v>11.4</v>
      </c>
      <c r="K6" s="52">
        <f>SUM(K3:K5)</f>
        <v>29.75</v>
      </c>
      <c r="L6" s="52">
        <f>SQRT(L3^2 + L4^2 +L5^2)</f>
        <v>9.1352681952967316</v>
      </c>
      <c r="M6" s="53">
        <f>SUM(M3:M5)</f>
        <v>119</v>
      </c>
      <c r="N6" s="52">
        <f>SQRT(N3^2 + N4^2 +N5^2)</f>
        <v>11.74534482252437</v>
      </c>
      <c r="P6" s="91" t="s">
        <v>119</v>
      </c>
      <c r="Q6" s="91">
        <f>M3</f>
        <v>21</v>
      </c>
      <c r="R6" s="92">
        <f>N3</f>
        <v>3.375</v>
      </c>
      <c r="T6" s="91" t="str">
        <f>P7</f>
        <v>TAG-Ole</v>
      </c>
      <c r="U6" s="95">
        <f t="shared" si="4"/>
        <v>42</v>
      </c>
      <c r="V6" s="95">
        <f t="shared" si="5"/>
        <v>6.75</v>
      </c>
    </row>
    <row r="7" spans="1:22" ht="17" thickBot="1" x14ac:dyDescent="0.25">
      <c r="A7" s="90">
        <v>6</v>
      </c>
      <c r="B7" s="7">
        <v>19</v>
      </c>
      <c r="C7" s="24" t="s">
        <v>14</v>
      </c>
      <c r="D7" s="25">
        <v>437.2</v>
      </c>
      <c r="E7" s="25">
        <v>218.58193700000001</v>
      </c>
      <c r="F7" s="2">
        <v>132.19999999999999</v>
      </c>
      <c r="G7" s="2">
        <v>66.05</v>
      </c>
      <c r="P7" s="91" t="s">
        <v>120</v>
      </c>
      <c r="Q7" s="91">
        <f>M4</f>
        <v>42</v>
      </c>
      <c r="R7" s="92">
        <f>N4</f>
        <v>6.75</v>
      </c>
      <c r="T7" s="91" t="str">
        <f>P8</f>
        <v>TAG-Lino</v>
      </c>
      <c r="U7" s="95">
        <f t="shared" si="4"/>
        <v>56</v>
      </c>
      <c r="V7" s="95">
        <f t="shared" si="5"/>
        <v>9</v>
      </c>
    </row>
    <row r="8" spans="1:22" x14ac:dyDescent="0.2">
      <c r="A8" s="90">
        <v>7</v>
      </c>
      <c r="B8" s="7">
        <v>20</v>
      </c>
      <c r="C8" s="24" t="s">
        <v>15</v>
      </c>
      <c r="D8" s="25">
        <v>7281.7</v>
      </c>
      <c r="E8" s="25">
        <v>3046.1327160000001</v>
      </c>
      <c r="F8" s="2">
        <v>2201.4</v>
      </c>
      <c r="G8" s="2">
        <v>920.9</v>
      </c>
      <c r="K8" s="59"/>
      <c r="L8" s="60" t="s">
        <v>101</v>
      </c>
      <c r="M8" s="61" t="s">
        <v>102</v>
      </c>
      <c r="P8" s="91" t="s">
        <v>121</v>
      </c>
      <c r="Q8" s="91">
        <f>M5</f>
        <v>56</v>
      </c>
      <c r="R8" s="92">
        <f>N5</f>
        <v>9</v>
      </c>
      <c r="T8" s="91" t="str">
        <f>P10</f>
        <v>Amino Acids</v>
      </c>
      <c r="U8" s="95">
        <f>Q10</f>
        <v>163</v>
      </c>
      <c r="V8" s="95">
        <f>R10</f>
        <v>50</v>
      </c>
    </row>
    <row r="9" spans="1:22" x14ac:dyDescent="0.2">
      <c r="A9" s="90">
        <v>8</v>
      </c>
      <c r="B9" s="7">
        <v>21</v>
      </c>
      <c r="C9" s="24" t="s">
        <v>16</v>
      </c>
      <c r="D9" s="25">
        <v>6528.2</v>
      </c>
      <c r="E9" s="25">
        <v>3264.1338900000001</v>
      </c>
      <c r="F9" s="2">
        <v>1973.6</v>
      </c>
      <c r="G9" s="2">
        <v>986.8</v>
      </c>
      <c r="K9" s="62" t="s">
        <v>100</v>
      </c>
      <c r="L9" s="86">
        <v>331</v>
      </c>
      <c r="M9" s="87">
        <v>38</v>
      </c>
      <c r="P9" s="91" t="s">
        <v>112</v>
      </c>
      <c r="Q9" s="92">
        <f>SUM(Q6:Q8) * 1/3</f>
        <v>39.666666666666664</v>
      </c>
      <c r="R9" s="92">
        <f>SQRT(R6^2 +R7^2 + R8^2 ) * 1/3</f>
        <v>3.9151149408414567</v>
      </c>
      <c r="T9" s="91" t="str">
        <f>P11</f>
        <v>carbs</v>
      </c>
      <c r="U9" s="95">
        <f>Q11</f>
        <v>32</v>
      </c>
      <c r="V9" s="95">
        <f>R11</f>
        <v>5</v>
      </c>
    </row>
    <row r="10" spans="1:22" x14ac:dyDescent="0.2">
      <c r="A10" s="90">
        <v>9</v>
      </c>
      <c r="B10" s="7">
        <v>22</v>
      </c>
      <c r="C10" s="24" t="s">
        <v>17</v>
      </c>
      <c r="D10" s="25">
        <v>282.3</v>
      </c>
      <c r="E10" s="25">
        <v>12.915710000000001</v>
      </c>
      <c r="F10" s="2">
        <v>85.3</v>
      </c>
      <c r="G10" s="2">
        <v>3.95</v>
      </c>
      <c r="K10" s="62" t="s">
        <v>104</v>
      </c>
      <c r="L10" s="86">
        <v>12</v>
      </c>
      <c r="M10" s="87">
        <v>2</v>
      </c>
      <c r="P10" s="93" t="s">
        <v>124</v>
      </c>
      <c r="Q10" s="91">
        <f>L12</f>
        <v>163</v>
      </c>
      <c r="R10" s="91">
        <f>M12</f>
        <v>50</v>
      </c>
      <c r="T10" s="91" t="str">
        <f>P12</f>
        <v>others</v>
      </c>
      <c r="U10" s="95">
        <f>L13- SUM(U2:U9)</f>
        <v>11.25</v>
      </c>
      <c r="V10" s="95">
        <f>R12</f>
        <v>65.046190852689023</v>
      </c>
    </row>
    <row r="11" spans="1:22" x14ac:dyDescent="0.2">
      <c r="A11" s="90">
        <v>10</v>
      </c>
      <c r="B11" s="7">
        <v>23</v>
      </c>
      <c r="C11" s="24" t="s">
        <v>18</v>
      </c>
      <c r="D11" s="25">
        <v>6581.4</v>
      </c>
      <c r="E11" s="25">
        <v>3043.2581060000002</v>
      </c>
      <c r="F11" s="2">
        <v>1989.7</v>
      </c>
      <c r="G11" s="2">
        <v>920</v>
      </c>
      <c r="K11" s="62" t="s">
        <v>103</v>
      </c>
      <c r="L11" s="86">
        <v>32</v>
      </c>
      <c r="M11" s="87">
        <v>5</v>
      </c>
      <c r="P11" s="91" t="s">
        <v>115</v>
      </c>
      <c r="Q11" s="91">
        <f>L11</f>
        <v>32</v>
      </c>
      <c r="R11" s="91">
        <f>M11</f>
        <v>5</v>
      </c>
    </row>
    <row r="12" spans="1:22" x14ac:dyDescent="0.2">
      <c r="A12" s="90">
        <v>11</v>
      </c>
      <c r="B12" s="7">
        <v>25</v>
      </c>
      <c r="C12" s="24" t="s">
        <v>19</v>
      </c>
      <c r="D12" s="25">
        <v>22</v>
      </c>
      <c r="E12" s="25">
        <v>4.044842</v>
      </c>
      <c r="F12" s="2">
        <v>6.7</v>
      </c>
      <c r="G12" s="2">
        <v>1.2</v>
      </c>
      <c r="K12" s="67" t="s">
        <v>123</v>
      </c>
      <c r="L12" s="86">
        <v>163</v>
      </c>
      <c r="M12" s="86">
        <v>50</v>
      </c>
      <c r="P12" s="91" t="s">
        <v>99</v>
      </c>
      <c r="Q12" s="92">
        <f>L13-SUM(Q2:Q9)-Q11-Q10</f>
        <v>-38.333333333333314</v>
      </c>
      <c r="R12" s="92">
        <f>SQRT(M13^2 + R2^2 + R3^2 + R4^2 +R6^2 +R7^2 +R8^2 + R5^2 + R9^2 +R11^2  + R10^2)</f>
        <v>65.046190852689023</v>
      </c>
    </row>
    <row r="13" spans="1:22" x14ac:dyDescent="0.2">
      <c r="A13" s="90">
        <v>12</v>
      </c>
      <c r="B13" s="7">
        <v>27</v>
      </c>
      <c r="C13" s="24" t="s">
        <v>20</v>
      </c>
      <c r="D13" s="25">
        <v>152.6</v>
      </c>
      <c r="E13" s="25">
        <v>7.0015390000000002</v>
      </c>
      <c r="F13" s="2">
        <v>46.1</v>
      </c>
      <c r="G13" s="2">
        <v>2.15</v>
      </c>
      <c r="K13" s="68" t="s">
        <v>114</v>
      </c>
      <c r="L13" s="33">
        <f>L9+L10*2</f>
        <v>355</v>
      </c>
      <c r="M13" s="37">
        <f>SQRT(M9^2+4*M10^2)</f>
        <v>38.209946349085598</v>
      </c>
      <c r="P13" s="96" t="s">
        <v>125</v>
      </c>
      <c r="T13" s="96" t="s">
        <v>126</v>
      </c>
    </row>
    <row r="14" spans="1:22" ht="17" thickBot="1" x14ac:dyDescent="0.25">
      <c r="A14" s="90">
        <v>13</v>
      </c>
      <c r="B14" s="7">
        <v>28</v>
      </c>
      <c r="C14" s="24" t="s">
        <v>21</v>
      </c>
      <c r="D14" s="25">
        <v>250.9</v>
      </c>
      <c r="E14" s="25">
        <v>5.4303379999999999</v>
      </c>
      <c r="F14" s="2">
        <v>75.8</v>
      </c>
      <c r="G14" s="2">
        <v>1.65</v>
      </c>
      <c r="K14" s="65" t="s">
        <v>105</v>
      </c>
      <c r="L14" s="40">
        <f>L13-L11-K6-M6-L12</f>
        <v>11.25</v>
      </c>
      <c r="M14" s="66">
        <f>SQRT(M13^2 + M11^2 + L6^2 + N6^2 + M12^2 )</f>
        <v>64.856813443153371</v>
      </c>
    </row>
    <row r="15" spans="1:22" x14ac:dyDescent="0.2">
      <c r="A15" s="90">
        <v>14</v>
      </c>
      <c r="B15" s="7">
        <v>29</v>
      </c>
      <c r="C15" s="24" t="s">
        <v>22</v>
      </c>
      <c r="D15" s="25">
        <v>405.4</v>
      </c>
      <c r="E15" s="25">
        <v>6.7217890000000002</v>
      </c>
      <c r="F15" s="2">
        <v>122.5</v>
      </c>
      <c r="G15" s="2">
        <v>2.0499999999999998</v>
      </c>
    </row>
    <row r="16" spans="1:22" x14ac:dyDescent="0.2">
      <c r="A16" s="90">
        <v>15</v>
      </c>
      <c r="B16" s="7">
        <v>5</v>
      </c>
      <c r="C16" s="10" t="s">
        <v>43</v>
      </c>
      <c r="D16" s="20">
        <v>345.2</v>
      </c>
      <c r="E16" s="20">
        <v>42.164645999999998</v>
      </c>
      <c r="F16" s="2">
        <v>104.3</v>
      </c>
      <c r="G16" s="2">
        <v>12.8</v>
      </c>
    </row>
    <row r="17" spans="1:7" x14ac:dyDescent="0.2">
      <c r="A17" s="90">
        <v>16</v>
      </c>
      <c r="B17" s="7" t="s">
        <v>62</v>
      </c>
      <c r="C17" s="24" t="s">
        <v>53</v>
      </c>
      <c r="D17" s="25">
        <v>97.1</v>
      </c>
      <c r="E17" s="25">
        <v>25.195466</v>
      </c>
      <c r="F17" s="2">
        <v>29.3</v>
      </c>
      <c r="G17" s="2">
        <v>7.65</v>
      </c>
    </row>
    <row r="18" spans="1:7" x14ac:dyDescent="0.2">
      <c r="A18" s="90">
        <v>17</v>
      </c>
      <c r="B18" s="7">
        <v>51</v>
      </c>
      <c r="C18" s="10" t="s">
        <v>64</v>
      </c>
      <c r="D18" s="20">
        <v>37.5</v>
      </c>
      <c r="E18" s="20">
        <v>18.754999999999999</v>
      </c>
      <c r="F18" s="2">
        <v>11.3</v>
      </c>
      <c r="G18" s="2">
        <v>5.7</v>
      </c>
    </row>
    <row r="19" spans="1:7" x14ac:dyDescent="0.2">
      <c r="A19" s="90">
        <v>18</v>
      </c>
      <c r="B19" s="7">
        <v>52</v>
      </c>
      <c r="C19" s="10" t="s">
        <v>65</v>
      </c>
      <c r="D19" s="20">
        <v>34.4</v>
      </c>
      <c r="E19" s="20">
        <v>17.18</v>
      </c>
      <c r="F19" s="2">
        <v>10.4</v>
      </c>
      <c r="G19" s="2">
        <v>5.2</v>
      </c>
    </row>
    <row r="20" spans="1:7" x14ac:dyDescent="0.2">
      <c r="A20" s="90">
        <v>19</v>
      </c>
      <c r="B20" s="7" t="s">
        <v>66</v>
      </c>
      <c r="C20" s="24" t="s">
        <v>67</v>
      </c>
      <c r="D20" s="25">
        <v>58.6</v>
      </c>
      <c r="E20" s="25">
        <v>29.30875</v>
      </c>
      <c r="F20" s="2">
        <v>17.7</v>
      </c>
      <c r="G20" s="2">
        <v>8.85</v>
      </c>
    </row>
    <row r="21" spans="1:7" x14ac:dyDescent="0.2">
      <c r="A21" s="90">
        <v>20</v>
      </c>
      <c r="B21" s="7">
        <v>53</v>
      </c>
      <c r="C21" s="10" t="s">
        <v>68</v>
      </c>
      <c r="D21" s="20">
        <v>56.3</v>
      </c>
      <c r="E21" s="20">
        <v>28.105</v>
      </c>
      <c r="F21" s="2">
        <v>17</v>
      </c>
      <c r="G21" s="2">
        <v>8.5</v>
      </c>
    </row>
    <row r="22" spans="1:7" x14ac:dyDescent="0.2">
      <c r="A22" s="90">
        <v>21</v>
      </c>
      <c r="B22" s="7">
        <v>54</v>
      </c>
      <c r="C22" s="10" t="s">
        <v>69</v>
      </c>
      <c r="D22" s="20">
        <v>42.6</v>
      </c>
      <c r="E22" s="20">
        <v>21.283124999999998</v>
      </c>
      <c r="F22" s="2">
        <v>12.9</v>
      </c>
      <c r="G22" s="2">
        <v>6.4</v>
      </c>
    </row>
    <row r="23" spans="1:7" x14ac:dyDescent="0.2">
      <c r="A23" s="90">
        <v>22</v>
      </c>
      <c r="B23" s="7">
        <v>55</v>
      </c>
      <c r="C23" s="10" t="s">
        <v>70</v>
      </c>
      <c r="D23" s="20">
        <v>57.8</v>
      </c>
      <c r="E23" s="20">
        <v>28.9175</v>
      </c>
      <c r="F23" s="2">
        <v>17.5</v>
      </c>
      <c r="G23" s="2">
        <v>8.75</v>
      </c>
    </row>
    <row r="24" spans="1:7" x14ac:dyDescent="0.2">
      <c r="A24" s="90">
        <v>23</v>
      </c>
      <c r="B24" s="7" t="s">
        <v>71</v>
      </c>
      <c r="C24" s="24" t="s">
        <v>72</v>
      </c>
      <c r="D24" s="25">
        <v>162.6</v>
      </c>
      <c r="E24" s="25">
        <v>49.652334000000003</v>
      </c>
      <c r="F24" s="2">
        <v>49.1</v>
      </c>
      <c r="G24" s="2">
        <v>15.05</v>
      </c>
    </row>
    <row r="25" spans="1:7" x14ac:dyDescent="0.2">
      <c r="A25" s="90">
        <v>24</v>
      </c>
      <c r="B25" s="7">
        <v>56</v>
      </c>
      <c r="C25" s="10" t="s">
        <v>73</v>
      </c>
      <c r="D25" s="20">
        <v>67.2</v>
      </c>
      <c r="E25" s="20">
        <v>33.592500000000001</v>
      </c>
      <c r="F25" s="2">
        <v>20.3</v>
      </c>
      <c r="G25" s="2">
        <v>10.15</v>
      </c>
    </row>
    <row r="26" spans="1:7" x14ac:dyDescent="0.2">
      <c r="A26" s="90">
        <v>25</v>
      </c>
      <c r="B26" s="7">
        <v>57</v>
      </c>
      <c r="C26" s="10" t="s">
        <v>74</v>
      </c>
      <c r="D26" s="20">
        <v>119.8</v>
      </c>
      <c r="E26" s="20">
        <v>59.753644000000001</v>
      </c>
      <c r="F26" s="2">
        <v>36.200000000000003</v>
      </c>
      <c r="G26" s="2">
        <v>18.05</v>
      </c>
    </row>
    <row r="27" spans="1:7" x14ac:dyDescent="0.2">
      <c r="A27" s="90">
        <v>26</v>
      </c>
      <c r="B27" s="7">
        <v>58</v>
      </c>
      <c r="C27" s="10" t="s">
        <v>75</v>
      </c>
      <c r="D27" s="20">
        <v>52.3</v>
      </c>
      <c r="E27" s="20">
        <v>26.19875</v>
      </c>
      <c r="F27" s="2">
        <v>15.8</v>
      </c>
      <c r="G27" s="2">
        <v>7.95</v>
      </c>
    </row>
    <row r="28" spans="1:7" x14ac:dyDescent="0.2">
      <c r="A28" s="90">
        <v>27</v>
      </c>
      <c r="B28" s="7">
        <v>59</v>
      </c>
      <c r="C28" s="10" t="s">
        <v>76</v>
      </c>
      <c r="D28" s="20">
        <v>43.8</v>
      </c>
      <c r="E28" s="20">
        <v>21.855</v>
      </c>
      <c r="F28" s="2">
        <v>13.2</v>
      </c>
      <c r="G28" s="2">
        <v>6.65</v>
      </c>
    </row>
    <row r="29" spans="1:7" x14ac:dyDescent="0.2">
      <c r="A29" s="90">
        <v>28</v>
      </c>
      <c r="B29" s="7">
        <v>6</v>
      </c>
      <c r="C29" s="10" t="s">
        <v>4</v>
      </c>
      <c r="D29" s="20">
        <v>236.8</v>
      </c>
      <c r="E29" s="20">
        <v>45.783766999999997</v>
      </c>
      <c r="F29" s="2">
        <v>71.599999999999994</v>
      </c>
      <c r="G29" s="2">
        <v>13.85</v>
      </c>
    </row>
    <row r="30" spans="1:7" x14ac:dyDescent="0.2">
      <c r="A30" s="90">
        <v>29</v>
      </c>
      <c r="B30" s="7">
        <v>60</v>
      </c>
      <c r="C30" s="10" t="s">
        <v>77</v>
      </c>
      <c r="D30" s="20">
        <v>104.3</v>
      </c>
      <c r="E30" s="20">
        <v>52.012507999999997</v>
      </c>
      <c r="F30" s="2">
        <v>31.5</v>
      </c>
      <c r="G30" s="2">
        <v>15.75</v>
      </c>
    </row>
    <row r="31" spans="1:7" x14ac:dyDescent="0.2">
      <c r="A31" s="90">
        <v>30</v>
      </c>
      <c r="B31" s="7">
        <v>61</v>
      </c>
      <c r="C31" s="10" t="s">
        <v>78</v>
      </c>
      <c r="D31" s="20">
        <v>61.1</v>
      </c>
      <c r="E31" s="20">
        <v>30.420275</v>
      </c>
      <c r="F31" s="2">
        <v>18.5</v>
      </c>
      <c r="G31" s="2">
        <v>9.1999999999999993</v>
      </c>
    </row>
    <row r="32" spans="1:7" x14ac:dyDescent="0.2">
      <c r="A32" s="90">
        <v>31</v>
      </c>
      <c r="B32" s="7">
        <v>62</v>
      </c>
      <c r="C32" s="10" t="s">
        <v>79</v>
      </c>
      <c r="D32" s="20">
        <v>22.9</v>
      </c>
      <c r="E32" s="20">
        <v>11.406563</v>
      </c>
      <c r="F32" s="2">
        <v>6.9</v>
      </c>
      <c r="G32" s="2">
        <v>3.45</v>
      </c>
    </row>
    <row r="33" spans="1:7" x14ac:dyDescent="0.2">
      <c r="A33" s="90">
        <v>32</v>
      </c>
      <c r="B33" s="7">
        <v>63</v>
      </c>
      <c r="C33" s="10" t="s">
        <v>80</v>
      </c>
      <c r="D33" s="20">
        <v>26.2</v>
      </c>
      <c r="E33" s="20">
        <v>13.076874999999999</v>
      </c>
      <c r="F33" s="2">
        <v>7.9</v>
      </c>
      <c r="G33" s="2">
        <v>3.95</v>
      </c>
    </row>
    <row r="34" spans="1:7" x14ac:dyDescent="0.2">
      <c r="A34" s="90">
        <v>33</v>
      </c>
      <c r="B34" s="7">
        <v>64</v>
      </c>
      <c r="C34" s="10" t="s">
        <v>81</v>
      </c>
      <c r="D34" s="20">
        <v>25.4</v>
      </c>
      <c r="E34" s="20">
        <v>12.695625</v>
      </c>
      <c r="F34" s="2">
        <v>7.7</v>
      </c>
      <c r="G34" s="2">
        <v>3.85</v>
      </c>
    </row>
    <row r="35" spans="1:7" x14ac:dyDescent="0.2">
      <c r="A35" s="90">
        <v>34</v>
      </c>
      <c r="B35" s="7">
        <v>65</v>
      </c>
      <c r="C35" s="10" t="s">
        <v>82</v>
      </c>
      <c r="D35" s="20">
        <v>57.8</v>
      </c>
      <c r="E35" s="20">
        <v>28.9175</v>
      </c>
      <c r="F35" s="2">
        <v>17.5</v>
      </c>
      <c r="G35" s="2">
        <v>8.75</v>
      </c>
    </row>
    <row r="36" spans="1:7" x14ac:dyDescent="0.2">
      <c r="A36" s="90">
        <v>35</v>
      </c>
      <c r="B36" s="7" t="s">
        <v>83</v>
      </c>
      <c r="C36" s="10" t="s">
        <v>84</v>
      </c>
      <c r="D36" s="20">
        <v>96</v>
      </c>
      <c r="E36" s="20">
        <v>37.812362999999998</v>
      </c>
      <c r="F36" s="2">
        <v>29</v>
      </c>
      <c r="G36" s="2">
        <v>11.45</v>
      </c>
    </row>
    <row r="37" spans="1:7" x14ac:dyDescent="0.2">
      <c r="A37" s="90">
        <v>36</v>
      </c>
      <c r="B37" s="7">
        <v>66</v>
      </c>
      <c r="C37" s="10" t="s">
        <v>85</v>
      </c>
      <c r="D37" s="20">
        <v>70.599999999999994</v>
      </c>
      <c r="E37" s="20">
        <v>35.056998</v>
      </c>
      <c r="F37" s="2">
        <v>21.3</v>
      </c>
      <c r="G37" s="2">
        <v>10.6</v>
      </c>
    </row>
    <row r="38" spans="1:7" x14ac:dyDescent="0.2">
      <c r="A38" s="90">
        <v>37</v>
      </c>
      <c r="B38" s="7">
        <v>67</v>
      </c>
      <c r="C38" s="10" t="s">
        <v>86</v>
      </c>
      <c r="D38" s="20">
        <v>34.9</v>
      </c>
      <c r="E38" s="20">
        <v>17.400437</v>
      </c>
      <c r="F38" s="2">
        <v>10.5</v>
      </c>
      <c r="G38" s="2">
        <v>5.3</v>
      </c>
    </row>
    <row r="39" spans="1:7" x14ac:dyDescent="0.2">
      <c r="A39" s="90">
        <v>38</v>
      </c>
      <c r="B39" s="7">
        <v>68</v>
      </c>
      <c r="C39" s="10" t="s">
        <v>87</v>
      </c>
      <c r="D39" s="20">
        <v>38.700000000000003</v>
      </c>
      <c r="E39" s="20">
        <v>19.326875000000001</v>
      </c>
      <c r="F39" s="2">
        <v>11.7</v>
      </c>
      <c r="G39" s="2">
        <v>5.85</v>
      </c>
    </row>
    <row r="40" spans="1:7" x14ac:dyDescent="0.2">
      <c r="A40" s="90">
        <v>39</v>
      </c>
      <c r="B40" s="7">
        <v>69</v>
      </c>
      <c r="C40" s="10" t="s">
        <v>88</v>
      </c>
      <c r="D40" s="20">
        <v>50.8</v>
      </c>
      <c r="E40" s="20">
        <v>25.38625</v>
      </c>
      <c r="F40" s="2">
        <v>15.4</v>
      </c>
      <c r="G40" s="2">
        <v>7.65</v>
      </c>
    </row>
    <row r="41" spans="1:7" x14ac:dyDescent="0.2">
      <c r="A41" s="90">
        <v>40</v>
      </c>
      <c r="B41" s="7">
        <v>7</v>
      </c>
      <c r="C41" s="10" t="s">
        <v>5</v>
      </c>
      <c r="D41" s="20">
        <v>6613.8</v>
      </c>
      <c r="E41" s="20">
        <v>3306.8558290000001</v>
      </c>
      <c r="F41" s="2">
        <v>1999.5</v>
      </c>
      <c r="G41" s="2">
        <v>999.7</v>
      </c>
    </row>
    <row r="42" spans="1:7" x14ac:dyDescent="0.2">
      <c r="A42" s="90">
        <v>41</v>
      </c>
      <c r="B42" s="7">
        <v>70</v>
      </c>
      <c r="C42" s="10" t="s">
        <v>89</v>
      </c>
      <c r="D42" s="20">
        <v>28.1</v>
      </c>
      <c r="E42" s="20">
        <v>14.08</v>
      </c>
      <c r="F42" s="2">
        <v>8.5</v>
      </c>
      <c r="G42" s="2">
        <v>4.25</v>
      </c>
    </row>
    <row r="43" spans="1:7" x14ac:dyDescent="0.2">
      <c r="A43" s="90">
        <v>42</v>
      </c>
      <c r="B43" s="7">
        <v>73</v>
      </c>
      <c r="C43" s="10" t="s">
        <v>23</v>
      </c>
      <c r="D43" s="20">
        <v>26</v>
      </c>
      <c r="E43" s="20">
        <v>8.8778919999999992</v>
      </c>
      <c r="F43" s="2">
        <v>7.9</v>
      </c>
      <c r="G43" s="2">
        <v>2.65</v>
      </c>
    </row>
    <row r="44" spans="1:7" x14ac:dyDescent="0.2">
      <c r="A44" s="90">
        <v>43</v>
      </c>
      <c r="B44" s="7">
        <v>75</v>
      </c>
      <c r="C44" s="10" t="s">
        <v>24</v>
      </c>
      <c r="D44" s="20">
        <v>96.2</v>
      </c>
      <c r="E44" s="20">
        <v>8.898301</v>
      </c>
      <c r="F44" s="2">
        <v>29.1</v>
      </c>
      <c r="G44" s="2">
        <v>2.7</v>
      </c>
    </row>
    <row r="45" spans="1:7" x14ac:dyDescent="0.2">
      <c r="A45" s="90">
        <v>44</v>
      </c>
      <c r="B45" s="7" t="s">
        <v>90</v>
      </c>
      <c r="C45" s="24" t="s">
        <v>59</v>
      </c>
      <c r="D45" s="25">
        <v>75.7</v>
      </c>
      <c r="E45" s="25">
        <v>9.9753150000000002</v>
      </c>
      <c r="F45" s="2">
        <v>22.9</v>
      </c>
      <c r="G45" s="2">
        <v>3</v>
      </c>
    </row>
    <row r="46" spans="1:7" x14ac:dyDescent="0.2">
      <c r="A46" s="90">
        <v>45</v>
      </c>
      <c r="B46" s="7">
        <v>79</v>
      </c>
      <c r="C46" s="10" t="s">
        <v>27</v>
      </c>
      <c r="D46" s="20">
        <v>45.8</v>
      </c>
      <c r="E46" s="20">
        <v>13.832689999999999</v>
      </c>
      <c r="F46" s="2">
        <v>13.8</v>
      </c>
      <c r="G46" s="2">
        <v>4.2</v>
      </c>
    </row>
    <row r="47" spans="1:7" x14ac:dyDescent="0.2">
      <c r="A47" s="90">
        <v>46</v>
      </c>
      <c r="B47" s="7">
        <v>8</v>
      </c>
      <c r="C47" s="24" t="s">
        <v>6</v>
      </c>
      <c r="D47" s="25">
        <v>32.4</v>
      </c>
      <c r="E47" s="25">
        <v>5.4698450000000003</v>
      </c>
      <c r="F47" s="2">
        <v>9.8000000000000007</v>
      </c>
      <c r="G47" s="2">
        <v>1.65</v>
      </c>
    </row>
    <row r="48" spans="1:7" x14ac:dyDescent="0.2">
      <c r="A48" s="90">
        <v>47</v>
      </c>
      <c r="B48" s="7">
        <v>81</v>
      </c>
      <c r="C48" s="10" t="s">
        <v>28</v>
      </c>
      <c r="D48" s="20">
        <v>64.099999999999994</v>
      </c>
      <c r="E48" s="20">
        <v>6.3913989999999998</v>
      </c>
      <c r="F48" s="2">
        <v>19.399999999999999</v>
      </c>
      <c r="G48" s="2">
        <v>1.9</v>
      </c>
    </row>
    <row r="49" spans="1:7" x14ac:dyDescent="0.2">
      <c r="A49" s="90">
        <v>48</v>
      </c>
      <c r="B49" s="7" t="s">
        <v>91</v>
      </c>
      <c r="C49" s="24" t="s">
        <v>55</v>
      </c>
      <c r="D49" s="25">
        <v>21.5</v>
      </c>
      <c r="E49" s="25">
        <v>10.659886999999999</v>
      </c>
      <c r="F49" s="2">
        <v>6.5</v>
      </c>
      <c r="G49" s="2">
        <v>3.2</v>
      </c>
    </row>
    <row r="50" spans="1:7" x14ac:dyDescent="0.2">
      <c r="A50" s="90">
        <v>49</v>
      </c>
      <c r="B50" s="7">
        <v>83</v>
      </c>
      <c r="C50" s="10" t="s">
        <v>31</v>
      </c>
      <c r="D50" s="22" t="s">
        <v>34</v>
      </c>
      <c r="E50" s="22" t="s">
        <v>34</v>
      </c>
      <c r="F50" s="3" t="s">
        <v>34</v>
      </c>
      <c r="G50" s="3" t="s">
        <v>34</v>
      </c>
    </row>
    <row r="51" spans="1:7" x14ac:dyDescent="0.2">
      <c r="A51" s="90">
        <v>50</v>
      </c>
      <c r="B51" s="7">
        <v>84</v>
      </c>
      <c r="C51" s="10" t="s">
        <v>32</v>
      </c>
      <c r="D51" s="22" t="s">
        <v>34</v>
      </c>
      <c r="E51" s="22" t="s">
        <v>34</v>
      </c>
      <c r="F51" s="3" t="s">
        <v>34</v>
      </c>
      <c r="G51" s="3" t="s">
        <v>34</v>
      </c>
    </row>
    <row r="52" spans="1:7" x14ac:dyDescent="0.2">
      <c r="A52" s="90">
        <v>51</v>
      </c>
      <c r="B52" s="7">
        <v>85</v>
      </c>
      <c r="C52" s="10" t="s">
        <v>33</v>
      </c>
      <c r="D52" s="20">
        <v>66</v>
      </c>
      <c r="E52" s="20">
        <v>26.388843000000001</v>
      </c>
      <c r="F52" s="2">
        <v>20</v>
      </c>
      <c r="G52" s="2">
        <v>7.95</v>
      </c>
    </row>
    <row r="53" spans="1:7" x14ac:dyDescent="0.2">
      <c r="A53" s="90">
        <v>52</v>
      </c>
      <c r="B53" s="7">
        <v>86</v>
      </c>
      <c r="C53" s="10" t="s">
        <v>35</v>
      </c>
      <c r="D53" s="20">
        <v>66</v>
      </c>
      <c r="E53" s="20">
        <v>26.388843000000001</v>
      </c>
      <c r="F53" s="2">
        <v>20</v>
      </c>
      <c r="G53" s="2">
        <v>7.95</v>
      </c>
    </row>
    <row r="54" spans="1:7" x14ac:dyDescent="0.2">
      <c r="A54" s="90">
        <v>53</v>
      </c>
      <c r="B54" s="7">
        <v>87</v>
      </c>
      <c r="C54" s="10" t="s">
        <v>36</v>
      </c>
      <c r="D54" s="20">
        <v>4647.8</v>
      </c>
      <c r="E54" s="20">
        <v>1807.5099150000001</v>
      </c>
      <c r="F54" s="2">
        <v>1405.1</v>
      </c>
      <c r="G54" s="2">
        <v>546.45000000000005</v>
      </c>
    </row>
    <row r="55" spans="1:7" x14ac:dyDescent="0.2">
      <c r="A55" s="90">
        <v>54</v>
      </c>
      <c r="B55" s="7" t="s">
        <v>92</v>
      </c>
      <c r="C55" s="24" t="s">
        <v>57</v>
      </c>
      <c r="D55" s="25">
        <v>11.6</v>
      </c>
      <c r="E55" s="25">
        <v>1.6051949999999999</v>
      </c>
      <c r="F55" s="2">
        <v>3.5</v>
      </c>
      <c r="G55" s="2">
        <v>0.5</v>
      </c>
    </row>
    <row r="56" spans="1:7" x14ac:dyDescent="0.2">
      <c r="A56" s="90">
        <v>55</v>
      </c>
      <c r="B56" s="7">
        <v>89</v>
      </c>
      <c r="C56" s="10" t="s">
        <v>39</v>
      </c>
      <c r="D56" s="20">
        <v>4591.7</v>
      </c>
      <c r="E56" s="20">
        <v>1785.672286</v>
      </c>
      <c r="F56" s="2">
        <v>1388.2</v>
      </c>
      <c r="G56" s="2">
        <v>539.79999999999995</v>
      </c>
    </row>
    <row r="57" spans="1:7" x14ac:dyDescent="0.2">
      <c r="A57" s="90">
        <v>56</v>
      </c>
      <c r="B57" s="7">
        <v>9</v>
      </c>
      <c r="C57" s="10" t="s">
        <v>7</v>
      </c>
      <c r="D57" s="20">
        <v>129.1</v>
      </c>
      <c r="E57" s="20">
        <v>40.186065999999997</v>
      </c>
      <c r="F57" s="2">
        <v>39</v>
      </c>
      <c r="G57" s="2">
        <v>12.15</v>
      </c>
    </row>
    <row r="58" spans="1:7" x14ac:dyDescent="0.2">
      <c r="A58" s="90">
        <v>57</v>
      </c>
      <c r="B58" s="7">
        <v>91</v>
      </c>
      <c r="C58" s="10" t="s">
        <v>40</v>
      </c>
      <c r="D58" s="20">
        <v>2.9</v>
      </c>
      <c r="E58" s="20">
        <v>1.4077869999999999</v>
      </c>
      <c r="F58" s="2">
        <v>0.9</v>
      </c>
      <c r="G58" s="2">
        <v>0.4</v>
      </c>
    </row>
    <row r="59" spans="1:7" x14ac:dyDescent="0.2">
      <c r="A59" s="90">
        <v>58</v>
      </c>
      <c r="B59" s="7">
        <v>92</v>
      </c>
      <c r="C59" s="10" t="s">
        <v>41</v>
      </c>
      <c r="D59" s="22" t="s">
        <v>34</v>
      </c>
      <c r="E59" s="22" t="s">
        <v>34</v>
      </c>
      <c r="F59" s="3" t="s">
        <v>34</v>
      </c>
      <c r="G59" s="3" t="s">
        <v>34</v>
      </c>
    </row>
    <row r="60" spans="1:7" x14ac:dyDescent="0.2">
      <c r="A60" s="90">
        <v>59</v>
      </c>
      <c r="B60" s="7">
        <v>93</v>
      </c>
      <c r="C60" s="10" t="s">
        <v>42</v>
      </c>
      <c r="D60" s="22" t="s">
        <v>34</v>
      </c>
      <c r="E60" s="22" t="s">
        <v>34</v>
      </c>
      <c r="F60" s="3" t="s">
        <v>34</v>
      </c>
      <c r="G60" s="3" t="s">
        <v>34</v>
      </c>
    </row>
    <row r="61" spans="1:7" x14ac:dyDescent="0.2">
      <c r="A61" s="4"/>
    </row>
  </sheetData>
  <mergeCells count="3">
    <mergeCell ref="J1:J2"/>
    <mergeCell ref="K1:N1"/>
    <mergeCell ref="O1: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2FA5B-2BCC-7640-AA24-BF81CE7A59A6}">
  <dimension ref="A1:B13"/>
  <sheetViews>
    <sheetView zoomScale="207" workbookViewId="0">
      <selection activeCell="C12" sqref="C12"/>
    </sheetView>
  </sheetViews>
  <sheetFormatPr baseColWidth="10" defaultRowHeight="16" x14ac:dyDescent="0.2"/>
  <sheetData>
    <row r="1" spans="1:2" x14ac:dyDescent="0.2">
      <c r="A1" t="s">
        <v>93</v>
      </c>
      <c r="B1" t="s">
        <v>94</v>
      </c>
    </row>
    <row r="2" spans="1:2" x14ac:dyDescent="0.2">
      <c r="A2">
        <v>700</v>
      </c>
      <c r="B2">
        <v>5</v>
      </c>
    </row>
    <row r="3" spans="1:2" x14ac:dyDescent="0.2">
      <c r="A3">
        <v>600</v>
      </c>
      <c r="B3">
        <v>4.5</v>
      </c>
    </row>
    <row r="4" spans="1:2" x14ac:dyDescent="0.2">
      <c r="A4">
        <v>500</v>
      </c>
      <c r="B4">
        <v>4.25</v>
      </c>
    </row>
    <row r="5" spans="1:2" x14ac:dyDescent="0.2">
      <c r="A5">
        <v>400</v>
      </c>
      <c r="B5">
        <v>4</v>
      </c>
    </row>
    <row r="6" spans="1:2" x14ac:dyDescent="0.2">
      <c r="A6">
        <v>350</v>
      </c>
      <c r="B6">
        <v>3.5</v>
      </c>
    </row>
    <row r="7" spans="1:2" x14ac:dyDescent="0.2">
      <c r="A7">
        <v>300</v>
      </c>
      <c r="B7">
        <v>3</v>
      </c>
    </row>
    <row r="8" spans="1:2" x14ac:dyDescent="0.2">
      <c r="A8">
        <v>250</v>
      </c>
      <c r="B8">
        <v>2.5</v>
      </c>
    </row>
    <row r="9" spans="1:2" x14ac:dyDescent="0.2">
      <c r="A9">
        <v>200</v>
      </c>
      <c r="B9">
        <v>2</v>
      </c>
    </row>
    <row r="10" spans="1:2" x14ac:dyDescent="0.2">
      <c r="A10">
        <v>150</v>
      </c>
      <c r="B10">
        <v>1.75</v>
      </c>
    </row>
    <row r="11" spans="1:2" x14ac:dyDescent="0.2">
      <c r="A11">
        <v>100</v>
      </c>
      <c r="B11">
        <v>1.5</v>
      </c>
    </row>
    <row r="12" spans="1:2" x14ac:dyDescent="0.2">
      <c r="A12">
        <v>80</v>
      </c>
      <c r="B12">
        <v>1.25</v>
      </c>
    </row>
    <row r="13" spans="1:2" x14ac:dyDescent="0.2">
      <c r="A13">
        <v>40</v>
      </c>
      <c r="B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Fasted base </vt:lpstr>
      <vt:lpstr>Fasted TAGkinetics</vt:lpstr>
      <vt:lpstr>Refed base</vt:lpstr>
      <vt:lpstr>Refed TAGkinetics</vt:lpstr>
      <vt:lpstr>Refed TAGkinetics_portalAAs</vt:lpstr>
      <vt:lpstr>flux_size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Yuan, Bo</dc:creator>
  <cp:lastModifiedBy>Yuan, Bo</cp:lastModifiedBy>
  <dcterms:created xsi:type="dcterms:W3CDTF">2026-07-05T01:18:09Z</dcterms:created>
  <dcterms:modified xsi:type="dcterms:W3CDTF">2026-07-06T00:12:25Z</dcterms:modified>
</cp:coreProperties>
</file>