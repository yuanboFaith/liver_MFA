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vM_Refed/"/>
    </mc:Choice>
  </mc:AlternateContent>
  <xr:revisionPtr revIDLastSave="0" documentId="13_ncr:1_{21AD916B-3849-0042-B580-156CAAB5FA2D}" xr6:coauthVersionLast="47" xr6:coauthVersionMax="47" xr10:uidLastSave="{00000000-0000-0000-0000-000000000000}"/>
  <bookViews>
    <workbookView xWindow="0" yWindow="760" windowWidth="30240" windowHeight="17620" activeTab="1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37" l="1"/>
  <c r="A60" i="37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2" i="12" l="1"/>
  <c r="A3" i="12" s="1"/>
  <c r="A4" i="12" s="1"/>
  <c r="A5" i="12" s="1"/>
  <c r="A6" i="12" s="1"/>
  <c r="A7" i="12" s="1"/>
  <c r="A8" i="12" s="1"/>
  <c r="A9" i="12" s="1"/>
  <c r="A1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sharedStrings.xml><?xml version="1.0" encoding="utf-8"?>
<sst xmlns="http://schemas.openxmlformats.org/spreadsheetml/2006/main" count="232" uniqueCount="154">
  <si>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</si>
  <si>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</si>
  <si>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</si>
  <si>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</si>
  <si>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</si>
  <si>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</si>
  <si>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</si>
  <si>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</si>
  <si>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</si>
  <si>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</si>
  <si>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</si>
  <si>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</si>
  <si>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</si>
  <si>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</si>
  <si>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</si>
  <si>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</si>
  <si>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</si>
  <si>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</si>
  <si>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</si>
  <si>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</si>
  <si>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</si>
  <si>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</si>
  <si>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</si>
  <si>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</si>
  <si>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</si>
  <si>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</si>
  <si>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</si>
  <si>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</si>
  <si>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</si>
  <si>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</si>
  <si>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</si>
  <si>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</si>
  <si>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</si>
  <si>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</si>
  <si>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</si>
  <si>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</si>
  <si>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</si>
  <si>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</si>
  <si>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</si>
  <si>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</si>
  <si>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</si>
  <si>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</si>
  <si>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</si>
  <si>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</si>
  <si>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</si>
  <si>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</si>
  <si>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</si>
  <si>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</si>
  <si>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</si>
  <si>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</si>
  <si>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</si>
  <si>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TAG.W -&gt; Palm.Blood</t>
  </si>
  <si>
    <t>TAG.W -&gt; Ole.Blood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</si>
  <si>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</si>
  <si>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</si>
  <si>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</si>
  <si>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</si>
  <si>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</si>
  <si>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</si>
  <si>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</si>
  <si>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</si>
  <si>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</si>
  <si>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r>
      <t>13C</t>
    </r>
    <r>
      <rPr>
        <sz val="12"/>
        <color theme="1"/>
        <rFont val="Aptos Narrow"/>
        <scheme val="minor"/>
      </rPr>
      <t>Glycerol -&gt; Glycerol.Blood</t>
    </r>
  </si>
  <si>
    <r>
      <t>13C</t>
    </r>
    <r>
      <rPr>
        <sz val="12"/>
        <color theme="1"/>
        <rFont val="Aptos Narrow"/>
        <scheme val="minor"/>
      </rPr>
      <t>Lac -&gt; Lac.Blood</t>
    </r>
  </si>
  <si>
    <r>
      <t>13C</t>
    </r>
    <r>
      <rPr>
        <sz val="12"/>
        <color theme="1"/>
        <rFont val="Aptos Narrow"/>
        <scheme val="minor"/>
      </rPr>
      <t>Ala -&gt; Ala.Blood</t>
    </r>
  </si>
  <si>
    <r>
      <t>13C</t>
    </r>
    <r>
      <rPr>
        <sz val="12"/>
        <color theme="1"/>
        <rFont val="Aptos Narrow"/>
        <scheme val="minor"/>
      </rPr>
      <t>Gln -&gt; Gln.Blood</t>
    </r>
  </si>
  <si>
    <t>Glycogen.Lv -&gt; Glc.Lv</t>
  </si>
  <si>
    <t>TAG-FA cycle</t>
  </si>
  <si>
    <t>TAG.W -&gt; Lino.Blood</t>
  </si>
  <si>
    <t>Palm.Blood -&gt; sink</t>
  </si>
  <si>
    <t>Ole.Blood -&gt; sink</t>
  </si>
  <si>
    <t>Lino.Blood -&gt; sink</t>
  </si>
  <si>
    <t>Palm.Blood -&gt; AcCoA.Lv</t>
  </si>
  <si>
    <t>Ole.Blood -&gt; AcCoA.Lv</t>
  </si>
  <si>
    <t>Lino.Blood -&gt; AcCoA.Lv</t>
  </si>
  <si>
    <t>Palm.Blood -&gt; AcCoA.M</t>
  </si>
  <si>
    <t>Ole.Blood -&gt; AcCoA.M</t>
  </si>
  <si>
    <t>Lino.Blood -&gt; AcCoA.M</t>
  </si>
  <si>
    <t>srcAcCoA -&gt; AcCoA.M</t>
  </si>
  <si>
    <r>
      <t>13C</t>
    </r>
    <r>
      <rPr>
        <sz val="12"/>
        <color theme="1"/>
        <rFont val="Aptos Narrow (Body)"/>
      </rPr>
      <t>Palm -&gt; Palm.Blood</t>
    </r>
  </si>
  <si>
    <r>
      <t>13C</t>
    </r>
    <r>
      <rPr>
        <sz val="12"/>
        <color theme="1"/>
        <rFont val="Aptos Narrow (Body)"/>
      </rPr>
      <t>Ole -&gt; Ole.Blood</t>
    </r>
  </si>
  <si>
    <r>
      <t>13C</t>
    </r>
    <r>
      <rPr>
        <sz val="12"/>
        <color theme="1"/>
        <rFont val="Aptos Narrow (Body)"/>
      </rPr>
      <t>Lino -&gt; Lino.Blood</t>
    </r>
  </si>
  <si>
    <t>13CPalm</t>
  </si>
  <si>
    <t>13COle</t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</si>
  <si>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</si>
  <si>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</si>
  <si>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</si>
  <si>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</si>
  <si>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</si>
  <si>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</si>
  <si>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</si>
  <si>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</si>
  <si>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</si>
  <si>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</si>
  <si>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</si>
  <si>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</si>
  <si>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</si>
  <si>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</si>
  <si>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</si>
  <si>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</si>
  <si>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</si>
  <si>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</si>
  <si>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</si>
  <si>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</si>
  <si>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</si>
  <si>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</si>
  <si>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</si>
  <si>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</si>
  <si>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</si>
  <si>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</si>
  <si>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</si>
  <si>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</si>
  <si>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</si>
  <si>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</si>
  <si>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</si>
  <si>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</si>
  <si>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</si>
  <si>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</si>
  <si>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</si>
  <si>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</si>
  <si>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</si>
  <si>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</si>
  <si>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</si>
  <si>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</si>
  <si>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</si>
  <si>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</si>
  <si>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</si>
  <si>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</si>
  <si>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</si>
  <si>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</si>
  <si>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</si>
  <si>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</si>
  <si>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</si>
  <si>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</si>
  <si>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</si>
  <si>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</si>
  <si>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</si>
  <si>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</si>
  <si>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</si>
  <si>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</si>
  <si>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</si>
  <si>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</si>
  <si>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</si>
  <si>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</si>
  <si>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</si>
  <si>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</si>
  <si>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</si>
  <si>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</si>
  <si>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NEFA-Ole</t>
  </si>
  <si>
    <t>NEFA-Palm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</si>
  <si>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</si>
  <si>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</si>
  <si>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r>
      <t>13C</t>
    </r>
    <r>
      <rPr>
        <sz val="12"/>
        <color theme="1"/>
        <rFont val="Aptos Narrow"/>
        <scheme val="minor"/>
      </rPr>
      <t xml:space="preserve">HB </t>
    </r>
    <r>
      <rPr>
        <sz val="12"/>
        <color theme="1"/>
        <rFont val="Aptos Narrow (Body)"/>
      </rPr>
      <t>-&gt; HB.Blood</t>
    </r>
  </si>
  <si>
    <r>
      <rPr>
        <b/>
        <sz val="12"/>
        <color rgb="FFFF0000"/>
        <rFont val="Aptos Narrow (Body)"/>
      </rPr>
      <t>13C</t>
    </r>
    <r>
      <rPr>
        <sz val="12"/>
        <color theme="1"/>
        <rFont val="Aptos Narrow"/>
        <family val="2"/>
        <scheme val="minor"/>
      </rPr>
      <t xml:space="preserve">Glc -&gt; </t>
    </r>
    <r>
      <rPr>
        <sz val="12"/>
        <color theme="1"/>
        <rFont val="Aptos Narrow (Body)"/>
      </rPr>
      <t>Glc.Blood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</si>
</sst>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7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E87"/>
  <sheetViews>
    <sheetView topLeftCell="A52" zoomScale="156" workbookViewId="0">
      <selection activeCell="B62" sqref="B62"/>
    </sheetView>
  </sheetViews>
  <sheetFormatPr baseColWidth="10" defaultColWidth="11" defaultRowHeight="16" x14ac:dyDescent="0.2"/>
  <cols>
    <col min="1" max="1" width="7.5" bestFit="1" customWidth="1"/>
    <col min="2" max="2" width="30.6640625" bestFit="1" customWidth="1"/>
    <col min="3" max="3" width="21.83203125" bestFit="1" customWidth="1"/>
    <col min="4" max="4" width="18.5" bestFit="1" customWidth="1"/>
    <col min="5" max="5" width="22.6640625" bestFit="1" customWidth="1"/>
  </cols>
  <sheetData>
    <row r="1" spans="1:5" ht="17" thickBot="1" x14ac:dyDescent="0.25">
      <c r="A1" s="22" t="s">
        <v>0</v>
      </c>
      <c r="B1" s="9" t="s">
        <v>1</v>
      </c>
      <c r="C1" s="9" t="s">
        <v>2</v>
      </c>
      <c r="D1" s="33" t="s">
        <v>12</v>
      </c>
      <c r="E1" s="44" t="s">
        <v>146</v>
      </c>
    </row>
    <row r="2" spans="1:5" x14ac:dyDescent="0.2">
      <c r="A2" s="23">
        <v>1</v>
      </c>
      <c r="B2" s="2" t="s">
        <v>42</v>
      </c>
      <c r="C2" s="15" t="s">
        <v>3</v>
      </c>
      <c r="D2" s="29" t="s">
        <v>67</v>
      </c>
      <c r="E2" s="6"/>
    </row>
    <row r="3" spans="1:5" ht="17" thickBot="1" x14ac:dyDescent="0.25">
      <c r="A3" s="24">
        <f>A2+1</f>
        <v>2</v>
      </c>
      <c r="B3" s="4" t="s">
        <v>25</v>
      </c>
      <c r="C3" s="16" t="s">
        <v>3</v>
      </c>
      <c r="D3" s="30"/>
      <c r="E3" s="6"/>
    </row>
    <row r="4" spans="1:5" x14ac:dyDescent="0.2">
      <c r="A4" s="24">
        <f t="shared" ref="A4:A68" si="0">A3+1</f>
        <v>3</v>
      </c>
      <c r="B4" s="3" t="s">
        <v>51</v>
      </c>
      <c r="C4" s="3" t="s">
        <v>16</v>
      </c>
      <c r="D4" s="30"/>
      <c r="E4" s="6"/>
    </row>
    <row r="5" spans="1:5" x14ac:dyDescent="0.2">
      <c r="A5" s="24">
        <f t="shared" si="0"/>
        <v>4</v>
      </c>
      <c r="B5" s="3" t="s">
        <v>52</v>
      </c>
      <c r="C5" s="3" t="s">
        <v>16</v>
      </c>
      <c r="D5" s="30"/>
      <c r="E5" s="6"/>
    </row>
    <row r="6" spans="1:5" x14ac:dyDescent="0.2">
      <c r="A6" s="24">
        <f t="shared" si="0"/>
        <v>5</v>
      </c>
      <c r="B6" s="3" t="s">
        <v>68</v>
      </c>
      <c r="C6" s="3" t="s">
        <v>16</v>
      </c>
      <c r="D6" s="30"/>
      <c r="E6" s="6"/>
    </row>
    <row r="7" spans="1:5" x14ac:dyDescent="0.2">
      <c r="A7" s="24">
        <f t="shared" si="0"/>
        <v>6</v>
      </c>
      <c r="B7" s="3" t="s">
        <v>69</v>
      </c>
      <c r="C7" s="3" t="s">
        <v>16</v>
      </c>
      <c r="D7" s="30"/>
      <c r="E7" s="6"/>
    </row>
    <row r="8" spans="1:5" x14ac:dyDescent="0.2">
      <c r="A8" s="24">
        <f t="shared" si="0"/>
        <v>7</v>
      </c>
      <c r="B8" s="3" t="s">
        <v>70</v>
      </c>
      <c r="C8" s="3" t="s">
        <v>16</v>
      </c>
      <c r="D8" s="30"/>
      <c r="E8" s="6"/>
    </row>
    <row r="9" spans="1:5" ht="17" thickBot="1" x14ac:dyDescent="0.25">
      <c r="A9" s="24">
        <f t="shared" si="0"/>
        <v>8</v>
      </c>
      <c r="B9" s="3" t="s">
        <v>71</v>
      </c>
      <c r="C9" s="3" t="s">
        <v>16</v>
      </c>
      <c r="D9" s="31"/>
      <c r="E9" s="6"/>
    </row>
    <row r="10" spans="1:5" x14ac:dyDescent="0.2">
      <c r="A10" s="24">
        <f t="shared" si="0"/>
        <v>9</v>
      </c>
      <c r="B10" s="12" t="s">
        <v>123</v>
      </c>
      <c r="C10" s="15" t="s">
        <v>3</v>
      </c>
      <c r="D10" s="46" t="s">
        <v>50</v>
      </c>
      <c r="E10" s="6"/>
    </row>
    <row r="11" spans="1:5" x14ac:dyDescent="0.2">
      <c r="A11" s="24">
        <f t="shared" si="0"/>
        <v>10</v>
      </c>
      <c r="B11" s="14" t="s">
        <v>128</v>
      </c>
      <c r="C11" s="20" t="s">
        <v>3</v>
      </c>
      <c r="D11" s="47"/>
      <c r="E11" s="6"/>
    </row>
    <row r="12" spans="1:5" x14ac:dyDescent="0.2">
      <c r="A12" s="24">
        <f t="shared" si="0"/>
        <v>11</v>
      </c>
      <c r="B12" s="14" t="s">
        <v>124</v>
      </c>
      <c r="C12" s="20" t="s">
        <v>3</v>
      </c>
      <c r="D12" s="47"/>
      <c r="E12" s="6"/>
    </row>
    <row r="13" spans="1:5" x14ac:dyDescent="0.2">
      <c r="A13" s="24">
        <f t="shared" si="0"/>
        <v>12</v>
      </c>
      <c r="B13" s="14" t="s">
        <v>125</v>
      </c>
      <c r="C13" s="20" t="s">
        <v>4</v>
      </c>
      <c r="D13" s="47"/>
      <c r="E13" s="45" t="s">
        <v>140</v>
      </c>
    </row>
    <row r="14" spans="1:5" x14ac:dyDescent="0.2">
      <c r="A14" s="24">
        <f t="shared" si="0"/>
        <v>13</v>
      </c>
      <c r="B14" s="14" t="s">
        <v>49</v>
      </c>
      <c r="C14" s="20" t="s">
        <v>16</v>
      </c>
      <c r="D14" s="47"/>
      <c r="E14" s="6" t="s">
        <v>147</v>
      </c>
    </row>
    <row r="15" spans="1:5" x14ac:dyDescent="0.2">
      <c r="A15" s="24">
        <f t="shared" si="0"/>
        <v>14</v>
      </c>
      <c r="B15" s="14" t="s">
        <v>72</v>
      </c>
      <c r="C15" s="20" t="s">
        <v>16</v>
      </c>
      <c r="D15" s="47"/>
      <c r="E15" s="6" t="s">
        <v>149</v>
      </c>
    </row>
    <row r="16" spans="1:5" x14ac:dyDescent="0.2">
      <c r="A16" s="24">
        <f t="shared" si="0"/>
        <v>15</v>
      </c>
      <c r="B16" s="14" t="s">
        <v>73</v>
      </c>
      <c r="C16" s="20" t="s">
        <v>16</v>
      </c>
      <c r="D16" s="47"/>
      <c r="E16" s="6" t="s">
        <v>148</v>
      </c>
    </row>
    <row r="17" spans="1:5" x14ac:dyDescent="0.2">
      <c r="A17" s="24">
        <f t="shared" si="0"/>
        <v>16</v>
      </c>
      <c r="B17" s="14" t="s">
        <v>74</v>
      </c>
      <c r="C17" s="20" t="s">
        <v>16</v>
      </c>
      <c r="D17" s="47"/>
      <c r="E17" s="6" t="s">
        <v>150</v>
      </c>
    </row>
    <row r="18" spans="1:5" x14ac:dyDescent="0.2">
      <c r="A18" s="24">
        <f t="shared" si="0"/>
        <v>17</v>
      </c>
      <c r="B18" s="14" t="s">
        <v>33</v>
      </c>
      <c r="C18" s="20" t="s">
        <v>5</v>
      </c>
      <c r="D18" s="47"/>
      <c r="E18" s="45" t="s">
        <v>141</v>
      </c>
    </row>
    <row r="19" spans="1:5" x14ac:dyDescent="0.2">
      <c r="A19" s="24">
        <f t="shared" si="0"/>
        <v>18</v>
      </c>
      <c r="B19" s="14" t="s">
        <v>108</v>
      </c>
      <c r="C19" s="20" t="s">
        <v>6</v>
      </c>
      <c r="D19" s="47"/>
      <c r="E19" s="6"/>
    </row>
    <row r="20" spans="1:5" x14ac:dyDescent="0.2">
      <c r="A20" s="24">
        <f t="shared" si="0"/>
        <v>19</v>
      </c>
      <c r="B20" s="14" t="s">
        <v>109</v>
      </c>
      <c r="C20" s="20" t="s">
        <v>8</v>
      </c>
      <c r="D20" s="47"/>
      <c r="E20" s="6"/>
    </row>
    <row r="21" spans="1:5" x14ac:dyDescent="0.2">
      <c r="A21" s="24">
        <f t="shared" si="0"/>
        <v>20</v>
      </c>
      <c r="B21" s="14" t="s">
        <v>45</v>
      </c>
      <c r="C21" s="20" t="s">
        <v>9</v>
      </c>
      <c r="D21" s="47"/>
      <c r="E21" s="6"/>
    </row>
    <row r="22" spans="1:5" x14ac:dyDescent="0.2">
      <c r="A22" s="24">
        <f t="shared" si="0"/>
        <v>21</v>
      </c>
      <c r="B22" s="14" t="s">
        <v>46</v>
      </c>
      <c r="C22" s="20" t="s">
        <v>9</v>
      </c>
      <c r="D22" s="47"/>
      <c r="E22" s="6"/>
    </row>
    <row r="23" spans="1:5" x14ac:dyDescent="0.2">
      <c r="A23" s="24">
        <f t="shared" si="0"/>
        <v>22</v>
      </c>
      <c r="B23" s="14" t="s">
        <v>47</v>
      </c>
      <c r="C23" s="20" t="s">
        <v>9</v>
      </c>
      <c r="D23" s="47"/>
      <c r="E23" s="6"/>
    </row>
    <row r="24" spans="1:5" x14ac:dyDescent="0.2">
      <c r="A24" s="24">
        <f t="shared" si="0"/>
        <v>23</v>
      </c>
      <c r="B24" s="14" t="s">
        <v>48</v>
      </c>
      <c r="C24" s="20" t="s">
        <v>9</v>
      </c>
      <c r="D24" s="47"/>
      <c r="E24" s="6"/>
    </row>
    <row r="25" spans="1:5" ht="17" thickBot="1" x14ac:dyDescent="0.25">
      <c r="A25" s="24">
        <f t="shared" si="0"/>
        <v>24</v>
      </c>
      <c r="B25" s="35" t="s">
        <v>127</v>
      </c>
      <c r="C25" s="36" t="s">
        <v>85</v>
      </c>
      <c r="D25" s="48"/>
      <c r="E25" s="45" t="s">
        <v>142</v>
      </c>
    </row>
    <row r="26" spans="1:5" ht="17" x14ac:dyDescent="0.2">
      <c r="A26" s="24">
        <f t="shared" si="0"/>
        <v>25</v>
      </c>
      <c r="B26" s="5" t="s">
        <v>126</v>
      </c>
      <c r="C26" s="3" t="s">
        <v>13</v>
      </c>
      <c r="D26" s="49" t="s">
        <v>120</v>
      </c>
      <c r="E26" s="45" t="s">
        <v>143</v>
      </c>
    </row>
    <row r="27" spans="1:5" ht="17" x14ac:dyDescent="0.2">
      <c r="A27" s="24">
        <f t="shared" si="0"/>
        <v>26</v>
      </c>
      <c r="B27" s="5" t="s">
        <v>110</v>
      </c>
      <c r="C27" s="3" t="s">
        <v>11</v>
      </c>
      <c r="D27" s="50"/>
      <c r="E27" s="45" t="s">
        <v>145</v>
      </c>
    </row>
    <row r="28" spans="1:5" x14ac:dyDescent="0.2">
      <c r="A28" s="24">
        <f t="shared" si="0"/>
        <v>27</v>
      </c>
      <c r="B28" s="3" t="s">
        <v>35</v>
      </c>
      <c r="C28" s="3" t="s">
        <v>3</v>
      </c>
      <c r="D28" s="50"/>
      <c r="E28" s="6"/>
    </row>
    <row r="29" spans="1:5" x14ac:dyDescent="0.2">
      <c r="A29" s="24">
        <f t="shared" si="0"/>
        <v>28</v>
      </c>
      <c r="B29" s="3" t="s">
        <v>151</v>
      </c>
      <c r="C29" s="3" t="s">
        <v>3</v>
      </c>
      <c r="D29" s="50"/>
      <c r="E29" s="6"/>
    </row>
    <row r="30" spans="1:5" x14ac:dyDescent="0.2">
      <c r="A30" s="24">
        <f t="shared" si="0"/>
        <v>29</v>
      </c>
      <c r="B30" s="3" t="s">
        <v>36</v>
      </c>
      <c r="C30" s="3" t="s">
        <v>3</v>
      </c>
      <c r="D30" s="50"/>
      <c r="E30" s="6"/>
    </row>
    <row r="31" spans="1:5" x14ac:dyDescent="0.2">
      <c r="A31" s="24">
        <f t="shared" si="0"/>
        <v>30</v>
      </c>
      <c r="B31" s="3" t="s">
        <v>38</v>
      </c>
      <c r="C31" s="3" t="s">
        <v>3</v>
      </c>
      <c r="D31" s="50"/>
      <c r="E31" s="6"/>
    </row>
    <row r="32" spans="1:5" x14ac:dyDescent="0.2">
      <c r="A32" s="24">
        <f t="shared" si="0"/>
        <v>31</v>
      </c>
      <c r="B32" s="3" t="s">
        <v>37</v>
      </c>
      <c r="C32" s="3" t="s">
        <v>3</v>
      </c>
      <c r="D32" s="50"/>
      <c r="E32" s="6"/>
    </row>
    <row r="33" spans="1:5" x14ac:dyDescent="0.2">
      <c r="A33" s="24">
        <f t="shared" si="0"/>
        <v>32</v>
      </c>
      <c r="B33" s="3" t="s">
        <v>39</v>
      </c>
      <c r="C33" s="3" t="s">
        <v>14</v>
      </c>
      <c r="D33" s="50"/>
      <c r="E33" s="6"/>
    </row>
    <row r="34" spans="1:5" x14ac:dyDescent="0.2">
      <c r="A34" s="24">
        <f t="shared" si="0"/>
        <v>33</v>
      </c>
      <c r="B34" s="3" t="s">
        <v>66</v>
      </c>
      <c r="C34" s="3" t="s">
        <v>15</v>
      </c>
      <c r="D34" s="50"/>
      <c r="E34" s="6"/>
    </row>
    <row r="35" spans="1:5" ht="17" thickBot="1" x14ac:dyDescent="0.25">
      <c r="A35" s="24">
        <f t="shared" si="0"/>
        <v>34</v>
      </c>
      <c r="B35" s="4" t="s">
        <v>40</v>
      </c>
      <c r="C35" s="4" t="s">
        <v>15</v>
      </c>
      <c r="D35" s="51"/>
      <c r="E35" s="6"/>
    </row>
    <row r="36" spans="1:5" x14ac:dyDescent="0.2">
      <c r="A36" s="24">
        <f t="shared" si="0"/>
        <v>35</v>
      </c>
      <c r="B36" s="12" t="s">
        <v>29</v>
      </c>
      <c r="C36" s="15" t="s">
        <v>15</v>
      </c>
      <c r="D36" s="41" t="s">
        <v>53</v>
      </c>
      <c r="E36" s="6"/>
    </row>
    <row r="37" spans="1:5" x14ac:dyDescent="0.2">
      <c r="A37" s="24">
        <f t="shared" si="0"/>
        <v>36</v>
      </c>
      <c r="B37" s="14" t="s">
        <v>26</v>
      </c>
      <c r="C37" s="20" t="s">
        <v>18</v>
      </c>
      <c r="D37" s="37"/>
      <c r="E37" s="6"/>
    </row>
    <row r="38" spans="1:5" x14ac:dyDescent="0.2">
      <c r="A38" s="24">
        <f t="shared" si="0"/>
        <v>37</v>
      </c>
      <c r="B38" s="14" t="s">
        <v>17</v>
      </c>
      <c r="C38" s="20" t="s">
        <v>3</v>
      </c>
      <c r="D38" s="37"/>
      <c r="E38" s="6"/>
    </row>
    <row r="39" spans="1:5" x14ac:dyDescent="0.2">
      <c r="A39" s="24">
        <f t="shared" si="0"/>
        <v>38</v>
      </c>
      <c r="B39" s="14" t="s">
        <v>114</v>
      </c>
      <c r="C39" s="20" t="s">
        <v>3</v>
      </c>
      <c r="D39" s="37"/>
      <c r="E39" s="6"/>
    </row>
    <row r="40" spans="1:5" x14ac:dyDescent="0.2">
      <c r="A40" s="24">
        <f t="shared" si="0"/>
        <v>39</v>
      </c>
      <c r="B40" s="28" t="s">
        <v>129</v>
      </c>
      <c r="C40" s="20" t="s">
        <v>3</v>
      </c>
      <c r="D40" s="37"/>
      <c r="E40" s="6"/>
    </row>
    <row r="41" spans="1:5" x14ac:dyDescent="0.2">
      <c r="A41" s="24">
        <f t="shared" si="0"/>
        <v>40</v>
      </c>
      <c r="B41" s="14" t="s">
        <v>130</v>
      </c>
      <c r="C41" s="20" t="s">
        <v>3</v>
      </c>
      <c r="D41" s="37"/>
      <c r="E41" s="6"/>
    </row>
    <row r="42" spans="1:5" ht="17" thickBot="1" x14ac:dyDescent="0.25">
      <c r="A42" s="24">
        <f t="shared" si="0"/>
        <v>41</v>
      </c>
      <c r="B42" s="13" t="s">
        <v>131</v>
      </c>
      <c r="C42" s="16" t="s">
        <v>3</v>
      </c>
      <c r="D42" s="40"/>
      <c r="E42" s="6"/>
    </row>
    <row r="43" spans="1:5" x14ac:dyDescent="0.2">
      <c r="A43" s="24">
        <f t="shared" si="0"/>
        <v>42</v>
      </c>
      <c r="B43" s="12" t="s">
        <v>132</v>
      </c>
      <c r="C43" s="15" t="s">
        <v>3</v>
      </c>
      <c r="D43" s="52" t="s">
        <v>116</v>
      </c>
      <c r="E43" s="6"/>
    </row>
    <row r="44" spans="1:5" x14ac:dyDescent="0.2">
      <c r="A44" s="24">
        <f t="shared" si="0"/>
        <v>43</v>
      </c>
      <c r="B44" s="14" t="s">
        <v>134</v>
      </c>
      <c r="C44" s="20" t="s">
        <v>3</v>
      </c>
      <c r="D44" s="53"/>
      <c r="E44" s="6"/>
    </row>
    <row r="45" spans="1:5" ht="17" x14ac:dyDescent="0.2">
      <c r="A45" s="24">
        <f t="shared" si="0"/>
        <v>44</v>
      </c>
      <c r="B45" s="42" t="s">
        <v>138</v>
      </c>
      <c r="C45" s="20" t="s">
        <v>13</v>
      </c>
      <c r="D45" s="53"/>
      <c r="E45" s="6"/>
    </row>
    <row r="46" spans="1:5" x14ac:dyDescent="0.2">
      <c r="A46" s="24">
        <f t="shared" si="0"/>
        <v>45</v>
      </c>
      <c r="B46" s="14" t="s">
        <v>133</v>
      </c>
      <c r="C46" s="20" t="s">
        <v>4</v>
      </c>
      <c r="D46" s="53"/>
      <c r="E46" s="6"/>
    </row>
    <row r="47" spans="1:5" x14ac:dyDescent="0.2">
      <c r="A47" s="24">
        <f t="shared" si="0"/>
        <v>46</v>
      </c>
      <c r="B47" s="14" t="s">
        <v>78</v>
      </c>
      <c r="C47" s="20" t="s">
        <v>16</v>
      </c>
      <c r="D47" s="53"/>
      <c r="E47" s="6"/>
    </row>
    <row r="48" spans="1:5" x14ac:dyDescent="0.2">
      <c r="A48" s="24">
        <f t="shared" si="0"/>
        <v>47</v>
      </c>
      <c r="B48" s="14" t="s">
        <v>75</v>
      </c>
      <c r="C48" s="20" t="s">
        <v>16</v>
      </c>
      <c r="D48" s="53"/>
      <c r="E48" s="6"/>
    </row>
    <row r="49" spans="1:5" x14ac:dyDescent="0.2">
      <c r="A49" s="24">
        <f t="shared" si="0"/>
        <v>48</v>
      </c>
      <c r="B49" s="14" t="s">
        <v>76</v>
      </c>
      <c r="C49" s="20" t="s">
        <v>16</v>
      </c>
      <c r="D49" s="53"/>
      <c r="E49" s="6"/>
    </row>
    <row r="50" spans="1:5" x14ac:dyDescent="0.2">
      <c r="A50" s="24">
        <f t="shared" si="0"/>
        <v>49</v>
      </c>
      <c r="B50" s="14" t="s">
        <v>77</v>
      </c>
      <c r="C50" s="20" t="s">
        <v>16</v>
      </c>
      <c r="D50" s="53"/>
      <c r="E50" s="6"/>
    </row>
    <row r="51" spans="1:5" x14ac:dyDescent="0.2">
      <c r="A51" s="24">
        <f t="shared" si="0"/>
        <v>50</v>
      </c>
      <c r="B51" s="14" t="s">
        <v>43</v>
      </c>
      <c r="C51" s="20" t="s">
        <v>5</v>
      </c>
      <c r="D51" s="53"/>
      <c r="E51" s="6"/>
    </row>
    <row r="52" spans="1:5" x14ac:dyDescent="0.2">
      <c r="A52" s="24">
        <f t="shared" si="0"/>
        <v>51</v>
      </c>
      <c r="B52" s="14" t="s">
        <v>111</v>
      </c>
      <c r="C52" s="20" t="s">
        <v>6</v>
      </c>
      <c r="D52" s="53"/>
      <c r="E52" s="6"/>
    </row>
    <row r="53" spans="1:5" x14ac:dyDescent="0.2">
      <c r="A53" s="24">
        <f t="shared" si="0"/>
        <v>52</v>
      </c>
      <c r="B53" s="14" t="s">
        <v>112</v>
      </c>
      <c r="C53" s="20" t="s">
        <v>8</v>
      </c>
      <c r="D53" s="53"/>
      <c r="E53" s="6"/>
    </row>
    <row r="54" spans="1:5" x14ac:dyDescent="0.2">
      <c r="A54" s="24">
        <f t="shared" si="0"/>
        <v>53</v>
      </c>
      <c r="B54" s="14" t="s">
        <v>55</v>
      </c>
      <c r="C54" s="20" t="s">
        <v>9</v>
      </c>
      <c r="D54" s="53"/>
      <c r="E54" s="6"/>
    </row>
    <row r="55" spans="1:5" x14ac:dyDescent="0.2">
      <c r="A55" s="24">
        <f t="shared" si="0"/>
        <v>54</v>
      </c>
      <c r="B55" s="14" t="s">
        <v>56</v>
      </c>
      <c r="C55" s="20" t="s">
        <v>9</v>
      </c>
      <c r="D55" s="53"/>
      <c r="E55" s="6"/>
    </row>
    <row r="56" spans="1:5" x14ac:dyDescent="0.2">
      <c r="A56" s="24">
        <f t="shared" si="0"/>
        <v>55</v>
      </c>
      <c r="B56" s="14" t="s">
        <v>57</v>
      </c>
      <c r="C56" s="20" t="s">
        <v>9</v>
      </c>
      <c r="D56" s="53"/>
      <c r="E56" s="6"/>
    </row>
    <row r="57" spans="1:5" x14ac:dyDescent="0.2">
      <c r="A57" s="24">
        <f t="shared" si="0"/>
        <v>56</v>
      </c>
      <c r="B57" s="14" t="s">
        <v>58</v>
      </c>
      <c r="C57" s="20" t="s">
        <v>9</v>
      </c>
      <c r="D57" s="53"/>
      <c r="E57" s="6"/>
    </row>
    <row r="58" spans="1:5" ht="17" thickBot="1" x14ac:dyDescent="0.25">
      <c r="A58" s="24">
        <f t="shared" si="0"/>
        <v>57</v>
      </c>
      <c r="B58" s="13" t="s">
        <v>135</v>
      </c>
      <c r="C58" s="16" t="s">
        <v>85</v>
      </c>
      <c r="D58" s="54"/>
      <c r="E58" s="6"/>
    </row>
    <row r="59" spans="1:5" x14ac:dyDescent="0.2">
      <c r="A59" s="24">
        <f t="shared" si="0"/>
        <v>58</v>
      </c>
      <c r="B59" s="14" t="s">
        <v>30</v>
      </c>
      <c r="C59" s="3" t="s">
        <v>3</v>
      </c>
      <c r="D59" s="46" t="s">
        <v>119</v>
      </c>
      <c r="E59" s="6"/>
    </row>
    <row r="60" spans="1:5" x14ac:dyDescent="0.2">
      <c r="A60" s="24">
        <f t="shared" si="0"/>
        <v>59</v>
      </c>
      <c r="B60" s="14" t="s">
        <v>31</v>
      </c>
      <c r="C60" s="3" t="s">
        <v>3</v>
      </c>
      <c r="D60" s="47"/>
      <c r="E60" s="8"/>
    </row>
    <row r="61" spans="1:5" x14ac:dyDescent="0.2">
      <c r="A61" s="24">
        <f t="shared" si="0"/>
        <v>60</v>
      </c>
      <c r="B61" s="14" t="s">
        <v>122</v>
      </c>
      <c r="C61" s="3" t="s">
        <v>3</v>
      </c>
      <c r="D61" s="47"/>
      <c r="E61" s="6"/>
    </row>
    <row r="62" spans="1:5" x14ac:dyDescent="0.2">
      <c r="A62" s="24">
        <f t="shared" si="0"/>
        <v>61</v>
      </c>
      <c r="B62" s="14" t="s">
        <v>136</v>
      </c>
      <c r="C62" s="3" t="s">
        <v>3</v>
      </c>
      <c r="D62" s="47"/>
      <c r="E62" s="6"/>
    </row>
    <row r="63" spans="1:5" x14ac:dyDescent="0.2">
      <c r="A63" s="24">
        <f t="shared" si="0"/>
        <v>62</v>
      </c>
      <c r="B63" s="14" t="s">
        <v>121</v>
      </c>
      <c r="C63" s="3" t="s">
        <v>3</v>
      </c>
      <c r="D63" s="47"/>
      <c r="E63" s="6"/>
    </row>
    <row r="64" spans="1:5" x14ac:dyDescent="0.2">
      <c r="A64" s="24">
        <f t="shared" si="0"/>
        <v>63</v>
      </c>
      <c r="B64" s="14" t="s">
        <v>137</v>
      </c>
      <c r="C64" s="3" t="s">
        <v>3</v>
      </c>
      <c r="D64" s="47"/>
      <c r="E64" s="6"/>
    </row>
    <row r="65" spans="1:5" x14ac:dyDescent="0.2">
      <c r="A65" s="24">
        <f t="shared" si="0"/>
        <v>64</v>
      </c>
      <c r="B65" s="3" t="s">
        <v>27</v>
      </c>
      <c r="C65" s="20" t="s">
        <v>7</v>
      </c>
      <c r="D65" s="47" t="s">
        <v>87</v>
      </c>
      <c r="E65" s="6"/>
    </row>
    <row r="66" spans="1:5" x14ac:dyDescent="0.2">
      <c r="A66" s="24">
        <f t="shared" si="0"/>
        <v>65</v>
      </c>
      <c r="B66" s="3" t="s">
        <v>28</v>
      </c>
      <c r="C66" s="20" t="s">
        <v>7</v>
      </c>
      <c r="D66" s="47"/>
      <c r="E66" s="6"/>
    </row>
    <row r="67" spans="1:5" x14ac:dyDescent="0.2">
      <c r="A67" s="24">
        <f t="shared" si="0"/>
        <v>66</v>
      </c>
      <c r="B67" s="3" t="s">
        <v>41</v>
      </c>
      <c r="C67" s="20" t="s">
        <v>7</v>
      </c>
      <c r="D67" s="47"/>
      <c r="E67" s="6"/>
    </row>
    <row r="68" spans="1:5" ht="17" thickBot="1" x14ac:dyDescent="0.25">
      <c r="A68" s="24">
        <f t="shared" si="0"/>
        <v>67</v>
      </c>
      <c r="B68" s="3" t="s">
        <v>90</v>
      </c>
      <c r="C68" s="20" t="s">
        <v>7</v>
      </c>
      <c r="D68" s="47"/>
      <c r="E68" s="6"/>
    </row>
    <row r="69" spans="1:5" x14ac:dyDescent="0.2">
      <c r="A69" s="24">
        <f t="shared" ref="A69:A87" si="1">A68+1</f>
        <v>68</v>
      </c>
      <c r="B69" s="12" t="s">
        <v>34</v>
      </c>
      <c r="C69" s="15" t="s">
        <v>7</v>
      </c>
      <c r="D69" s="38" t="s">
        <v>86</v>
      </c>
      <c r="E69" s="45" t="s">
        <v>144</v>
      </c>
    </row>
    <row r="70" spans="1:5" ht="17" thickBot="1" x14ac:dyDescent="0.25">
      <c r="A70" s="24">
        <f t="shared" si="1"/>
        <v>69</v>
      </c>
      <c r="B70" s="14" t="s">
        <v>44</v>
      </c>
      <c r="C70" s="20" t="s">
        <v>7</v>
      </c>
      <c r="D70" s="39"/>
      <c r="E70" s="6"/>
    </row>
    <row r="71" spans="1:5" x14ac:dyDescent="0.2">
      <c r="A71" s="24">
        <f t="shared" si="1"/>
        <v>70</v>
      </c>
      <c r="B71" s="14" t="s">
        <v>88</v>
      </c>
      <c r="C71" s="20" t="s">
        <v>16</v>
      </c>
      <c r="D71" s="46" t="s">
        <v>100</v>
      </c>
      <c r="E71" s="6"/>
    </row>
    <row r="72" spans="1:5" x14ac:dyDescent="0.2">
      <c r="A72" s="24">
        <f t="shared" si="1"/>
        <v>71</v>
      </c>
      <c r="B72" s="14" t="s">
        <v>91</v>
      </c>
      <c r="C72" s="20" t="s">
        <v>89</v>
      </c>
      <c r="D72" s="47"/>
      <c r="E72" s="6"/>
    </row>
    <row r="73" spans="1:5" x14ac:dyDescent="0.2">
      <c r="A73" s="24">
        <f t="shared" si="1"/>
        <v>72</v>
      </c>
      <c r="B73" s="14" t="s">
        <v>92</v>
      </c>
      <c r="C73" s="25" t="s">
        <v>93</v>
      </c>
      <c r="D73" s="47"/>
      <c r="E73" s="6"/>
    </row>
    <row r="74" spans="1:5" x14ac:dyDescent="0.2">
      <c r="A74" s="24">
        <f t="shared" si="1"/>
        <v>73</v>
      </c>
      <c r="B74" s="19" t="s">
        <v>95</v>
      </c>
      <c r="C74" s="25" t="s">
        <v>94</v>
      </c>
      <c r="D74" s="47"/>
      <c r="E74" s="6"/>
    </row>
    <row r="75" spans="1:5" x14ac:dyDescent="0.2">
      <c r="A75" s="24">
        <f t="shared" si="1"/>
        <v>74</v>
      </c>
      <c r="B75" s="19" t="s">
        <v>96</v>
      </c>
      <c r="C75" s="25" t="s">
        <v>9</v>
      </c>
      <c r="D75" s="47"/>
      <c r="E75" s="6"/>
    </row>
    <row r="76" spans="1:5" ht="17" thickBot="1" x14ac:dyDescent="0.25">
      <c r="A76" s="24">
        <f t="shared" si="1"/>
        <v>75</v>
      </c>
      <c r="B76" s="19" t="s">
        <v>139</v>
      </c>
      <c r="C76" s="25" t="s">
        <v>9</v>
      </c>
      <c r="D76" s="48"/>
      <c r="E76" s="6"/>
    </row>
    <row r="77" spans="1:5" x14ac:dyDescent="0.2">
      <c r="A77" s="24">
        <f t="shared" si="1"/>
        <v>76</v>
      </c>
      <c r="B77" s="27" t="s">
        <v>98</v>
      </c>
      <c r="C77" s="32" t="s">
        <v>9</v>
      </c>
      <c r="D77" s="46" t="s">
        <v>97</v>
      </c>
      <c r="E77" s="6"/>
    </row>
    <row r="78" spans="1:5" ht="17" thickBot="1" x14ac:dyDescent="0.25">
      <c r="A78" s="24">
        <f t="shared" si="1"/>
        <v>77</v>
      </c>
      <c r="B78" s="26" t="s">
        <v>99</v>
      </c>
      <c r="C78" s="43" t="s">
        <v>9</v>
      </c>
      <c r="D78" s="48"/>
      <c r="E78" s="6"/>
    </row>
    <row r="79" spans="1:5" x14ac:dyDescent="0.2">
      <c r="A79" s="24">
        <f t="shared" si="1"/>
        <v>78</v>
      </c>
      <c r="B79" s="19" t="s">
        <v>101</v>
      </c>
      <c r="C79" s="10" t="s">
        <v>9</v>
      </c>
      <c r="D79" s="47" t="s">
        <v>117</v>
      </c>
    </row>
    <row r="80" spans="1:5" x14ac:dyDescent="0.2">
      <c r="A80" s="24">
        <f t="shared" si="1"/>
        <v>79</v>
      </c>
      <c r="B80" s="19" t="s">
        <v>102</v>
      </c>
      <c r="C80" s="10" t="s">
        <v>103</v>
      </c>
      <c r="D80" s="47"/>
    </row>
    <row r="81" spans="1:5" ht="17" thickBot="1" x14ac:dyDescent="0.25">
      <c r="A81" s="24">
        <f t="shared" si="1"/>
        <v>80</v>
      </c>
      <c r="B81" s="19" t="s">
        <v>104</v>
      </c>
      <c r="C81" s="10" t="s">
        <v>16</v>
      </c>
      <c r="D81" s="48"/>
    </row>
    <row r="82" spans="1:5" x14ac:dyDescent="0.2">
      <c r="A82" s="24">
        <f t="shared" si="1"/>
        <v>81</v>
      </c>
      <c r="B82" s="27" t="s">
        <v>105</v>
      </c>
      <c r="C82" s="18" t="s">
        <v>9</v>
      </c>
      <c r="D82" s="46" t="s">
        <v>118</v>
      </c>
    </row>
    <row r="83" spans="1:5" x14ac:dyDescent="0.2">
      <c r="A83" s="24">
        <f t="shared" si="1"/>
        <v>82</v>
      </c>
      <c r="B83" s="19" t="s">
        <v>115</v>
      </c>
      <c r="C83" s="10" t="s">
        <v>103</v>
      </c>
      <c r="D83" s="47"/>
    </row>
    <row r="84" spans="1:5" ht="17" thickBot="1" x14ac:dyDescent="0.25">
      <c r="A84" s="24">
        <f t="shared" si="1"/>
        <v>83</v>
      </c>
      <c r="B84" s="26" t="s">
        <v>106</v>
      </c>
      <c r="C84" s="17" t="s">
        <v>16</v>
      </c>
      <c r="D84" s="48"/>
    </row>
    <row r="85" spans="1:5" ht="17" thickBot="1" x14ac:dyDescent="0.25">
      <c r="A85" s="24">
        <f t="shared" si="1"/>
        <v>84</v>
      </c>
      <c r="B85" s="2" t="s">
        <v>113</v>
      </c>
      <c r="C85" s="2" t="s">
        <v>24</v>
      </c>
      <c r="D85" s="34" t="s">
        <v>59</v>
      </c>
      <c r="E85" s="6"/>
    </row>
    <row r="86" spans="1:5" x14ac:dyDescent="0.2">
      <c r="A86" s="24">
        <f t="shared" si="1"/>
        <v>85</v>
      </c>
      <c r="B86" s="12" t="s">
        <v>54</v>
      </c>
      <c r="C86" s="15" t="s">
        <v>10</v>
      </c>
      <c r="D86" s="29" t="s">
        <v>60</v>
      </c>
    </row>
    <row r="87" spans="1:5" x14ac:dyDescent="0.2">
      <c r="A87" s="24">
        <f t="shared" si="1"/>
        <v>86</v>
      </c>
      <c r="B87" s="14" t="s">
        <v>61</v>
      </c>
      <c r="C87" s="20" t="s">
        <v>10</v>
      </c>
      <c r="D87" s="30"/>
    </row>
  </sheetData>
  <mergeCells count="9">
    <mergeCell ref="D10:D25"/>
    <mergeCell ref="D79:D81"/>
    <mergeCell ref="D82:D84"/>
    <mergeCell ref="D77:D78"/>
    <mergeCell ref="D26:D35"/>
    <mergeCell ref="D59:D64"/>
    <mergeCell ref="D65:D68"/>
    <mergeCell ref="D71:D76"/>
    <mergeCell ref="D43:D58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10"/>
  <sheetViews>
    <sheetView tabSelected="1" zoomScale="225" workbookViewId="0">
      <selection activeCell="C7" sqref="C7"/>
    </sheetView>
  </sheetViews>
  <sheetFormatPr baseColWidth="10" defaultColWidth="3.33203125" defaultRowHeight="16" x14ac:dyDescent="0.2"/>
  <cols>
    <col min="1" max="1" width="7.33203125" bestFit="1" customWidth="1"/>
    <col min="2" max="2" width="26" bestFit="1" customWidth="1"/>
    <col min="3" max="3" width="14.5" bestFit="1" customWidth="1"/>
    <col min="4" max="4" width="13.33203125" bestFit="1" customWidth="1"/>
  </cols>
  <sheetData>
    <row r="1" spans="1:4" x14ac:dyDescent="0.2">
      <c r="A1" s="21" t="s">
        <v>0</v>
      </c>
      <c r="B1" s="21" t="s">
        <v>1</v>
      </c>
      <c r="C1" s="21" t="s">
        <v>2</v>
      </c>
      <c r="D1" s="21" t="s">
        <v>19</v>
      </c>
    </row>
    <row r="2" spans="1:4" x14ac:dyDescent="0.2">
      <c r="A2" s="1">
        <f>COUNT(LvM!A1:A190) + 1</f>
        <v>87</v>
      </c>
      <c r="B2" s="1" t="s">
        <v>153</v>
      </c>
      <c r="C2" s="1" t="s">
        <v>15</v>
      </c>
      <c r="D2" s="1" t="s">
        <v>20</v>
      </c>
    </row>
    <row r="3" spans="1:4" x14ac:dyDescent="0.2">
      <c r="A3" s="3">
        <f>A2</f>
        <v>87</v>
      </c>
      <c r="B3" s="11" t="s">
        <v>62</v>
      </c>
      <c r="C3" s="3" t="s">
        <v>3</v>
      </c>
      <c r="D3" s="3" t="s">
        <v>21</v>
      </c>
    </row>
    <row r="4" spans="1:4" x14ac:dyDescent="0.2">
      <c r="A4" s="3">
        <f t="shared" ref="A4:A10" si="0">A3</f>
        <v>87</v>
      </c>
      <c r="B4" s="11" t="s">
        <v>63</v>
      </c>
      <c r="C4" s="3" t="s">
        <v>3</v>
      </c>
      <c r="D4" s="3" t="s">
        <v>22</v>
      </c>
    </row>
    <row r="5" spans="1:4" x14ac:dyDescent="0.2">
      <c r="A5" s="3">
        <f t="shared" si="0"/>
        <v>87</v>
      </c>
      <c r="B5" s="11" t="s">
        <v>64</v>
      </c>
      <c r="C5" s="3" t="s">
        <v>3</v>
      </c>
      <c r="D5" s="3" t="s">
        <v>32</v>
      </c>
    </row>
    <row r="6" spans="1:4" x14ac:dyDescent="0.2">
      <c r="A6" s="3">
        <f t="shared" si="0"/>
        <v>87</v>
      </c>
      <c r="B6" s="11" t="s">
        <v>65</v>
      </c>
      <c r="C6" s="3" t="s">
        <v>7</v>
      </c>
      <c r="D6" s="3" t="s">
        <v>23</v>
      </c>
    </row>
    <row r="7" spans="1:4" x14ac:dyDescent="0.2">
      <c r="A7" s="3">
        <f t="shared" si="0"/>
        <v>87</v>
      </c>
      <c r="B7" s="7" t="s">
        <v>79</v>
      </c>
      <c r="C7" s="3" t="s">
        <v>16</v>
      </c>
      <c r="D7" s="3" t="s">
        <v>82</v>
      </c>
    </row>
    <row r="8" spans="1:4" x14ac:dyDescent="0.2">
      <c r="A8" s="3">
        <f t="shared" si="0"/>
        <v>87</v>
      </c>
      <c r="B8" s="7" t="s">
        <v>80</v>
      </c>
      <c r="C8" s="3" t="s">
        <v>16</v>
      </c>
      <c r="D8" s="3" t="s">
        <v>83</v>
      </c>
    </row>
    <row r="9" spans="1:4" x14ac:dyDescent="0.2">
      <c r="A9" s="3">
        <f t="shared" si="0"/>
        <v>87</v>
      </c>
      <c r="B9" s="7" t="s">
        <v>81</v>
      </c>
      <c r="C9" s="3" t="s">
        <v>16</v>
      </c>
      <c r="D9" s="3" t="s">
        <v>84</v>
      </c>
    </row>
    <row r="10" spans="1:4" x14ac:dyDescent="0.2">
      <c r="A10" s="3">
        <f t="shared" si="0"/>
        <v>87</v>
      </c>
      <c r="B10" s="7" t="s">
        <v>152</v>
      </c>
      <c r="C10" s="3" t="s">
        <v>7</v>
      </c>
      <c r="D10" s="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2024-09-21T18:50:52Z</dcterms:created>
  <dcterms:modified xsi:type="dcterms:W3CDTF">2026-06-25T01:55:48Z</dcterms:modified>
</cp:coreProperties>
</file>